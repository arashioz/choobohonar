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X:\خانم علیخانی\افزایش قیمت\افزایش قیمت سال 1405\1405-06-\"/>
    </mc:Choice>
  </mc:AlternateContent>
  <xr:revisionPtr revIDLastSave="0" documentId="13_ncr:1_{FC731F38-A343-4465-90CF-71B4C7ADDBB7}" xr6:coauthVersionLast="47" xr6:coauthVersionMax="47" xr10:uidLastSave="{00000000-0000-0000-0000-000000000000}"/>
  <bookViews>
    <workbookView xWindow="-120" yWindow="-120" windowWidth="29040" windowHeight="15720" tabRatio="940" firstSheet="2" activeTab="2" xr2:uid="{00000000-000D-0000-FFFF-FFFF00000000}"/>
  </bookViews>
  <sheets>
    <sheet name="کاتالوگ مبلمان" sheetId="17" state="hidden" r:id="rId1"/>
    <sheet name="کاتالوگ کالای خواب" sheetId="20" state="hidden" r:id="rId2"/>
    <sheet name="حذف از تولید و لیست اصلی" sheetId="13" r:id="rId3"/>
    <sheet name="اکسسوری حذف از لیست اصلی" sheetId="16" r:id="rId4"/>
    <sheet name=" کالای خواب حذف از لیست اصلی" sheetId="14" r:id="rId5"/>
    <sheet name="تشک حذف از تولید" sheetId="23" r:id="rId6"/>
    <sheet name="کاتالوگ تشک" sheetId="24" state="hidden" r:id="rId7"/>
    <sheet name="کاتالوگ اکسسوری" sheetId="22" state="hidden" r:id="rId8"/>
  </sheets>
  <definedNames>
    <definedName name="_xlnm._FilterDatabase" localSheetId="2" hidden="1">'حذف از تولید و لیست اصلی'!$K$4:$K$743</definedName>
    <definedName name="_xlnm.Print_Area" localSheetId="2">'حذف از تولید و لیست اصلی'!$A$1:$F$744</definedName>
    <definedName name="_xlnm.Print_Area" localSheetId="7">'کاتالوگ اکسسوری'!$A$1:$J$981</definedName>
    <definedName name="_xlnm.Print_Area" localSheetId="6">'کاتالوگ تشک'!$A$1:$O$87</definedName>
    <definedName name="_xlnm.Print_Area" localSheetId="1">'کاتالوگ کالای خواب'!$A$1:$O$250</definedName>
    <definedName name="_xlnm.Print_Area" localSheetId="0">'کاتالوگ مبلمان'!$A$1:$I$1319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3" i="13" l="1"/>
  <c r="H421" i="13"/>
  <c r="G381" i="13"/>
  <c r="G134" i="13"/>
  <c r="G112" i="13"/>
  <c r="G78" i="13"/>
  <c r="E376" i="13"/>
  <c r="E740" i="13"/>
  <c r="E741" i="13"/>
  <c r="E742" i="13"/>
  <c r="E743" i="13"/>
  <c r="E739" i="13"/>
  <c r="E731" i="13"/>
  <c r="E732" i="13"/>
  <c r="E733" i="13"/>
  <c r="E734" i="13"/>
  <c r="E735" i="13"/>
  <c r="E730" i="13"/>
  <c r="E723" i="13"/>
  <c r="E724" i="13"/>
  <c r="E725" i="13"/>
  <c r="E726" i="13"/>
  <c r="E722" i="13"/>
  <c r="E715" i="13"/>
  <c r="E716" i="13"/>
  <c r="E717" i="13"/>
  <c r="E718" i="13"/>
  <c r="E714" i="13"/>
  <c r="E710" i="13"/>
  <c r="E709" i="13"/>
  <c r="E708" i="13"/>
  <c r="E707" i="13"/>
  <c r="E706" i="13"/>
  <c r="E705" i="13"/>
  <c r="E704" i="13"/>
  <c r="E703" i="13"/>
  <c r="E694" i="13"/>
  <c r="E695" i="13"/>
  <c r="E696" i="13"/>
  <c r="E697" i="13"/>
  <c r="E698" i="13"/>
  <c r="E699" i="13"/>
  <c r="E693" i="13"/>
  <c r="E684" i="13"/>
  <c r="E685" i="13"/>
  <c r="E686" i="13"/>
  <c r="E687" i="13"/>
  <c r="E688" i="13"/>
  <c r="E689" i="13"/>
  <c r="E683" i="13"/>
  <c r="E672" i="13"/>
  <c r="E673" i="13"/>
  <c r="E674" i="13"/>
  <c r="E675" i="13"/>
  <c r="E676" i="13"/>
  <c r="E677" i="13"/>
  <c r="E678" i="13"/>
  <c r="E679" i="13"/>
  <c r="E680" i="13"/>
  <c r="E671" i="13"/>
  <c r="E668" i="13"/>
  <c r="E667" i="13"/>
  <c r="E665" i="13"/>
  <c r="E664" i="13"/>
  <c r="E662" i="13"/>
  <c r="E661" i="13"/>
  <c r="E659" i="13"/>
  <c r="E658" i="13"/>
  <c r="E656" i="13"/>
  <c r="E655" i="13"/>
  <c r="E653" i="13"/>
  <c r="E652" i="13"/>
  <c r="E650" i="13"/>
  <c r="E649" i="13"/>
  <c r="E638" i="13"/>
  <c r="E639" i="13"/>
  <c r="E640" i="13"/>
  <c r="E641" i="13"/>
  <c r="E642" i="13"/>
  <c r="E643" i="13"/>
  <c r="E644" i="13"/>
  <c r="E645" i="13"/>
  <c r="E646" i="13"/>
  <c r="E637" i="13"/>
  <c r="E628" i="13"/>
  <c r="E629" i="13"/>
  <c r="E630" i="13"/>
  <c r="E631" i="13"/>
  <c r="E632" i="13"/>
  <c r="E633" i="13"/>
  <c r="E627" i="13"/>
  <c r="E623" i="13"/>
  <c r="E613" i="13"/>
  <c r="E614" i="13"/>
  <c r="E615" i="13"/>
  <c r="E616" i="13"/>
  <c r="E617" i="13"/>
  <c r="E618" i="13"/>
  <c r="E619" i="13"/>
  <c r="E612" i="13"/>
  <c r="E600" i="13"/>
  <c r="E601" i="13"/>
  <c r="E602" i="13"/>
  <c r="E603" i="13"/>
  <c r="E604" i="13"/>
  <c r="E605" i="13"/>
  <c r="E606" i="13"/>
  <c r="E599" i="13"/>
  <c r="E586" i="13"/>
  <c r="E587" i="13"/>
  <c r="E588" i="13"/>
  <c r="E589" i="13"/>
  <c r="E590" i="13"/>
  <c r="E591" i="13"/>
  <c r="E592" i="13"/>
  <c r="E593" i="13"/>
  <c r="E594" i="13"/>
  <c r="E595" i="13"/>
  <c r="E596" i="13"/>
  <c r="E585" i="13"/>
  <c r="E575" i="13"/>
  <c r="E576" i="13"/>
  <c r="E577" i="13"/>
  <c r="E578" i="13"/>
  <c r="E579" i="13"/>
  <c r="E580" i="13"/>
  <c r="E574" i="13"/>
  <c r="E558" i="13"/>
  <c r="E559" i="13"/>
  <c r="E560" i="13"/>
  <c r="E561" i="13"/>
  <c r="E562" i="13"/>
  <c r="E563" i="13"/>
  <c r="E564" i="13"/>
  <c r="E565" i="13"/>
  <c r="E566" i="13"/>
  <c r="E567" i="13"/>
  <c r="E568" i="13"/>
  <c r="E557" i="13"/>
  <c r="E542" i="13"/>
  <c r="E543" i="13"/>
  <c r="E544" i="13"/>
  <c r="E545" i="13"/>
  <c r="E546" i="13"/>
  <c r="E547" i="13"/>
  <c r="E548" i="13"/>
  <c r="E541" i="13"/>
  <c r="E526" i="13"/>
  <c r="E527" i="13"/>
  <c r="E528" i="13"/>
  <c r="E529" i="13"/>
  <c r="E530" i="13"/>
  <c r="E531" i="13"/>
  <c r="E532" i="13"/>
  <c r="E533" i="13"/>
  <c r="E534" i="13"/>
  <c r="E535" i="13"/>
  <c r="E536" i="13"/>
  <c r="E525" i="13"/>
  <c r="E522" i="13"/>
  <c r="E521" i="13"/>
  <c r="E520" i="13"/>
  <c r="E519" i="13"/>
  <c r="E512" i="13"/>
  <c r="E514" i="13"/>
  <c r="E515" i="13"/>
  <c r="E513" i="13"/>
  <c r="E501" i="13"/>
  <c r="E502" i="13"/>
  <c r="E503" i="13"/>
  <c r="E504" i="13"/>
  <c r="E505" i="13"/>
  <c r="E506" i="13"/>
  <c r="E500" i="13"/>
  <c r="E497" i="13"/>
  <c r="E494" i="13"/>
  <c r="E490" i="13"/>
  <c r="E489" i="13"/>
  <c r="E488" i="13"/>
  <c r="E487" i="13"/>
  <c r="E486" i="13"/>
  <c r="E485" i="13"/>
  <c r="E477" i="13"/>
  <c r="E476" i="13"/>
  <c r="E475" i="13"/>
  <c r="E474" i="13"/>
  <c r="E467" i="13"/>
  <c r="E466" i="13"/>
  <c r="E465" i="13"/>
  <c r="E464" i="13"/>
  <c r="E463" i="13"/>
  <c r="E462" i="13"/>
  <c r="E455" i="13"/>
  <c r="E454" i="13"/>
  <c r="E453" i="13"/>
  <c r="E452" i="13"/>
  <c r="E447" i="13"/>
  <c r="E443" i="13"/>
  <c r="E442" i="13"/>
  <c r="E441" i="13"/>
  <c r="E440" i="13"/>
  <c r="E435" i="13"/>
  <c r="E434" i="13"/>
  <c r="E433" i="13"/>
  <c r="E430" i="13"/>
  <c r="E429" i="13"/>
  <c r="E428" i="13"/>
  <c r="E427" i="13"/>
  <c r="E423" i="13"/>
  <c r="E422" i="13"/>
  <c r="E421" i="13"/>
  <c r="E417" i="13"/>
  <c r="E416" i="13"/>
  <c r="E415" i="13"/>
  <c r="E414" i="13"/>
  <c r="E413" i="13"/>
  <c r="E408" i="13"/>
  <c r="E407" i="13"/>
  <c r="E406" i="13"/>
  <c r="E405" i="13"/>
  <c r="E398" i="13"/>
  <c r="E397" i="13"/>
  <c r="E396" i="13"/>
  <c r="E395" i="13"/>
  <c r="E394" i="13"/>
  <c r="E393" i="13"/>
  <c r="E384" i="13"/>
  <c r="E383" i="13"/>
  <c r="E382" i="13"/>
  <c r="E381" i="13"/>
  <c r="E372" i="13"/>
  <c r="E361" i="13"/>
  <c r="E360" i="13"/>
  <c r="E359" i="13"/>
  <c r="E336" i="13"/>
  <c r="E335" i="13"/>
  <c r="E334" i="13"/>
  <c r="E333" i="13"/>
  <c r="E332" i="13"/>
  <c r="E331" i="13"/>
  <c r="E330" i="13"/>
  <c r="E329" i="13"/>
  <c r="E328" i="13"/>
  <c r="E327" i="13"/>
  <c r="E316" i="13"/>
  <c r="E315" i="13"/>
  <c r="E296" i="13"/>
  <c r="E295" i="13"/>
  <c r="E294" i="13"/>
  <c r="E293" i="13"/>
  <c r="E292" i="13"/>
  <c r="E291" i="13"/>
  <c r="E290" i="13"/>
  <c r="E289" i="13"/>
  <c r="E288" i="13"/>
  <c r="E262" i="13"/>
  <c r="E261" i="13"/>
  <c r="E260" i="13"/>
  <c r="E259" i="13"/>
  <c r="E258" i="13"/>
  <c r="E250" i="13"/>
  <c r="E249" i="13"/>
  <c r="E238" i="13"/>
  <c r="E237" i="13"/>
  <c r="E236" i="13"/>
  <c r="E217" i="13"/>
  <c r="E216" i="13"/>
  <c r="E215" i="13"/>
  <c r="E214" i="13"/>
  <c r="E213" i="13"/>
  <c r="E212" i="13"/>
  <c r="E205" i="13"/>
  <c r="E204" i="13"/>
  <c r="E193" i="13"/>
  <c r="E192" i="13"/>
  <c r="E191" i="13"/>
  <c r="E190" i="13"/>
  <c r="E189" i="13"/>
  <c r="E188" i="13"/>
  <c r="E181" i="13"/>
  <c r="E180" i="13"/>
  <c r="E179" i="13"/>
  <c r="E170" i="13"/>
  <c r="E169" i="13"/>
  <c r="E168" i="13"/>
  <c r="E167" i="13"/>
  <c r="E166" i="13"/>
  <c r="E159" i="13"/>
  <c r="E158" i="13"/>
  <c r="E148" i="13"/>
  <c r="E147" i="13"/>
  <c r="E146" i="13"/>
  <c r="E145" i="13"/>
  <c r="E137" i="13"/>
  <c r="E127" i="13"/>
  <c r="E126" i="13"/>
  <c r="E125" i="13"/>
  <c r="E124" i="13"/>
  <c r="E123" i="13"/>
  <c r="E116" i="13"/>
  <c r="E115" i="13"/>
  <c r="E106" i="13"/>
  <c r="E105" i="13"/>
  <c r="E104" i="13"/>
  <c r="E90" i="13"/>
  <c r="E89" i="13"/>
  <c r="E88" i="13"/>
  <c r="E87" i="13"/>
  <c r="E81" i="13"/>
  <c r="E71" i="13"/>
  <c r="E70" i="13"/>
  <c r="E69" i="13"/>
  <c r="E68" i="13"/>
  <c r="E67" i="13"/>
  <c r="E66" i="13"/>
  <c r="E59" i="13"/>
  <c r="E58" i="13"/>
  <c r="E57" i="13"/>
  <c r="E44" i="13"/>
  <c r="E48" i="13"/>
  <c r="E47" i="13"/>
  <c r="E46" i="13"/>
  <c r="E45" i="13"/>
  <c r="E38" i="13"/>
  <c r="E37" i="13"/>
  <c r="E30" i="13"/>
  <c r="E18" i="13"/>
  <c r="E17" i="13"/>
  <c r="E16" i="13"/>
  <c r="E80" i="13"/>
  <c r="E314" i="13" l="1"/>
  <c r="E326" i="13" l="1"/>
  <c r="E307" i="13"/>
  <c r="E308" i="13"/>
  <c r="E309" i="13"/>
  <c r="E310" i="13"/>
  <c r="E311" i="13"/>
  <c r="E312" i="13"/>
  <c r="E313" i="13"/>
  <c r="E306" i="13" l="1"/>
  <c r="E257" i="13"/>
  <c r="J72" i="16" l="1"/>
  <c r="J101" i="16"/>
  <c r="J128" i="16"/>
  <c r="J146" i="16"/>
  <c r="J157" i="16"/>
  <c r="J168" i="16"/>
  <c r="J180" i="16"/>
  <c r="J203" i="16"/>
  <c r="J237" i="16"/>
  <c r="J254" i="16"/>
  <c r="J298" i="16"/>
  <c r="J366" i="16"/>
  <c r="J393" i="16"/>
  <c r="J451" i="16"/>
  <c r="J468" i="16"/>
  <c r="J502" i="16"/>
  <c r="J506" i="16"/>
  <c r="J518" i="16"/>
  <c r="J530" i="16"/>
  <c r="J543" i="16"/>
  <c r="J552" i="16"/>
  <c r="J564" i="16"/>
  <c r="J576" i="16"/>
  <c r="J590" i="16"/>
  <c r="J597" i="16"/>
  <c r="J668" i="16"/>
  <c r="J689" i="16"/>
  <c r="J703" i="16"/>
  <c r="J712" i="16"/>
  <c r="J711" i="16"/>
  <c r="J713" i="16"/>
  <c r="J714" i="16"/>
  <c r="J715" i="16"/>
  <c r="J716" i="16"/>
  <c r="J717" i="16"/>
  <c r="J710" i="16"/>
  <c r="J702" i="16"/>
  <c r="J704" i="16"/>
  <c r="J701" i="16"/>
  <c r="J687" i="16"/>
  <c r="J688" i="16"/>
  <c r="J690" i="16"/>
  <c r="J686" i="16"/>
  <c r="J606" i="16"/>
  <c r="J607" i="16"/>
  <c r="J608" i="16"/>
  <c r="J609" i="16"/>
  <c r="J610" i="16"/>
  <c r="J611" i="16"/>
  <c r="J612" i="16"/>
  <c r="J613" i="16"/>
  <c r="J614" i="16"/>
  <c r="J615" i="16"/>
  <c r="J616" i="16"/>
  <c r="J617" i="16"/>
  <c r="J618" i="16"/>
  <c r="J619" i="16"/>
  <c r="J620" i="16"/>
  <c r="J621" i="16"/>
  <c r="J622" i="16"/>
  <c r="J623" i="16"/>
  <c r="J624" i="16"/>
  <c r="J625" i="16"/>
  <c r="J626" i="16"/>
  <c r="J627" i="16"/>
  <c r="J628" i="16"/>
  <c r="J629" i="16"/>
  <c r="J630" i="16"/>
  <c r="J631" i="16"/>
  <c r="J632" i="16"/>
  <c r="J633" i="16"/>
  <c r="J634" i="16"/>
  <c r="J635" i="16"/>
  <c r="J636" i="16"/>
  <c r="J637" i="16"/>
  <c r="J638" i="16"/>
  <c r="J639" i="16"/>
  <c r="J640" i="16"/>
  <c r="J641" i="16"/>
  <c r="J642" i="16"/>
  <c r="J643" i="16"/>
  <c r="J644" i="16"/>
  <c r="J645" i="16"/>
  <c r="J646" i="16"/>
  <c r="J647" i="16"/>
  <c r="J648" i="16"/>
  <c r="J649" i="16"/>
  <c r="J650" i="16"/>
  <c r="J651" i="16"/>
  <c r="J652" i="16"/>
  <c r="J653" i="16"/>
  <c r="J654" i="16"/>
  <c r="J655" i="16"/>
  <c r="J656" i="16"/>
  <c r="J657" i="16"/>
  <c r="J658" i="16"/>
  <c r="J659" i="16"/>
  <c r="J660" i="16"/>
  <c r="J661" i="16"/>
  <c r="J662" i="16"/>
  <c r="J663" i="16"/>
  <c r="J664" i="16"/>
  <c r="J665" i="16"/>
  <c r="J666" i="16"/>
  <c r="J667" i="16"/>
  <c r="J669" i="16"/>
  <c r="J670" i="16"/>
  <c r="J671" i="16"/>
  <c r="J672" i="16"/>
  <c r="J673" i="16"/>
  <c r="J674" i="16"/>
  <c r="J675" i="16"/>
  <c r="J676" i="16"/>
  <c r="J677" i="16"/>
  <c r="J678" i="16"/>
  <c r="J679" i="16"/>
  <c r="J680" i="16"/>
  <c r="J605" i="16"/>
  <c r="J598" i="16"/>
  <c r="J599" i="16"/>
  <c r="J600" i="16"/>
  <c r="J596" i="16"/>
  <c r="J591" i="16"/>
  <c r="J589" i="16"/>
  <c r="J573" i="16"/>
  <c r="J574" i="16"/>
  <c r="J575" i="16"/>
  <c r="J577" i="16"/>
  <c r="J578" i="16"/>
  <c r="J579" i="16"/>
  <c r="J580" i="16"/>
  <c r="J581" i="16"/>
  <c r="J582" i="16"/>
  <c r="J583" i="16"/>
  <c r="J584" i="16"/>
  <c r="J572" i="16"/>
  <c r="J560" i="16"/>
  <c r="J561" i="16"/>
  <c r="J562" i="16"/>
  <c r="J563" i="16"/>
  <c r="J565" i="16"/>
  <c r="J566" i="16"/>
  <c r="J567" i="16"/>
  <c r="J559" i="16"/>
  <c r="J551" i="16"/>
  <c r="J553" i="16"/>
  <c r="J550" i="16"/>
  <c r="J536" i="16"/>
  <c r="J537" i="16"/>
  <c r="J538" i="16"/>
  <c r="J539" i="16"/>
  <c r="J540" i="16"/>
  <c r="J541" i="16"/>
  <c r="J542" i="16"/>
  <c r="J544" i="16"/>
  <c r="J545" i="16"/>
  <c r="J535" i="16"/>
  <c r="J525" i="16"/>
  <c r="J526" i="16"/>
  <c r="J527" i="16"/>
  <c r="J528" i="16"/>
  <c r="J529" i="16"/>
  <c r="J524" i="16"/>
  <c r="J515" i="16"/>
  <c r="J516" i="16"/>
  <c r="J517" i="16"/>
  <c r="J514" i="16"/>
  <c r="J477" i="16"/>
  <c r="J478" i="16"/>
  <c r="J479" i="16"/>
  <c r="J480" i="16"/>
  <c r="J481" i="16"/>
  <c r="J482" i="16"/>
  <c r="J483" i="16"/>
  <c r="J484" i="16"/>
  <c r="J485" i="16"/>
  <c r="J486" i="16"/>
  <c r="J487" i="16"/>
  <c r="J488" i="16"/>
  <c r="J489" i="16"/>
  <c r="J490" i="16"/>
  <c r="J491" i="16"/>
  <c r="J492" i="16"/>
  <c r="J493" i="16"/>
  <c r="J494" i="16"/>
  <c r="J495" i="16"/>
  <c r="J496" i="16"/>
  <c r="J497" i="16"/>
  <c r="J498" i="16"/>
  <c r="J499" i="16"/>
  <c r="J500" i="16"/>
  <c r="J501" i="16"/>
  <c r="J476" i="16"/>
  <c r="J457" i="16"/>
  <c r="J458" i="16"/>
  <c r="J459" i="16"/>
  <c r="J460" i="16"/>
  <c r="J461" i="16"/>
  <c r="J462" i="16"/>
  <c r="J463" i="16"/>
  <c r="J464" i="16"/>
  <c r="J465" i="16"/>
  <c r="J466" i="16"/>
  <c r="J467" i="16"/>
  <c r="J456" i="16"/>
  <c r="J400" i="16"/>
  <c r="J401" i="16"/>
  <c r="J402" i="16"/>
  <c r="J403" i="16"/>
  <c r="J404" i="16"/>
  <c r="J405" i="16"/>
  <c r="J406" i="16"/>
  <c r="J407" i="16"/>
  <c r="J408" i="16"/>
  <c r="J409" i="16"/>
  <c r="J410" i="16"/>
  <c r="J411" i="16"/>
  <c r="J412" i="16"/>
  <c r="J413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J433" i="16"/>
  <c r="J434" i="16"/>
  <c r="J435" i="16"/>
  <c r="J436" i="16"/>
  <c r="J437" i="16"/>
  <c r="J438" i="16"/>
  <c r="J439" i="16"/>
  <c r="J440" i="16"/>
  <c r="J441" i="16"/>
  <c r="J442" i="16"/>
  <c r="J443" i="16"/>
  <c r="J444" i="16"/>
  <c r="J445" i="16"/>
  <c r="J446" i="16"/>
  <c r="J447" i="16"/>
  <c r="J448" i="16"/>
  <c r="J449" i="16"/>
  <c r="J450" i="16"/>
  <c r="J399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73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05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60" i="16"/>
  <c r="J253" i="16"/>
  <c r="J252" i="16"/>
  <c r="J251" i="16"/>
  <c r="J250" i="16"/>
  <c r="J249" i="16"/>
  <c r="J248" i="16"/>
  <c r="J247" i="16"/>
  <c r="J246" i="16"/>
  <c r="J245" i="16"/>
  <c r="J244" i="16"/>
  <c r="J243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11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186" i="16"/>
  <c r="J175" i="16"/>
  <c r="J176" i="16"/>
  <c r="J177" i="16"/>
  <c r="J178" i="16"/>
  <c r="J179" i="16"/>
  <c r="J174" i="16"/>
  <c r="J166" i="16"/>
  <c r="J167" i="16"/>
  <c r="J165" i="16"/>
  <c r="J153" i="16"/>
  <c r="J154" i="16"/>
  <c r="J155" i="16"/>
  <c r="J156" i="16"/>
  <c r="J152" i="16"/>
  <c r="J137" i="16"/>
  <c r="J138" i="16"/>
  <c r="J139" i="16"/>
  <c r="J140" i="16"/>
  <c r="J141" i="16"/>
  <c r="J142" i="16"/>
  <c r="J143" i="16"/>
  <c r="J144" i="16"/>
  <c r="J145" i="16"/>
  <c r="J136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08" i="16"/>
  <c r="J91" i="16"/>
  <c r="J92" i="16"/>
  <c r="J93" i="16"/>
  <c r="J94" i="16"/>
  <c r="J95" i="16"/>
  <c r="J96" i="16"/>
  <c r="J97" i="16"/>
  <c r="J98" i="16"/>
  <c r="J99" i="16"/>
  <c r="J100" i="16"/>
  <c r="J90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4" i="16"/>
  <c r="F39" i="14" l="1"/>
  <c r="F54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81" i="14"/>
  <c r="F72" i="14"/>
  <c r="F73" i="14"/>
  <c r="F74" i="14"/>
  <c r="F75" i="14"/>
  <c r="F76" i="14"/>
  <c r="F77" i="14"/>
  <c r="F71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40" i="14"/>
  <c r="F41" i="14"/>
  <c r="F42" i="14"/>
  <c r="F43" i="14"/>
  <c r="F44" i="14"/>
  <c r="F45" i="14"/>
  <c r="F46" i="14"/>
  <c r="F47" i="14"/>
  <c r="F48" i="14"/>
  <c r="F49" i="14"/>
  <c r="F50" i="14"/>
  <c r="F20" i="14"/>
  <c r="F4" i="14"/>
  <c r="F5" i="14"/>
  <c r="F6" i="14"/>
  <c r="F7" i="14"/>
  <c r="F8" i="14"/>
  <c r="F9" i="14"/>
  <c r="F10" i="14"/>
  <c r="F11" i="14"/>
  <c r="F12" i="14"/>
  <c r="F13" i="14"/>
  <c r="F14" i="14"/>
  <c r="F3" i="14"/>
  <c r="J9" i="23" l="1"/>
  <c r="J6" i="23"/>
  <c r="J7" i="23"/>
  <c r="J8" i="23"/>
  <c r="J5" i="23"/>
  <c r="J18" i="23"/>
  <c r="J19" i="23"/>
  <c r="J20" i="23"/>
  <c r="J21" i="23"/>
  <c r="J17" i="23"/>
  <c r="A57" i="14" l="1"/>
  <c r="A59" i="14"/>
  <c r="A61" i="14"/>
  <c r="A63" i="14"/>
  <c r="A65" i="14"/>
  <c r="A67" i="14"/>
  <c r="A55" i="14"/>
  <c r="A607" i="13"/>
  <c r="A608" i="13" s="1"/>
  <c r="K63" i="24" l="1"/>
  <c r="L63" i="24"/>
  <c r="M63" i="24"/>
  <c r="N63" i="24"/>
  <c r="K64" i="24"/>
  <c r="L64" i="24"/>
  <c r="M64" i="24"/>
  <c r="N64" i="24"/>
  <c r="K65" i="24"/>
  <c r="L65" i="24"/>
  <c r="M65" i="24"/>
  <c r="N65" i="24"/>
  <c r="K66" i="24"/>
  <c r="L66" i="24"/>
  <c r="M66" i="24"/>
  <c r="N66" i="24"/>
  <c r="J63" i="24"/>
  <c r="J64" i="24"/>
  <c r="J65" i="24"/>
  <c r="J66" i="24"/>
  <c r="G63" i="24"/>
  <c r="G64" i="24"/>
  <c r="G65" i="24"/>
  <c r="G66" i="24"/>
  <c r="E66" i="24"/>
  <c r="E63" i="24"/>
  <c r="E64" i="24"/>
  <c r="E65" i="24"/>
  <c r="N62" i="24"/>
  <c r="M62" i="24"/>
  <c r="L62" i="24"/>
  <c r="K62" i="24"/>
  <c r="J62" i="24"/>
  <c r="G62" i="24"/>
  <c r="E62" i="24"/>
  <c r="N59" i="24"/>
  <c r="J952" i="22"/>
  <c r="J274" i="22"/>
  <c r="J315" i="22"/>
  <c r="J805" i="22"/>
  <c r="J785" i="22"/>
  <c r="J762" i="22"/>
  <c r="H22" i="22" l="1"/>
  <c r="E958" i="22"/>
  <c r="F958" i="22"/>
  <c r="G958" i="22"/>
  <c r="H958" i="22"/>
  <c r="I958" i="22"/>
  <c r="J958" i="22"/>
  <c r="E959" i="22"/>
  <c r="F959" i="22"/>
  <c r="G959" i="22"/>
  <c r="H959" i="22"/>
  <c r="I959" i="22"/>
  <c r="J959" i="22"/>
  <c r="E960" i="22"/>
  <c r="F960" i="22"/>
  <c r="G960" i="22"/>
  <c r="H960" i="22"/>
  <c r="I960" i="22"/>
  <c r="E961" i="22"/>
  <c r="F961" i="22"/>
  <c r="G961" i="22"/>
  <c r="H961" i="22"/>
  <c r="I961" i="22"/>
  <c r="I957" i="22"/>
  <c r="H957" i="22"/>
  <c r="G957" i="22"/>
  <c r="F957" i="22"/>
  <c r="E957" i="22"/>
  <c r="J956" i="22"/>
  <c r="I956" i="22"/>
  <c r="H956" i="22"/>
  <c r="G956" i="22"/>
  <c r="F956" i="22"/>
  <c r="E956" i="22"/>
  <c r="I955" i="22"/>
  <c r="H955" i="22"/>
  <c r="G955" i="22"/>
  <c r="F955" i="22"/>
  <c r="E955" i="22"/>
  <c r="I954" i="22"/>
  <c r="H954" i="22"/>
  <c r="G954" i="22"/>
  <c r="F954" i="22"/>
  <c r="E954" i="22"/>
  <c r="E942" i="22"/>
  <c r="F942" i="22"/>
  <c r="G942" i="22"/>
  <c r="H942" i="22"/>
  <c r="I942" i="22"/>
  <c r="J942" i="22"/>
  <c r="E932" i="22"/>
  <c r="F932" i="22"/>
  <c r="G932" i="22"/>
  <c r="H932" i="22"/>
  <c r="I932" i="22"/>
  <c r="J932" i="22"/>
  <c r="I919" i="22"/>
  <c r="H919" i="22"/>
  <c r="G919" i="22"/>
  <c r="F919" i="22"/>
  <c r="E919" i="22"/>
  <c r="I918" i="22"/>
  <c r="H918" i="22"/>
  <c r="G918" i="22"/>
  <c r="F918" i="22"/>
  <c r="E918" i="22"/>
  <c r="I917" i="22"/>
  <c r="H917" i="22"/>
  <c r="G917" i="22"/>
  <c r="F917" i="22"/>
  <c r="E917" i="22"/>
  <c r="J916" i="22"/>
  <c r="I916" i="22"/>
  <c r="H916" i="22"/>
  <c r="G916" i="22"/>
  <c r="F916" i="22"/>
  <c r="E916" i="22"/>
  <c r="I915" i="22"/>
  <c r="H915" i="22"/>
  <c r="G915" i="22"/>
  <c r="F915" i="22"/>
  <c r="E915" i="22"/>
  <c r="I914" i="22"/>
  <c r="H914" i="22"/>
  <c r="G914" i="22"/>
  <c r="F914" i="22"/>
  <c r="E914" i="22"/>
  <c r="I913" i="22"/>
  <c r="H913" i="22"/>
  <c r="G913" i="22"/>
  <c r="F913" i="22"/>
  <c r="E913" i="22"/>
  <c r="J912" i="22"/>
  <c r="I912" i="22"/>
  <c r="H912" i="22"/>
  <c r="G912" i="22"/>
  <c r="F912" i="22"/>
  <c r="E912" i="22"/>
  <c r="I911" i="22"/>
  <c r="H911" i="22"/>
  <c r="G911" i="22"/>
  <c r="F911" i="22"/>
  <c r="E911" i="22"/>
  <c r="I910" i="22"/>
  <c r="H910" i="22"/>
  <c r="G910" i="22"/>
  <c r="F910" i="22"/>
  <c r="E910" i="22"/>
  <c r="I909" i="22"/>
  <c r="H909" i="22"/>
  <c r="G909" i="22"/>
  <c r="F909" i="22"/>
  <c r="E909" i="22"/>
  <c r="J908" i="22"/>
  <c r="I908" i="22"/>
  <c r="H908" i="22"/>
  <c r="G908" i="22"/>
  <c r="F908" i="22"/>
  <c r="E908" i="22"/>
  <c r="I907" i="22"/>
  <c r="H907" i="22"/>
  <c r="G907" i="22"/>
  <c r="F907" i="22"/>
  <c r="E907" i="22"/>
  <c r="I906" i="22"/>
  <c r="H906" i="22"/>
  <c r="G906" i="22"/>
  <c r="F906" i="22"/>
  <c r="E906" i="22"/>
  <c r="I905" i="22"/>
  <c r="H905" i="22"/>
  <c r="G905" i="22"/>
  <c r="F905" i="22"/>
  <c r="E905" i="22"/>
  <c r="J904" i="22"/>
  <c r="I904" i="22"/>
  <c r="H904" i="22"/>
  <c r="G904" i="22"/>
  <c r="F904" i="22"/>
  <c r="E904" i="22"/>
  <c r="J902" i="22"/>
  <c r="I882" i="22"/>
  <c r="I898" i="22"/>
  <c r="H898" i="22"/>
  <c r="G898" i="22"/>
  <c r="F898" i="22"/>
  <c r="E898" i="22"/>
  <c r="I897" i="22"/>
  <c r="H897" i="22"/>
  <c r="G897" i="22"/>
  <c r="F897" i="22"/>
  <c r="E897" i="22"/>
  <c r="J896" i="22"/>
  <c r="I896" i="22"/>
  <c r="H896" i="22"/>
  <c r="G896" i="22"/>
  <c r="F896" i="22"/>
  <c r="E896" i="22"/>
  <c r="I895" i="22"/>
  <c r="H895" i="22"/>
  <c r="G895" i="22"/>
  <c r="F895" i="22"/>
  <c r="E895" i="22"/>
  <c r="J894" i="22"/>
  <c r="I894" i="22"/>
  <c r="H894" i="22"/>
  <c r="G894" i="22"/>
  <c r="F894" i="22"/>
  <c r="E894" i="22"/>
  <c r="I893" i="22"/>
  <c r="H893" i="22"/>
  <c r="G893" i="22"/>
  <c r="F893" i="22"/>
  <c r="E893" i="22"/>
  <c r="J892" i="22"/>
  <c r="I892" i="22"/>
  <c r="H892" i="22"/>
  <c r="G892" i="22"/>
  <c r="F892" i="22"/>
  <c r="E892" i="22"/>
  <c r="I891" i="22"/>
  <c r="H891" i="22"/>
  <c r="G891" i="22"/>
  <c r="F891" i="22"/>
  <c r="E891" i="22"/>
  <c r="I890" i="22"/>
  <c r="H890" i="22"/>
  <c r="G890" i="22"/>
  <c r="F890" i="22"/>
  <c r="E890" i="22"/>
  <c r="I889" i="22"/>
  <c r="H889" i="22"/>
  <c r="G889" i="22"/>
  <c r="F889" i="22"/>
  <c r="E889" i="22"/>
  <c r="J888" i="22"/>
  <c r="I888" i="22"/>
  <c r="H888" i="22"/>
  <c r="G888" i="22"/>
  <c r="F888" i="22"/>
  <c r="E888" i="22"/>
  <c r="I887" i="22"/>
  <c r="H887" i="22"/>
  <c r="G887" i="22"/>
  <c r="F887" i="22"/>
  <c r="E887" i="22"/>
  <c r="J886" i="22"/>
  <c r="I886" i="22"/>
  <c r="H886" i="22"/>
  <c r="G886" i="22"/>
  <c r="F886" i="22"/>
  <c r="E886" i="22"/>
  <c r="I885" i="22"/>
  <c r="H885" i="22"/>
  <c r="G885" i="22"/>
  <c r="F885" i="22"/>
  <c r="E885" i="22"/>
  <c r="J884" i="22"/>
  <c r="I884" i="22"/>
  <c r="H884" i="22"/>
  <c r="G884" i="22"/>
  <c r="F884" i="22"/>
  <c r="E884" i="22"/>
  <c r="I883" i="22"/>
  <c r="H883" i="22"/>
  <c r="G883" i="22"/>
  <c r="F883" i="22"/>
  <c r="E883" i="22"/>
  <c r="H882" i="22"/>
  <c r="G882" i="22"/>
  <c r="F882" i="22"/>
  <c r="E882" i="22"/>
  <c r="J881" i="22"/>
  <c r="I881" i="22"/>
  <c r="H881" i="22"/>
  <c r="G881" i="22"/>
  <c r="F881" i="22"/>
  <c r="E881" i="22"/>
  <c r="I880" i="22"/>
  <c r="H880" i="22"/>
  <c r="G880" i="22"/>
  <c r="F880" i="22"/>
  <c r="E880" i="22"/>
  <c r="I879" i="22"/>
  <c r="H879" i="22"/>
  <c r="G879" i="22"/>
  <c r="F879" i="22"/>
  <c r="E879" i="22"/>
  <c r="J877" i="22"/>
  <c r="J873" i="22"/>
  <c r="I873" i="22"/>
  <c r="H873" i="22"/>
  <c r="G873" i="22"/>
  <c r="F873" i="22"/>
  <c r="E873" i="22"/>
  <c r="I872" i="22"/>
  <c r="H872" i="22"/>
  <c r="G872" i="22"/>
  <c r="F872" i="22"/>
  <c r="E872" i="22"/>
  <c r="J871" i="22"/>
  <c r="I871" i="22"/>
  <c r="H871" i="22"/>
  <c r="G871" i="22"/>
  <c r="F871" i="22"/>
  <c r="E871" i="22"/>
  <c r="I870" i="22"/>
  <c r="H870" i="22"/>
  <c r="G870" i="22"/>
  <c r="F870" i="22"/>
  <c r="E870" i="22"/>
  <c r="I869" i="22"/>
  <c r="H869" i="22"/>
  <c r="G869" i="22"/>
  <c r="F869" i="22"/>
  <c r="E869" i="22"/>
  <c r="I868" i="22"/>
  <c r="H868" i="22"/>
  <c r="G868" i="22"/>
  <c r="F868" i="22"/>
  <c r="E868" i="22"/>
  <c r="J867" i="22"/>
  <c r="I867" i="22"/>
  <c r="H867" i="22"/>
  <c r="G867" i="22"/>
  <c r="F867" i="22"/>
  <c r="E867" i="22"/>
  <c r="I866" i="22"/>
  <c r="H866" i="22"/>
  <c r="G866" i="22"/>
  <c r="F866" i="22"/>
  <c r="E866" i="22"/>
  <c r="J865" i="22"/>
  <c r="I865" i="22"/>
  <c r="H865" i="22"/>
  <c r="G865" i="22"/>
  <c r="F865" i="22"/>
  <c r="E865" i="22"/>
  <c r="I864" i="22"/>
  <c r="H864" i="22"/>
  <c r="G864" i="22"/>
  <c r="F864" i="22"/>
  <c r="E864" i="22"/>
  <c r="J863" i="22"/>
  <c r="I863" i="22"/>
  <c r="H863" i="22"/>
  <c r="G863" i="22"/>
  <c r="F863" i="22"/>
  <c r="E863" i="22"/>
  <c r="I862" i="22"/>
  <c r="H862" i="22"/>
  <c r="G862" i="22"/>
  <c r="F862" i="22"/>
  <c r="E862" i="22"/>
  <c r="I861" i="22"/>
  <c r="H861" i="22"/>
  <c r="G861" i="22"/>
  <c r="F861" i="22"/>
  <c r="E861" i="22"/>
  <c r="I860" i="22"/>
  <c r="H860" i="22"/>
  <c r="G860" i="22"/>
  <c r="F860" i="22"/>
  <c r="E860" i="22"/>
  <c r="J859" i="22"/>
  <c r="I859" i="22"/>
  <c r="H859" i="22"/>
  <c r="G859" i="22"/>
  <c r="F859" i="22"/>
  <c r="E859" i="22"/>
  <c r="I858" i="22"/>
  <c r="H858" i="22"/>
  <c r="G858" i="22"/>
  <c r="F858" i="22"/>
  <c r="E858" i="22"/>
  <c r="J857" i="22"/>
  <c r="I857" i="22"/>
  <c r="H857" i="22"/>
  <c r="G857" i="22"/>
  <c r="F857" i="22"/>
  <c r="E857" i="22"/>
  <c r="I856" i="22"/>
  <c r="H856" i="22"/>
  <c r="G856" i="22"/>
  <c r="F856" i="22"/>
  <c r="E856" i="22"/>
  <c r="J855" i="22"/>
  <c r="I855" i="22"/>
  <c r="H855" i="22"/>
  <c r="G855" i="22"/>
  <c r="F855" i="22"/>
  <c r="E855" i="22"/>
  <c r="I854" i="22"/>
  <c r="H854" i="22"/>
  <c r="G854" i="22"/>
  <c r="F854" i="22"/>
  <c r="E854" i="22"/>
  <c r="J852" i="22"/>
  <c r="E838" i="22"/>
  <c r="F838" i="22"/>
  <c r="G838" i="22"/>
  <c r="H838" i="22"/>
  <c r="I838" i="22"/>
  <c r="E839" i="22"/>
  <c r="F839" i="22"/>
  <c r="G839" i="22"/>
  <c r="H839" i="22"/>
  <c r="I839" i="22"/>
  <c r="E840" i="22"/>
  <c r="F840" i="22"/>
  <c r="G840" i="22"/>
  <c r="H840" i="22"/>
  <c r="I840" i="22"/>
  <c r="E841" i="22"/>
  <c r="F841" i="22"/>
  <c r="G841" i="22"/>
  <c r="H841" i="22"/>
  <c r="I841" i="22"/>
  <c r="J841" i="22"/>
  <c r="E842" i="22"/>
  <c r="F842" i="22"/>
  <c r="G842" i="22"/>
  <c r="H842" i="22"/>
  <c r="I842" i="22"/>
  <c r="E843" i="22"/>
  <c r="F843" i="22"/>
  <c r="G843" i="22"/>
  <c r="H843" i="22"/>
  <c r="I843" i="22"/>
  <c r="E844" i="22"/>
  <c r="F844" i="22"/>
  <c r="G844" i="22"/>
  <c r="H844" i="22"/>
  <c r="I844" i="22"/>
  <c r="J844" i="22"/>
  <c r="E845" i="22"/>
  <c r="F845" i="22"/>
  <c r="G845" i="22"/>
  <c r="H845" i="22"/>
  <c r="I845" i="22"/>
  <c r="J845" i="22"/>
  <c r="E846" i="22"/>
  <c r="F846" i="22"/>
  <c r="G846" i="22"/>
  <c r="H846" i="22"/>
  <c r="I846" i="22"/>
  <c r="E847" i="22"/>
  <c r="F847" i="22"/>
  <c r="G847" i="22"/>
  <c r="H847" i="22"/>
  <c r="I847" i="22"/>
  <c r="E848" i="22"/>
  <c r="F848" i="22"/>
  <c r="G848" i="22"/>
  <c r="H848" i="22"/>
  <c r="I848" i="22"/>
  <c r="J837" i="22"/>
  <c r="I837" i="22"/>
  <c r="H837" i="22"/>
  <c r="G837" i="22"/>
  <c r="F837" i="22"/>
  <c r="E837" i="22"/>
  <c r="J836" i="22"/>
  <c r="I836" i="22"/>
  <c r="H836" i="22"/>
  <c r="G836" i="22"/>
  <c r="F836" i="22"/>
  <c r="E836" i="22"/>
  <c r="I835" i="22"/>
  <c r="H835" i="22"/>
  <c r="G835" i="22"/>
  <c r="F835" i="22"/>
  <c r="E835" i="22"/>
  <c r="I834" i="22"/>
  <c r="H834" i="22"/>
  <c r="G834" i="22"/>
  <c r="F834" i="22"/>
  <c r="E834" i="22"/>
  <c r="J833" i="22"/>
  <c r="I833" i="22"/>
  <c r="H833" i="22"/>
  <c r="G833" i="22"/>
  <c r="F833" i="22"/>
  <c r="E833" i="22"/>
  <c r="I832" i="22"/>
  <c r="H832" i="22"/>
  <c r="G832" i="22"/>
  <c r="F832" i="22"/>
  <c r="E832" i="22"/>
  <c r="J831" i="22"/>
  <c r="I831" i="22"/>
  <c r="H831" i="22"/>
  <c r="G831" i="22"/>
  <c r="F831" i="22"/>
  <c r="E831" i="22"/>
  <c r="I830" i="22"/>
  <c r="H830" i="22"/>
  <c r="G830" i="22"/>
  <c r="F830" i="22"/>
  <c r="E830" i="22"/>
  <c r="I829" i="22"/>
  <c r="H829" i="22"/>
  <c r="G829" i="22"/>
  <c r="F829" i="22"/>
  <c r="E829" i="22"/>
  <c r="J827" i="22"/>
  <c r="E817" i="22"/>
  <c r="F817" i="22"/>
  <c r="G817" i="22"/>
  <c r="H817" i="22"/>
  <c r="I817" i="22"/>
  <c r="E818" i="22"/>
  <c r="F818" i="22"/>
  <c r="G818" i="22"/>
  <c r="H818" i="22"/>
  <c r="I818" i="22"/>
  <c r="J818" i="22"/>
  <c r="I809" i="22"/>
  <c r="H809" i="22"/>
  <c r="G809" i="22"/>
  <c r="F809" i="22"/>
  <c r="E809" i="22"/>
  <c r="I808" i="22"/>
  <c r="H808" i="22"/>
  <c r="G808" i="22"/>
  <c r="F808" i="22"/>
  <c r="E808" i="22"/>
  <c r="J807" i="22"/>
  <c r="I807" i="22"/>
  <c r="H807" i="22"/>
  <c r="G807" i="22"/>
  <c r="F807" i="22"/>
  <c r="E807" i="22"/>
  <c r="E790" i="22"/>
  <c r="F790" i="22"/>
  <c r="G790" i="22"/>
  <c r="H790" i="22"/>
  <c r="I790" i="22"/>
  <c r="J790" i="22"/>
  <c r="E791" i="22"/>
  <c r="F791" i="22"/>
  <c r="G791" i="22"/>
  <c r="H791" i="22"/>
  <c r="I791" i="22"/>
  <c r="E792" i="22"/>
  <c r="F792" i="22"/>
  <c r="G792" i="22"/>
  <c r="H792" i="22"/>
  <c r="I792" i="22"/>
  <c r="E793" i="22"/>
  <c r="F793" i="22"/>
  <c r="G793" i="22"/>
  <c r="H793" i="22"/>
  <c r="I793" i="22"/>
  <c r="E794" i="22"/>
  <c r="F794" i="22"/>
  <c r="G794" i="22"/>
  <c r="H794" i="22"/>
  <c r="I794" i="22"/>
  <c r="E795" i="22"/>
  <c r="F795" i="22"/>
  <c r="G795" i="22"/>
  <c r="H795" i="22"/>
  <c r="I795" i="22"/>
  <c r="E796" i="22"/>
  <c r="F796" i="22"/>
  <c r="G796" i="22"/>
  <c r="H796" i="22"/>
  <c r="I796" i="22"/>
  <c r="E797" i="22"/>
  <c r="F797" i="22"/>
  <c r="G797" i="22"/>
  <c r="H797" i="22"/>
  <c r="I797" i="22"/>
  <c r="E798" i="22"/>
  <c r="F798" i="22"/>
  <c r="G798" i="22"/>
  <c r="H798" i="22"/>
  <c r="I798" i="22"/>
  <c r="J798" i="22"/>
  <c r="E799" i="22"/>
  <c r="F799" i="22"/>
  <c r="G799" i="22"/>
  <c r="H799" i="22"/>
  <c r="I799" i="22"/>
  <c r="E776" i="22"/>
  <c r="F776" i="22"/>
  <c r="G776" i="22"/>
  <c r="H776" i="22"/>
  <c r="I776" i="22"/>
  <c r="E777" i="22"/>
  <c r="F777" i="22"/>
  <c r="G777" i="22"/>
  <c r="H777" i="22"/>
  <c r="I777" i="22"/>
  <c r="J777" i="22"/>
  <c r="E778" i="22"/>
  <c r="F778" i="22"/>
  <c r="G778" i="22"/>
  <c r="H778" i="22"/>
  <c r="I778" i="22"/>
  <c r="J778" i="22"/>
  <c r="E779" i="22"/>
  <c r="F779" i="22"/>
  <c r="G779" i="22"/>
  <c r="H779" i="22"/>
  <c r="I779" i="22"/>
  <c r="E780" i="22"/>
  <c r="F780" i="22"/>
  <c r="G780" i="22"/>
  <c r="H780" i="22"/>
  <c r="I780" i="22"/>
  <c r="E765" i="22"/>
  <c r="F765" i="22"/>
  <c r="G765" i="22"/>
  <c r="H765" i="22"/>
  <c r="I765" i="22"/>
  <c r="J765" i="22"/>
  <c r="E766" i="22"/>
  <c r="F766" i="22"/>
  <c r="G766" i="22"/>
  <c r="H766" i="22"/>
  <c r="I766" i="22"/>
  <c r="J766" i="22"/>
  <c r="E767" i="22"/>
  <c r="F767" i="22"/>
  <c r="G767" i="22"/>
  <c r="H767" i="22"/>
  <c r="I767" i="22"/>
  <c r="E751" i="22"/>
  <c r="F751" i="22"/>
  <c r="G751" i="22"/>
  <c r="H751" i="22"/>
  <c r="I751" i="22"/>
  <c r="E752" i="22"/>
  <c r="F752" i="22"/>
  <c r="G752" i="22"/>
  <c r="H752" i="22"/>
  <c r="I752" i="22"/>
  <c r="E753" i="22"/>
  <c r="F753" i="22"/>
  <c r="G753" i="22"/>
  <c r="H753" i="22"/>
  <c r="I753" i="22"/>
  <c r="J753" i="22"/>
  <c r="E754" i="22"/>
  <c r="F754" i="22"/>
  <c r="G754" i="22"/>
  <c r="H754" i="22"/>
  <c r="I754" i="22"/>
  <c r="E755" i="22"/>
  <c r="F755" i="22"/>
  <c r="G755" i="22"/>
  <c r="H755" i="22"/>
  <c r="I755" i="22"/>
  <c r="E756" i="22"/>
  <c r="F756" i="22"/>
  <c r="G756" i="22"/>
  <c r="H756" i="22"/>
  <c r="I756" i="22"/>
  <c r="J756" i="22"/>
  <c r="E757" i="22"/>
  <c r="F757" i="22"/>
  <c r="G757" i="22"/>
  <c r="H757" i="22"/>
  <c r="I757" i="22"/>
  <c r="J757" i="22"/>
  <c r="E739" i="22"/>
  <c r="F739" i="22"/>
  <c r="G739" i="22"/>
  <c r="H739" i="22"/>
  <c r="I739" i="22"/>
  <c r="J739" i="22"/>
  <c r="E740" i="22"/>
  <c r="F740" i="22"/>
  <c r="G740" i="22"/>
  <c r="H740" i="22"/>
  <c r="I740" i="22"/>
  <c r="E741" i="22"/>
  <c r="F741" i="22"/>
  <c r="G741" i="22"/>
  <c r="H741" i="22"/>
  <c r="I741" i="22"/>
  <c r="E742" i="22"/>
  <c r="F742" i="22"/>
  <c r="G742" i="22"/>
  <c r="H742" i="22"/>
  <c r="I742" i="22"/>
  <c r="J742" i="22"/>
  <c r="E726" i="22"/>
  <c r="F726" i="22"/>
  <c r="G726" i="22"/>
  <c r="H726" i="22"/>
  <c r="I726" i="22"/>
  <c r="E727" i="22"/>
  <c r="F727" i="22"/>
  <c r="G727" i="22"/>
  <c r="H727" i="22"/>
  <c r="I727" i="22"/>
  <c r="I725" i="22"/>
  <c r="H725" i="22"/>
  <c r="G725" i="22"/>
  <c r="F725" i="22"/>
  <c r="E725" i="22"/>
  <c r="J724" i="22"/>
  <c r="I724" i="22"/>
  <c r="H724" i="22"/>
  <c r="G724" i="22"/>
  <c r="F724" i="22"/>
  <c r="E724" i="22"/>
  <c r="I723" i="22"/>
  <c r="H723" i="22"/>
  <c r="G723" i="22"/>
  <c r="F723" i="22"/>
  <c r="E723" i="22"/>
  <c r="J719" i="22"/>
  <c r="I719" i="22"/>
  <c r="H719" i="22"/>
  <c r="G719" i="22"/>
  <c r="F719" i="22"/>
  <c r="E719" i="22"/>
  <c r="I715" i="22"/>
  <c r="H715" i="22"/>
  <c r="G715" i="22"/>
  <c r="F715" i="22"/>
  <c r="E715" i="22"/>
  <c r="J714" i="22"/>
  <c r="I714" i="22"/>
  <c r="H714" i="22"/>
  <c r="G714" i="22"/>
  <c r="F714" i="22"/>
  <c r="E714" i="22"/>
  <c r="J713" i="22"/>
  <c r="I713" i="22"/>
  <c r="H713" i="22"/>
  <c r="G713" i="22"/>
  <c r="F713" i="22"/>
  <c r="E713" i="22"/>
  <c r="I712" i="22"/>
  <c r="H712" i="22"/>
  <c r="G712" i="22"/>
  <c r="F712" i="22"/>
  <c r="E712" i="22"/>
  <c r="J711" i="22"/>
  <c r="I711" i="22"/>
  <c r="H711" i="22"/>
  <c r="G711" i="22"/>
  <c r="F711" i="22"/>
  <c r="E711" i="22"/>
  <c r="J710" i="22"/>
  <c r="I710" i="22"/>
  <c r="H710" i="22"/>
  <c r="G710" i="22"/>
  <c r="F710" i="22"/>
  <c r="E710" i="22"/>
  <c r="J709" i="22"/>
  <c r="I709" i="22"/>
  <c r="H709" i="22"/>
  <c r="G709" i="22"/>
  <c r="F709" i="22"/>
  <c r="E709" i="22"/>
  <c r="J707" i="22"/>
  <c r="E693" i="22"/>
  <c r="F693" i="22"/>
  <c r="G693" i="22"/>
  <c r="H693" i="22"/>
  <c r="I693" i="22"/>
  <c r="E694" i="22"/>
  <c r="F694" i="22"/>
  <c r="G694" i="22"/>
  <c r="H694" i="22"/>
  <c r="I694" i="22"/>
  <c r="J694" i="22"/>
  <c r="E695" i="22"/>
  <c r="F695" i="22"/>
  <c r="G695" i="22"/>
  <c r="H695" i="22"/>
  <c r="I695" i="22"/>
  <c r="E696" i="22"/>
  <c r="F696" i="22"/>
  <c r="G696" i="22"/>
  <c r="H696" i="22"/>
  <c r="I696" i="22"/>
  <c r="J696" i="22"/>
  <c r="E697" i="22"/>
  <c r="F697" i="22"/>
  <c r="G697" i="22"/>
  <c r="H697" i="22"/>
  <c r="I697" i="22"/>
  <c r="E698" i="22"/>
  <c r="F698" i="22"/>
  <c r="G698" i="22"/>
  <c r="H698" i="22"/>
  <c r="I698" i="22"/>
  <c r="J698" i="22"/>
  <c r="E699" i="22"/>
  <c r="F699" i="22"/>
  <c r="G699" i="22"/>
  <c r="H699" i="22"/>
  <c r="I699" i="22"/>
  <c r="J699" i="22"/>
  <c r="E700" i="22"/>
  <c r="F700" i="22"/>
  <c r="G700" i="22"/>
  <c r="H700" i="22"/>
  <c r="I700" i="22"/>
  <c r="E701" i="22"/>
  <c r="F701" i="22"/>
  <c r="G701" i="22"/>
  <c r="H701" i="22"/>
  <c r="I701" i="22"/>
  <c r="E702" i="22"/>
  <c r="F702" i="22"/>
  <c r="G702" i="22"/>
  <c r="H702" i="22"/>
  <c r="I702" i="22"/>
  <c r="J702" i="22"/>
  <c r="E703" i="22"/>
  <c r="F703" i="22"/>
  <c r="G703" i="22"/>
  <c r="H703" i="22"/>
  <c r="I703" i="22"/>
  <c r="I673" i="22"/>
  <c r="H673" i="22"/>
  <c r="G673" i="22"/>
  <c r="F673" i="22"/>
  <c r="E673" i="22"/>
  <c r="J672" i="22"/>
  <c r="I672" i="22"/>
  <c r="H672" i="22"/>
  <c r="G672" i="22"/>
  <c r="F672" i="22"/>
  <c r="E672" i="22"/>
  <c r="J671" i="22"/>
  <c r="I671" i="22"/>
  <c r="H671" i="22"/>
  <c r="G671" i="22"/>
  <c r="F671" i="22"/>
  <c r="E671" i="22"/>
  <c r="J670" i="22"/>
  <c r="I670" i="22"/>
  <c r="H670" i="22"/>
  <c r="G670" i="22"/>
  <c r="F670" i="22"/>
  <c r="E670" i="22"/>
  <c r="I669" i="22"/>
  <c r="H669" i="22"/>
  <c r="G669" i="22"/>
  <c r="F669" i="22"/>
  <c r="E669" i="22"/>
  <c r="J668" i="22"/>
  <c r="I668" i="22"/>
  <c r="H668" i="22"/>
  <c r="G668" i="22"/>
  <c r="F668" i="22"/>
  <c r="E668" i="22"/>
  <c r="I667" i="22"/>
  <c r="H667" i="22"/>
  <c r="G667" i="22"/>
  <c r="F667" i="22"/>
  <c r="E667" i="22"/>
  <c r="I666" i="22"/>
  <c r="H666" i="22"/>
  <c r="G666" i="22"/>
  <c r="F666" i="22"/>
  <c r="E666" i="22"/>
  <c r="I665" i="22"/>
  <c r="H665" i="22"/>
  <c r="G665" i="22"/>
  <c r="F665" i="22"/>
  <c r="E665" i="22"/>
  <c r="J664" i="22"/>
  <c r="I664" i="22"/>
  <c r="H664" i="22"/>
  <c r="G664" i="22"/>
  <c r="F664" i="22"/>
  <c r="E664" i="22"/>
  <c r="I663" i="22"/>
  <c r="H663" i="22"/>
  <c r="G663" i="22"/>
  <c r="F663" i="22"/>
  <c r="E663" i="22"/>
  <c r="I662" i="22"/>
  <c r="H662" i="22"/>
  <c r="G662" i="22"/>
  <c r="F662" i="22"/>
  <c r="E662" i="22"/>
  <c r="I661" i="22"/>
  <c r="H661" i="22"/>
  <c r="G661" i="22"/>
  <c r="F661" i="22"/>
  <c r="E661" i="22"/>
  <c r="J659" i="22"/>
  <c r="E650" i="22"/>
  <c r="F650" i="22"/>
  <c r="G650" i="22"/>
  <c r="H650" i="22"/>
  <c r="I650" i="22"/>
  <c r="J613" i="22"/>
  <c r="J632" i="22"/>
  <c r="I632" i="22"/>
  <c r="H632" i="22"/>
  <c r="G632" i="22"/>
  <c r="F632" i="22"/>
  <c r="E632" i="22"/>
  <c r="I631" i="22"/>
  <c r="H631" i="22"/>
  <c r="G631" i="22"/>
  <c r="F631" i="22"/>
  <c r="E631" i="22"/>
  <c r="I630" i="22"/>
  <c r="H630" i="22"/>
  <c r="G630" i="22"/>
  <c r="F630" i="22"/>
  <c r="E630" i="22"/>
  <c r="I629" i="22"/>
  <c r="H629" i="22"/>
  <c r="G629" i="22"/>
  <c r="F629" i="22"/>
  <c r="E629" i="22"/>
  <c r="I628" i="22"/>
  <c r="H628" i="22"/>
  <c r="G628" i="22"/>
  <c r="F628" i="22"/>
  <c r="E628" i="22"/>
  <c r="I627" i="22"/>
  <c r="H627" i="22"/>
  <c r="G627" i="22"/>
  <c r="F627" i="22"/>
  <c r="E627" i="22"/>
  <c r="I626" i="22"/>
  <c r="H626" i="22"/>
  <c r="G626" i="22"/>
  <c r="F626" i="22"/>
  <c r="E626" i="22"/>
  <c r="I625" i="22"/>
  <c r="H625" i="22"/>
  <c r="G625" i="22"/>
  <c r="F625" i="22"/>
  <c r="E625" i="22"/>
  <c r="J624" i="22"/>
  <c r="I624" i="22"/>
  <c r="H624" i="22"/>
  <c r="G624" i="22"/>
  <c r="F624" i="22"/>
  <c r="E624" i="22"/>
  <c r="J623" i="22"/>
  <c r="I623" i="22"/>
  <c r="H623" i="22"/>
  <c r="G623" i="22"/>
  <c r="F623" i="22"/>
  <c r="E623" i="22"/>
  <c r="I622" i="22"/>
  <c r="H622" i="22"/>
  <c r="G622" i="22"/>
  <c r="F622" i="22"/>
  <c r="E622" i="22"/>
  <c r="I621" i="22"/>
  <c r="H621" i="22"/>
  <c r="G621" i="22"/>
  <c r="F621" i="22"/>
  <c r="E621" i="22"/>
  <c r="I620" i="22"/>
  <c r="H620" i="22"/>
  <c r="G620" i="22"/>
  <c r="F620" i="22"/>
  <c r="E620" i="22"/>
  <c r="I619" i="22"/>
  <c r="H619" i="22"/>
  <c r="G619" i="22"/>
  <c r="F619" i="22"/>
  <c r="E619" i="22"/>
  <c r="I618" i="22"/>
  <c r="H618" i="22"/>
  <c r="G618" i="22"/>
  <c r="F618" i="22"/>
  <c r="E618" i="22"/>
  <c r="I617" i="22"/>
  <c r="H617" i="22"/>
  <c r="G617" i="22"/>
  <c r="F617" i="22"/>
  <c r="E617" i="22"/>
  <c r="J616" i="22"/>
  <c r="I616" i="22"/>
  <c r="H616" i="22"/>
  <c r="G616" i="22"/>
  <c r="F616" i="22"/>
  <c r="E616" i="22"/>
  <c r="J615" i="22"/>
  <c r="I615" i="22"/>
  <c r="H615" i="22"/>
  <c r="G615" i="22"/>
  <c r="F615" i="22"/>
  <c r="E615" i="22"/>
  <c r="I614" i="22"/>
  <c r="H614" i="22"/>
  <c r="G614" i="22"/>
  <c r="F614" i="22"/>
  <c r="E614" i="22"/>
  <c r="I613" i="22"/>
  <c r="H613" i="22"/>
  <c r="G613" i="22"/>
  <c r="F613" i="22"/>
  <c r="E613" i="22"/>
  <c r="J611" i="22"/>
  <c r="E567" i="22"/>
  <c r="F567" i="22"/>
  <c r="G567" i="22"/>
  <c r="H567" i="22"/>
  <c r="I567" i="22"/>
  <c r="E568" i="22"/>
  <c r="F568" i="22"/>
  <c r="G568" i="22"/>
  <c r="H568" i="22"/>
  <c r="I568" i="22"/>
  <c r="J568" i="22"/>
  <c r="E569" i="22"/>
  <c r="F569" i="22"/>
  <c r="G569" i="22"/>
  <c r="H569" i="22"/>
  <c r="I569" i="22"/>
  <c r="E570" i="22"/>
  <c r="F570" i="22"/>
  <c r="G570" i="22"/>
  <c r="H570" i="22"/>
  <c r="I570" i="22"/>
  <c r="J570" i="22"/>
  <c r="E571" i="22"/>
  <c r="F571" i="22"/>
  <c r="G571" i="22"/>
  <c r="H571" i="22"/>
  <c r="I571" i="22"/>
  <c r="J571" i="22"/>
  <c r="E572" i="22"/>
  <c r="F572" i="22"/>
  <c r="G572" i="22"/>
  <c r="H572" i="22"/>
  <c r="I572" i="22"/>
  <c r="J572" i="22"/>
  <c r="E573" i="22"/>
  <c r="F573" i="22"/>
  <c r="G573" i="22"/>
  <c r="H573" i="22"/>
  <c r="I573" i="22"/>
  <c r="E574" i="22"/>
  <c r="F574" i="22"/>
  <c r="G574" i="22"/>
  <c r="H574" i="22"/>
  <c r="I574" i="22"/>
  <c r="E575" i="22"/>
  <c r="F575" i="22"/>
  <c r="G575" i="22"/>
  <c r="H575" i="22"/>
  <c r="I575" i="22"/>
  <c r="E576" i="22"/>
  <c r="F576" i="22"/>
  <c r="G576" i="22"/>
  <c r="H576" i="22"/>
  <c r="I576" i="22"/>
  <c r="J576" i="22"/>
  <c r="E577" i="22"/>
  <c r="F577" i="22"/>
  <c r="G577" i="22"/>
  <c r="H577" i="22"/>
  <c r="I577" i="22"/>
  <c r="E578" i="22"/>
  <c r="F578" i="22"/>
  <c r="G578" i="22"/>
  <c r="H578" i="22"/>
  <c r="I578" i="22"/>
  <c r="J578" i="22"/>
  <c r="E579" i="22"/>
  <c r="F579" i="22"/>
  <c r="G579" i="22"/>
  <c r="H579" i="22"/>
  <c r="I579" i="22"/>
  <c r="J579" i="22"/>
  <c r="E580" i="22"/>
  <c r="F580" i="22"/>
  <c r="G580" i="22"/>
  <c r="H580" i="22"/>
  <c r="I580" i="22"/>
  <c r="J580" i="22"/>
  <c r="E581" i="22"/>
  <c r="F581" i="22"/>
  <c r="G581" i="22"/>
  <c r="H581" i="22"/>
  <c r="I581" i="22"/>
  <c r="J723" i="22"/>
  <c r="E555" i="22"/>
  <c r="F555" i="22"/>
  <c r="G555" i="22"/>
  <c r="H555" i="22"/>
  <c r="I555" i="22"/>
  <c r="E554" i="22"/>
  <c r="F554" i="22"/>
  <c r="G554" i="22"/>
  <c r="H554" i="22"/>
  <c r="I554" i="22"/>
  <c r="I553" i="22"/>
  <c r="H553" i="22"/>
  <c r="G553" i="22"/>
  <c r="F553" i="22"/>
  <c r="E553" i="22"/>
  <c r="I552" i="22"/>
  <c r="H552" i="22"/>
  <c r="G552" i="22"/>
  <c r="F552" i="22"/>
  <c r="E552" i="22"/>
  <c r="I551" i="22"/>
  <c r="H551" i="22"/>
  <c r="G551" i="22"/>
  <c r="F551" i="22"/>
  <c r="E551" i="22"/>
  <c r="I550" i="22"/>
  <c r="H550" i="22"/>
  <c r="G550" i="22"/>
  <c r="F550" i="22"/>
  <c r="E550" i="22"/>
  <c r="I549" i="22"/>
  <c r="H549" i="22"/>
  <c r="G549" i="22"/>
  <c r="F549" i="22"/>
  <c r="E549" i="22"/>
  <c r="I548" i="22"/>
  <c r="H548" i="22"/>
  <c r="G548" i="22"/>
  <c r="F548" i="22"/>
  <c r="E548" i="22"/>
  <c r="I547" i="22"/>
  <c r="H547" i="22"/>
  <c r="G547" i="22"/>
  <c r="F547" i="22"/>
  <c r="E547" i="22"/>
  <c r="I546" i="22"/>
  <c r="H546" i="22"/>
  <c r="G546" i="22"/>
  <c r="F546" i="22"/>
  <c r="E546" i="22"/>
  <c r="I545" i="22"/>
  <c r="H545" i="22"/>
  <c r="G545" i="22"/>
  <c r="F545" i="22"/>
  <c r="E545" i="22"/>
  <c r="I544" i="22"/>
  <c r="H544" i="22"/>
  <c r="G544" i="22"/>
  <c r="F544" i="22"/>
  <c r="E544" i="22"/>
  <c r="I543" i="22"/>
  <c r="H543" i="22"/>
  <c r="G543" i="22"/>
  <c r="F543" i="22"/>
  <c r="E543" i="22"/>
  <c r="I542" i="22"/>
  <c r="H542" i="22"/>
  <c r="G542" i="22"/>
  <c r="F542" i="22"/>
  <c r="E542" i="22"/>
  <c r="I541" i="22"/>
  <c r="H541" i="22"/>
  <c r="G541" i="22"/>
  <c r="F541" i="22"/>
  <c r="E541" i="22"/>
  <c r="I540" i="22"/>
  <c r="H540" i="22"/>
  <c r="G540" i="22"/>
  <c r="F540" i="22"/>
  <c r="E540" i="22"/>
  <c r="I539" i="22"/>
  <c r="H539" i="22"/>
  <c r="G539" i="22"/>
  <c r="F539" i="22"/>
  <c r="E539" i="22"/>
  <c r="I538" i="22"/>
  <c r="H538" i="22"/>
  <c r="G538" i="22"/>
  <c r="F538" i="22"/>
  <c r="E538" i="22"/>
  <c r="I537" i="22"/>
  <c r="H537" i="22"/>
  <c r="G537" i="22"/>
  <c r="F537" i="22"/>
  <c r="E537" i="22"/>
  <c r="I536" i="22"/>
  <c r="H536" i="22"/>
  <c r="G536" i="22"/>
  <c r="F536" i="22"/>
  <c r="E536" i="22"/>
  <c r="I535" i="22"/>
  <c r="H535" i="22"/>
  <c r="G535" i="22"/>
  <c r="F535" i="22"/>
  <c r="E535" i="22"/>
  <c r="I534" i="22"/>
  <c r="H534" i="22"/>
  <c r="G534" i="22"/>
  <c r="F534" i="22"/>
  <c r="E534" i="22"/>
  <c r="J532" i="22"/>
  <c r="E514" i="22"/>
  <c r="F514" i="22"/>
  <c r="G514" i="22"/>
  <c r="H514" i="22"/>
  <c r="I514" i="22"/>
  <c r="E515" i="22"/>
  <c r="F515" i="22"/>
  <c r="G515" i="22"/>
  <c r="H515" i="22"/>
  <c r="I515" i="22"/>
  <c r="E516" i="22"/>
  <c r="F516" i="22"/>
  <c r="G516" i="22"/>
  <c r="H516" i="22"/>
  <c r="I516" i="22"/>
  <c r="E517" i="22"/>
  <c r="F517" i="22"/>
  <c r="G517" i="22"/>
  <c r="H517" i="22"/>
  <c r="I517" i="22"/>
  <c r="E518" i="22"/>
  <c r="F518" i="22"/>
  <c r="G518" i="22"/>
  <c r="H518" i="22"/>
  <c r="I518" i="22"/>
  <c r="E519" i="22"/>
  <c r="F519" i="22"/>
  <c r="G519" i="22"/>
  <c r="H519" i="22"/>
  <c r="I519" i="22"/>
  <c r="E520" i="22"/>
  <c r="F520" i="22"/>
  <c r="G520" i="22"/>
  <c r="H520" i="22"/>
  <c r="I520" i="22"/>
  <c r="E521" i="22"/>
  <c r="F521" i="22"/>
  <c r="G521" i="22"/>
  <c r="H521" i="22"/>
  <c r="I521" i="22"/>
  <c r="E522" i="22"/>
  <c r="F522" i="22"/>
  <c r="G522" i="22"/>
  <c r="H522" i="22"/>
  <c r="I522" i="22"/>
  <c r="E523" i="22"/>
  <c r="F523" i="22"/>
  <c r="G523" i="22"/>
  <c r="H523" i="22"/>
  <c r="I523" i="22"/>
  <c r="E524" i="22"/>
  <c r="F524" i="22"/>
  <c r="G524" i="22"/>
  <c r="H524" i="22"/>
  <c r="I524" i="22"/>
  <c r="E525" i="22"/>
  <c r="F525" i="22"/>
  <c r="G525" i="22"/>
  <c r="H525" i="22"/>
  <c r="I525" i="22"/>
  <c r="E526" i="22"/>
  <c r="F526" i="22"/>
  <c r="G526" i="22"/>
  <c r="H526" i="22"/>
  <c r="I526" i="22"/>
  <c r="E527" i="22"/>
  <c r="F527" i="22"/>
  <c r="G527" i="22"/>
  <c r="H527" i="22"/>
  <c r="I527" i="22"/>
  <c r="E468" i="22"/>
  <c r="F468" i="22"/>
  <c r="G468" i="22"/>
  <c r="H468" i="22"/>
  <c r="I468" i="22"/>
  <c r="E469" i="22"/>
  <c r="F469" i="22"/>
  <c r="G469" i="22"/>
  <c r="H469" i="22"/>
  <c r="I469" i="22"/>
  <c r="E470" i="22"/>
  <c r="F470" i="22"/>
  <c r="G470" i="22"/>
  <c r="H470" i="22"/>
  <c r="I470" i="22"/>
  <c r="E471" i="22"/>
  <c r="F471" i="22"/>
  <c r="G471" i="22"/>
  <c r="H471" i="22"/>
  <c r="I471" i="22"/>
  <c r="E472" i="22"/>
  <c r="F472" i="22"/>
  <c r="G472" i="22"/>
  <c r="H472" i="22"/>
  <c r="I472" i="22"/>
  <c r="E473" i="22"/>
  <c r="F473" i="22"/>
  <c r="G473" i="22"/>
  <c r="H473" i="22"/>
  <c r="I473" i="22"/>
  <c r="E474" i="22"/>
  <c r="F474" i="22"/>
  <c r="G474" i="22"/>
  <c r="H474" i="22"/>
  <c r="I474" i="22"/>
  <c r="E475" i="22"/>
  <c r="F475" i="22"/>
  <c r="G475" i="22"/>
  <c r="H475" i="22"/>
  <c r="I475" i="22"/>
  <c r="E420" i="22"/>
  <c r="F420" i="22"/>
  <c r="G420" i="22"/>
  <c r="H420" i="22"/>
  <c r="I420" i="22"/>
  <c r="E421" i="22"/>
  <c r="F421" i="22"/>
  <c r="G421" i="22"/>
  <c r="H421" i="22"/>
  <c r="I421" i="22"/>
  <c r="E422" i="22"/>
  <c r="F422" i="22"/>
  <c r="G422" i="22"/>
  <c r="H422" i="22"/>
  <c r="I422" i="22"/>
  <c r="E423" i="22"/>
  <c r="F423" i="22"/>
  <c r="G423" i="22"/>
  <c r="H423" i="22"/>
  <c r="I423" i="22"/>
  <c r="E424" i="22"/>
  <c r="F424" i="22"/>
  <c r="G424" i="22"/>
  <c r="H424" i="22"/>
  <c r="I424" i="22"/>
  <c r="E425" i="22"/>
  <c r="F425" i="22"/>
  <c r="G425" i="22"/>
  <c r="H425" i="22"/>
  <c r="I425" i="22"/>
  <c r="E391" i="22"/>
  <c r="F391" i="22"/>
  <c r="G391" i="22"/>
  <c r="H391" i="22"/>
  <c r="I391" i="22"/>
  <c r="E392" i="22"/>
  <c r="F392" i="22"/>
  <c r="G392" i="22"/>
  <c r="H392" i="22"/>
  <c r="I392" i="22"/>
  <c r="E393" i="22"/>
  <c r="F393" i="22"/>
  <c r="G393" i="22"/>
  <c r="H393" i="22"/>
  <c r="I393" i="22"/>
  <c r="E394" i="22"/>
  <c r="F394" i="22"/>
  <c r="G394" i="22"/>
  <c r="H394" i="22"/>
  <c r="I394" i="22"/>
  <c r="I407" i="22"/>
  <c r="H407" i="22"/>
  <c r="G407" i="22"/>
  <c r="F407" i="22"/>
  <c r="E407" i="22"/>
  <c r="I406" i="22"/>
  <c r="H406" i="22"/>
  <c r="G406" i="22"/>
  <c r="F406" i="22"/>
  <c r="E406" i="22"/>
  <c r="I405" i="22"/>
  <c r="H405" i="22"/>
  <c r="G405" i="22"/>
  <c r="F405" i="22"/>
  <c r="E405" i="22"/>
  <c r="I404" i="22"/>
  <c r="H404" i="22"/>
  <c r="G404" i="22"/>
  <c r="F404" i="22"/>
  <c r="E404" i="22"/>
  <c r="I403" i="22"/>
  <c r="H403" i="22"/>
  <c r="G403" i="22"/>
  <c r="F403" i="22"/>
  <c r="E403" i="22"/>
  <c r="I402" i="22"/>
  <c r="H402" i="22"/>
  <c r="G402" i="22"/>
  <c r="F402" i="22"/>
  <c r="E402" i="22"/>
  <c r="I401" i="22"/>
  <c r="H401" i="22"/>
  <c r="G401" i="22"/>
  <c r="F401" i="22"/>
  <c r="E401" i="22"/>
  <c r="J399" i="22"/>
  <c r="E362" i="22"/>
  <c r="F362" i="22"/>
  <c r="G362" i="22"/>
  <c r="H362" i="22"/>
  <c r="I362" i="22"/>
  <c r="E363" i="22"/>
  <c r="F363" i="22"/>
  <c r="G363" i="22"/>
  <c r="H363" i="22"/>
  <c r="I363" i="22"/>
  <c r="E364" i="22"/>
  <c r="F364" i="22"/>
  <c r="G364" i="22"/>
  <c r="H364" i="22"/>
  <c r="I364" i="22"/>
  <c r="E365" i="22"/>
  <c r="F365" i="22"/>
  <c r="G365" i="22"/>
  <c r="H365" i="22"/>
  <c r="I365" i="22"/>
  <c r="E366" i="22"/>
  <c r="F366" i="22"/>
  <c r="G366" i="22"/>
  <c r="H366" i="22"/>
  <c r="I366" i="22"/>
  <c r="E367" i="22"/>
  <c r="F367" i="22"/>
  <c r="G367" i="22"/>
  <c r="H367" i="22"/>
  <c r="I367" i="22"/>
  <c r="E368" i="22"/>
  <c r="F368" i="22"/>
  <c r="G368" i="22"/>
  <c r="H368" i="22"/>
  <c r="I368" i="22"/>
  <c r="E319" i="22"/>
  <c r="F319" i="22"/>
  <c r="G319" i="22"/>
  <c r="H319" i="22"/>
  <c r="I319" i="22"/>
  <c r="E320" i="22"/>
  <c r="F320" i="22"/>
  <c r="G320" i="22"/>
  <c r="H320" i="22"/>
  <c r="I320" i="22"/>
  <c r="E321" i="22"/>
  <c r="F321" i="22"/>
  <c r="G321" i="22"/>
  <c r="H321" i="22"/>
  <c r="I321" i="22"/>
  <c r="E322" i="22"/>
  <c r="F322" i="22"/>
  <c r="G322" i="22"/>
  <c r="H322" i="22"/>
  <c r="I322" i="22"/>
  <c r="E323" i="22"/>
  <c r="F323" i="22"/>
  <c r="G323" i="22"/>
  <c r="H323" i="22"/>
  <c r="I323" i="22"/>
  <c r="E308" i="22"/>
  <c r="F308" i="22"/>
  <c r="G308" i="22"/>
  <c r="H308" i="22"/>
  <c r="I308" i="22"/>
  <c r="E309" i="22"/>
  <c r="F309" i="22"/>
  <c r="G309" i="22"/>
  <c r="H309" i="22"/>
  <c r="I309" i="22"/>
  <c r="E297" i="22"/>
  <c r="F297" i="22"/>
  <c r="G297" i="22"/>
  <c r="H297" i="22"/>
  <c r="I297" i="22"/>
  <c r="E298" i="22"/>
  <c r="F298" i="22"/>
  <c r="G298" i="22"/>
  <c r="H298" i="22"/>
  <c r="I298" i="22"/>
  <c r="E299" i="22"/>
  <c r="F299" i="22"/>
  <c r="G299" i="22"/>
  <c r="H299" i="22"/>
  <c r="I299" i="22"/>
  <c r="E300" i="22"/>
  <c r="F300" i="22"/>
  <c r="G300" i="22"/>
  <c r="H300" i="22"/>
  <c r="I300" i="22"/>
  <c r="E301" i="22"/>
  <c r="F301" i="22"/>
  <c r="G301" i="22"/>
  <c r="H301" i="22"/>
  <c r="I301" i="22"/>
  <c r="E283" i="22"/>
  <c r="F283" i="22"/>
  <c r="G283" i="22"/>
  <c r="H283" i="22"/>
  <c r="I283" i="22"/>
  <c r="E284" i="22"/>
  <c r="F284" i="22"/>
  <c r="G284" i="22"/>
  <c r="H284" i="22"/>
  <c r="I284" i="22"/>
  <c r="E285" i="22"/>
  <c r="F285" i="22"/>
  <c r="G285" i="22"/>
  <c r="H285" i="22"/>
  <c r="I285" i="22"/>
  <c r="E286" i="22"/>
  <c r="F286" i="22"/>
  <c r="G286" i="22"/>
  <c r="H286" i="22"/>
  <c r="I286" i="22"/>
  <c r="E254" i="22"/>
  <c r="F254" i="22"/>
  <c r="G254" i="22"/>
  <c r="H254" i="22"/>
  <c r="I254" i="22"/>
  <c r="E255" i="22"/>
  <c r="F255" i="22"/>
  <c r="G255" i="22"/>
  <c r="H255" i="22"/>
  <c r="I255" i="22"/>
  <c r="E256" i="22"/>
  <c r="F256" i="22"/>
  <c r="G256" i="22"/>
  <c r="H256" i="22"/>
  <c r="I256" i="22"/>
  <c r="E257" i="22"/>
  <c r="F257" i="22"/>
  <c r="G257" i="22"/>
  <c r="H257" i="22"/>
  <c r="I257" i="22"/>
  <c r="E258" i="22"/>
  <c r="F258" i="22"/>
  <c r="G258" i="22"/>
  <c r="H258" i="22"/>
  <c r="I258" i="22"/>
  <c r="E259" i="22"/>
  <c r="F259" i="22"/>
  <c r="G259" i="22"/>
  <c r="H259" i="22"/>
  <c r="I259" i="22"/>
  <c r="E260" i="22"/>
  <c r="F260" i="22"/>
  <c r="G260" i="22"/>
  <c r="H260" i="22"/>
  <c r="I260" i="22"/>
  <c r="E261" i="22"/>
  <c r="F261" i="22"/>
  <c r="G261" i="22"/>
  <c r="H261" i="22"/>
  <c r="I261" i="22"/>
  <c r="E262" i="22"/>
  <c r="F262" i="22"/>
  <c r="G262" i="22"/>
  <c r="H262" i="22"/>
  <c r="I262" i="22"/>
  <c r="E263" i="22"/>
  <c r="F263" i="22"/>
  <c r="G263" i="22"/>
  <c r="H263" i="22"/>
  <c r="I263" i="22"/>
  <c r="E264" i="22"/>
  <c r="F264" i="22"/>
  <c r="G264" i="22"/>
  <c r="H264" i="22"/>
  <c r="I264" i="22"/>
  <c r="E265" i="22"/>
  <c r="F265" i="22"/>
  <c r="G265" i="22"/>
  <c r="H265" i="22"/>
  <c r="I265" i="22"/>
  <c r="E266" i="22"/>
  <c r="F266" i="22"/>
  <c r="G266" i="22"/>
  <c r="H266" i="22"/>
  <c r="I266" i="22"/>
  <c r="E267" i="22"/>
  <c r="F267" i="22"/>
  <c r="G267" i="22"/>
  <c r="H267" i="22"/>
  <c r="I267" i="22"/>
  <c r="E268" i="22"/>
  <c r="F268" i="22"/>
  <c r="G268" i="22"/>
  <c r="H268" i="22"/>
  <c r="I268" i="22"/>
  <c r="E269" i="22"/>
  <c r="F269" i="22"/>
  <c r="G269" i="22"/>
  <c r="H269" i="22"/>
  <c r="I269" i="22"/>
  <c r="E270" i="22"/>
  <c r="F270" i="22"/>
  <c r="G270" i="22"/>
  <c r="H270" i="22"/>
  <c r="I270" i="22"/>
  <c r="G236" i="22"/>
  <c r="H236" i="22"/>
  <c r="I236" i="22"/>
  <c r="G237" i="22"/>
  <c r="H237" i="22"/>
  <c r="I237" i="22"/>
  <c r="G238" i="22"/>
  <c r="H238" i="22"/>
  <c r="I238" i="22"/>
  <c r="F236" i="22"/>
  <c r="F237" i="22"/>
  <c r="F238" i="22"/>
  <c r="E236" i="22"/>
  <c r="E237" i="22"/>
  <c r="E238" i="22"/>
  <c r="I208" i="22"/>
  <c r="F208" i="22"/>
  <c r="E206" i="22"/>
  <c r="F212" i="22"/>
  <c r="I212" i="22"/>
  <c r="H212" i="22"/>
  <c r="G212" i="22"/>
  <c r="E212" i="22"/>
  <c r="I211" i="22"/>
  <c r="H211" i="22"/>
  <c r="G211" i="22"/>
  <c r="F211" i="22"/>
  <c r="E211" i="22"/>
  <c r="I210" i="22"/>
  <c r="H210" i="22"/>
  <c r="G210" i="22"/>
  <c r="F210" i="22"/>
  <c r="E210" i="22"/>
  <c r="I209" i="22"/>
  <c r="H209" i="22"/>
  <c r="G209" i="22"/>
  <c r="F209" i="22"/>
  <c r="E209" i="22"/>
  <c r="H208" i="22"/>
  <c r="G208" i="22"/>
  <c r="E208" i="22"/>
  <c r="I207" i="22"/>
  <c r="H207" i="22"/>
  <c r="G207" i="22"/>
  <c r="F207" i="22"/>
  <c r="E207" i="22"/>
  <c r="I206" i="22"/>
  <c r="H206" i="22"/>
  <c r="G206" i="22"/>
  <c r="F206" i="22"/>
  <c r="I205" i="22"/>
  <c r="H205" i="22"/>
  <c r="G205" i="22"/>
  <c r="F205" i="22"/>
  <c r="E205" i="22"/>
  <c r="I204" i="22"/>
  <c r="H204" i="22"/>
  <c r="G204" i="22"/>
  <c r="F204" i="22"/>
  <c r="E204" i="22"/>
  <c r="J202" i="22"/>
  <c r="I235" i="22"/>
  <c r="H235" i="22"/>
  <c r="G235" i="22"/>
  <c r="F235" i="22"/>
  <c r="E235" i="22"/>
  <c r="I196" i="22"/>
  <c r="I197" i="22"/>
  <c r="H196" i="22"/>
  <c r="H197" i="22"/>
  <c r="G196" i="22"/>
  <c r="G197" i="22"/>
  <c r="F196" i="22"/>
  <c r="F197" i="22"/>
  <c r="E196" i="22"/>
  <c r="E197" i="22"/>
  <c r="J955" i="22"/>
  <c r="J957" i="22"/>
  <c r="J960" i="22"/>
  <c r="J961" i="22"/>
  <c r="J954" i="22"/>
  <c r="J830" i="22"/>
  <c r="J832" i="22"/>
  <c r="J834" i="22"/>
  <c r="J835" i="22"/>
  <c r="J838" i="22"/>
  <c r="J839" i="22"/>
  <c r="J840" i="22"/>
  <c r="J842" i="22"/>
  <c r="J843" i="22"/>
  <c r="J846" i="22"/>
  <c r="J847" i="22"/>
  <c r="J848" i="22"/>
  <c r="J854" i="22"/>
  <c r="J856" i="22"/>
  <c r="J858" i="22"/>
  <c r="J860" i="22"/>
  <c r="J861" i="22"/>
  <c r="J862" i="22"/>
  <c r="J864" i="22"/>
  <c r="J866" i="22"/>
  <c r="J868" i="22"/>
  <c r="J869" i="22"/>
  <c r="J870" i="22"/>
  <c r="J872" i="22"/>
  <c r="J879" i="22"/>
  <c r="J880" i="22"/>
  <c r="J882" i="22"/>
  <c r="J883" i="22"/>
  <c r="J885" i="22"/>
  <c r="J887" i="22"/>
  <c r="J889" i="22"/>
  <c r="J890" i="22"/>
  <c r="J891" i="22"/>
  <c r="J893" i="22"/>
  <c r="J895" i="22"/>
  <c r="J897" i="22"/>
  <c r="J898" i="22"/>
  <c r="J905" i="22"/>
  <c r="J906" i="22"/>
  <c r="J907" i="22"/>
  <c r="J909" i="22"/>
  <c r="J910" i="22"/>
  <c r="J911" i="22"/>
  <c r="J913" i="22"/>
  <c r="J914" i="22"/>
  <c r="J915" i="22"/>
  <c r="J917" i="22"/>
  <c r="J918" i="22"/>
  <c r="J919" i="22"/>
  <c r="J829" i="22"/>
  <c r="J808" i="22"/>
  <c r="J809" i="22"/>
  <c r="J791" i="22"/>
  <c r="J792" i="22"/>
  <c r="J793" i="22"/>
  <c r="J794" i="22"/>
  <c r="J795" i="22"/>
  <c r="J796" i="22"/>
  <c r="J797" i="22"/>
  <c r="J799" i="22"/>
  <c r="J776" i="22"/>
  <c r="J779" i="22"/>
  <c r="J780" i="22"/>
  <c r="J767" i="22"/>
  <c r="J751" i="22"/>
  <c r="J752" i="22"/>
  <c r="J754" i="22"/>
  <c r="J755" i="22"/>
  <c r="J740" i="22"/>
  <c r="J741" i="22"/>
  <c r="J725" i="22"/>
  <c r="J726" i="22"/>
  <c r="J727" i="22"/>
  <c r="J693" i="22"/>
  <c r="J695" i="22"/>
  <c r="J697" i="22"/>
  <c r="J700" i="22"/>
  <c r="J701" i="22"/>
  <c r="J703" i="22"/>
  <c r="J712" i="22"/>
  <c r="J715" i="22"/>
  <c r="J662" i="22"/>
  <c r="J663" i="22"/>
  <c r="J665" i="22"/>
  <c r="J666" i="22"/>
  <c r="J667" i="22"/>
  <c r="J669" i="22"/>
  <c r="J673" i="22"/>
  <c r="J661" i="22"/>
  <c r="J614" i="22"/>
  <c r="J617" i="22"/>
  <c r="J618" i="22"/>
  <c r="J619" i="22"/>
  <c r="J620" i="22"/>
  <c r="J621" i="22"/>
  <c r="J622" i="22"/>
  <c r="J625" i="22"/>
  <c r="J626" i="22"/>
  <c r="J627" i="22"/>
  <c r="J628" i="22"/>
  <c r="J629" i="22"/>
  <c r="J630" i="22"/>
  <c r="J631" i="22"/>
  <c r="J650" i="22"/>
  <c r="J567" i="22"/>
  <c r="J569" i="22"/>
  <c r="J573" i="22"/>
  <c r="J574" i="22"/>
  <c r="J575" i="22"/>
  <c r="J577" i="22"/>
  <c r="J581" i="22"/>
  <c r="J514" i="22"/>
  <c r="J515" i="22"/>
  <c r="J516" i="22"/>
  <c r="J517" i="22"/>
  <c r="J518" i="22"/>
  <c r="J519" i="22"/>
  <c r="J520" i="22"/>
  <c r="J521" i="22"/>
  <c r="J522" i="22"/>
  <c r="J523" i="22"/>
  <c r="J524" i="22"/>
  <c r="J525" i="22"/>
  <c r="J526" i="22"/>
  <c r="J527" i="22"/>
  <c r="J534" i="22"/>
  <c r="J535" i="22"/>
  <c r="J536" i="22"/>
  <c r="J537" i="22"/>
  <c r="J538" i="22"/>
  <c r="J539" i="22"/>
  <c r="J540" i="22"/>
  <c r="J541" i="22"/>
  <c r="J542" i="22"/>
  <c r="J543" i="22"/>
  <c r="J544" i="22"/>
  <c r="J545" i="22"/>
  <c r="J546" i="22"/>
  <c r="J547" i="22"/>
  <c r="J548" i="22"/>
  <c r="J549" i="22"/>
  <c r="J550" i="22"/>
  <c r="J551" i="22"/>
  <c r="J552" i="22"/>
  <c r="J553" i="22"/>
  <c r="J554" i="22"/>
  <c r="J555" i="22"/>
  <c r="J468" i="22"/>
  <c r="J469" i="22"/>
  <c r="J470" i="22"/>
  <c r="J471" i="22"/>
  <c r="J472" i="22"/>
  <c r="J473" i="22"/>
  <c r="J474" i="22"/>
  <c r="J475" i="22"/>
  <c r="J420" i="22"/>
  <c r="J421" i="22"/>
  <c r="J422" i="22"/>
  <c r="J423" i="22"/>
  <c r="J424" i="22"/>
  <c r="J425" i="22"/>
  <c r="J391" i="22"/>
  <c r="J392" i="22"/>
  <c r="J393" i="22"/>
  <c r="J394" i="22"/>
  <c r="J401" i="22"/>
  <c r="J402" i="22"/>
  <c r="J403" i="22"/>
  <c r="J404" i="22"/>
  <c r="J405" i="22"/>
  <c r="J406" i="22"/>
  <c r="J407" i="22"/>
  <c r="J362" i="22"/>
  <c r="J363" i="22"/>
  <c r="J364" i="22"/>
  <c r="J365" i="22"/>
  <c r="J366" i="22"/>
  <c r="J367" i="22"/>
  <c r="J368" i="22"/>
  <c r="J319" i="22"/>
  <c r="J320" i="22"/>
  <c r="J321" i="22"/>
  <c r="J322" i="22"/>
  <c r="J323" i="22"/>
  <c r="J308" i="22"/>
  <c r="J309" i="22"/>
  <c r="J300" i="22"/>
  <c r="J283" i="22"/>
  <c r="J284" i="22"/>
  <c r="J285" i="22"/>
  <c r="J286" i="22"/>
  <c r="J254" i="22"/>
  <c r="J255" i="22"/>
  <c r="J256" i="22"/>
  <c r="J257" i="22"/>
  <c r="J258" i="22"/>
  <c r="J259" i="22"/>
  <c r="J260" i="22"/>
  <c r="J261" i="22"/>
  <c r="J262" i="22"/>
  <c r="J263" i="22"/>
  <c r="J264" i="22"/>
  <c r="J265" i="22"/>
  <c r="J266" i="22"/>
  <c r="J267" i="22"/>
  <c r="J268" i="22"/>
  <c r="J269" i="22"/>
  <c r="J270" i="22"/>
  <c r="J235" i="22"/>
  <c r="J236" i="22"/>
  <c r="J237" i="22"/>
  <c r="J238" i="22"/>
  <c r="J196" i="22"/>
  <c r="J197" i="22"/>
  <c r="J204" i="22"/>
  <c r="J205" i="22"/>
  <c r="J206" i="22"/>
  <c r="J207" i="22"/>
  <c r="J208" i="22"/>
  <c r="J209" i="22"/>
  <c r="J210" i="22"/>
  <c r="J211" i="22"/>
  <c r="J212" i="22"/>
  <c r="J817" i="22"/>
  <c r="J301" i="22" l="1"/>
  <c r="J299" i="22"/>
  <c r="J298" i="22"/>
  <c r="J297" i="22"/>
  <c r="O230" i="20" l="1"/>
  <c r="O231" i="20"/>
  <c r="O232" i="20"/>
  <c r="O233" i="20"/>
  <c r="J230" i="20"/>
  <c r="K230" i="20"/>
  <c r="L230" i="20"/>
  <c r="M230" i="20"/>
  <c r="N230" i="20"/>
  <c r="J231" i="20"/>
  <c r="K231" i="20"/>
  <c r="L231" i="20"/>
  <c r="M231" i="20"/>
  <c r="N231" i="20"/>
  <c r="J232" i="20"/>
  <c r="K232" i="20"/>
  <c r="L232" i="20"/>
  <c r="M232" i="20"/>
  <c r="N232" i="20"/>
  <c r="J233" i="20"/>
  <c r="K233" i="20"/>
  <c r="L233" i="20"/>
  <c r="M233" i="20"/>
  <c r="N233" i="20"/>
  <c r="G230" i="20"/>
  <c r="G231" i="20"/>
  <c r="G232" i="20"/>
  <c r="G233" i="20"/>
  <c r="E230" i="20"/>
  <c r="E231" i="20"/>
  <c r="E232" i="20"/>
  <c r="E233" i="20"/>
  <c r="O229" i="20"/>
  <c r="N229" i="20"/>
  <c r="M229" i="20"/>
  <c r="L229" i="20"/>
  <c r="K229" i="20"/>
  <c r="J229" i="20"/>
  <c r="G229" i="20"/>
  <c r="E229" i="20"/>
  <c r="N226" i="20" l="1"/>
  <c r="O66" i="24"/>
  <c r="O65" i="24"/>
  <c r="O64" i="24"/>
  <c r="O63" i="24"/>
  <c r="O62" i="24"/>
  <c r="E940" i="22" l="1"/>
  <c r="F940" i="22"/>
  <c r="G940" i="22"/>
  <c r="H940" i="22"/>
  <c r="I940" i="22"/>
  <c r="E941" i="22"/>
  <c r="F941" i="22"/>
  <c r="G941" i="22"/>
  <c r="H941" i="22"/>
  <c r="I941" i="22"/>
  <c r="I939" i="22"/>
  <c r="H939" i="22"/>
  <c r="G939" i="22"/>
  <c r="F939" i="22"/>
  <c r="E939" i="22"/>
  <c r="E929" i="22"/>
  <c r="F929" i="22"/>
  <c r="G929" i="22"/>
  <c r="H929" i="22"/>
  <c r="I929" i="22"/>
  <c r="E930" i="22"/>
  <c r="F930" i="22"/>
  <c r="G930" i="22"/>
  <c r="H930" i="22"/>
  <c r="I930" i="22"/>
  <c r="E931" i="22"/>
  <c r="F931" i="22"/>
  <c r="G931" i="22"/>
  <c r="H931" i="22"/>
  <c r="I931" i="22"/>
  <c r="I928" i="22"/>
  <c r="H928" i="22"/>
  <c r="G928" i="22"/>
  <c r="F928" i="22"/>
  <c r="E928" i="22"/>
  <c r="E815" i="22"/>
  <c r="F815" i="22"/>
  <c r="G815" i="22"/>
  <c r="H815" i="22"/>
  <c r="I815" i="22"/>
  <c r="E816" i="22"/>
  <c r="F816" i="22"/>
  <c r="G816" i="22"/>
  <c r="H816" i="22"/>
  <c r="I816" i="22"/>
  <c r="I814" i="22"/>
  <c r="H814" i="22"/>
  <c r="G814" i="22"/>
  <c r="F814" i="22"/>
  <c r="E814" i="22"/>
  <c r="E788" i="22"/>
  <c r="F788" i="22"/>
  <c r="G788" i="22"/>
  <c r="H788" i="22"/>
  <c r="I788" i="22"/>
  <c r="E789" i="22"/>
  <c r="F789" i="22"/>
  <c r="G789" i="22"/>
  <c r="H789" i="22"/>
  <c r="I789" i="22"/>
  <c r="I787" i="22"/>
  <c r="H787" i="22"/>
  <c r="G787" i="22"/>
  <c r="F787" i="22"/>
  <c r="E787" i="22"/>
  <c r="E773" i="22"/>
  <c r="F773" i="22"/>
  <c r="G773" i="22"/>
  <c r="H773" i="22"/>
  <c r="I773" i="22"/>
  <c r="E774" i="22"/>
  <c r="F774" i="22"/>
  <c r="G774" i="22"/>
  <c r="H774" i="22"/>
  <c r="I774" i="22"/>
  <c r="E775" i="22"/>
  <c r="F775" i="22"/>
  <c r="G775" i="22"/>
  <c r="H775" i="22"/>
  <c r="I775" i="22"/>
  <c r="I772" i="22"/>
  <c r="H772" i="22"/>
  <c r="G772" i="22"/>
  <c r="F772" i="22"/>
  <c r="E772" i="22"/>
  <c r="I764" i="22"/>
  <c r="H764" i="22"/>
  <c r="G764" i="22"/>
  <c r="F764" i="22"/>
  <c r="E764" i="22"/>
  <c r="E748" i="22"/>
  <c r="F748" i="22"/>
  <c r="G748" i="22"/>
  <c r="H748" i="22"/>
  <c r="I748" i="22"/>
  <c r="E749" i="22"/>
  <c r="F749" i="22"/>
  <c r="G749" i="22"/>
  <c r="H749" i="22"/>
  <c r="I749" i="22"/>
  <c r="E750" i="22"/>
  <c r="F750" i="22"/>
  <c r="G750" i="22"/>
  <c r="H750" i="22"/>
  <c r="I750" i="22"/>
  <c r="I747" i="22"/>
  <c r="H747" i="22"/>
  <c r="G747" i="22"/>
  <c r="F747" i="22"/>
  <c r="E747" i="22"/>
  <c r="E737" i="22"/>
  <c r="F737" i="22"/>
  <c r="G737" i="22"/>
  <c r="H737" i="22"/>
  <c r="I737" i="22"/>
  <c r="E738" i="22"/>
  <c r="F738" i="22"/>
  <c r="G738" i="22"/>
  <c r="H738" i="22"/>
  <c r="I738" i="22"/>
  <c r="I736" i="22"/>
  <c r="H736" i="22"/>
  <c r="G736" i="22"/>
  <c r="F736" i="22"/>
  <c r="E736" i="22"/>
  <c r="E685" i="22"/>
  <c r="F685" i="22"/>
  <c r="G685" i="22"/>
  <c r="H685" i="22"/>
  <c r="I685" i="22"/>
  <c r="E686" i="22"/>
  <c r="F686" i="22"/>
  <c r="G686" i="22"/>
  <c r="H686" i="22"/>
  <c r="I686" i="22"/>
  <c r="E687" i="22"/>
  <c r="F687" i="22"/>
  <c r="G687" i="22"/>
  <c r="H687" i="22"/>
  <c r="I687" i="22"/>
  <c r="E688" i="22"/>
  <c r="F688" i="22"/>
  <c r="G688" i="22"/>
  <c r="H688" i="22"/>
  <c r="I688" i="22"/>
  <c r="E689" i="22"/>
  <c r="F689" i="22"/>
  <c r="G689" i="22"/>
  <c r="H689" i="22"/>
  <c r="I689" i="22"/>
  <c r="E690" i="22"/>
  <c r="F690" i="22"/>
  <c r="G690" i="22"/>
  <c r="H690" i="22"/>
  <c r="I690" i="22"/>
  <c r="E691" i="22"/>
  <c r="F691" i="22"/>
  <c r="G691" i="22"/>
  <c r="H691" i="22"/>
  <c r="I691" i="22"/>
  <c r="E692" i="22"/>
  <c r="F692" i="22"/>
  <c r="G692" i="22"/>
  <c r="H692" i="22"/>
  <c r="I692" i="22"/>
  <c r="E684" i="22"/>
  <c r="I684" i="22"/>
  <c r="H684" i="22"/>
  <c r="G684" i="22"/>
  <c r="F684" i="22"/>
  <c r="E639" i="22"/>
  <c r="F639" i="22"/>
  <c r="G639" i="22"/>
  <c r="H639" i="22"/>
  <c r="I639" i="22"/>
  <c r="E640" i="22"/>
  <c r="F640" i="22"/>
  <c r="G640" i="22"/>
  <c r="H640" i="22"/>
  <c r="I640" i="22"/>
  <c r="E641" i="22"/>
  <c r="F641" i="22"/>
  <c r="G641" i="22"/>
  <c r="H641" i="22"/>
  <c r="I641" i="22"/>
  <c r="E642" i="22"/>
  <c r="F642" i="22"/>
  <c r="G642" i="22"/>
  <c r="H642" i="22"/>
  <c r="I642" i="22"/>
  <c r="E643" i="22"/>
  <c r="F643" i="22"/>
  <c r="G643" i="22"/>
  <c r="H643" i="22"/>
  <c r="I643" i="22"/>
  <c r="E644" i="22"/>
  <c r="F644" i="22"/>
  <c r="G644" i="22"/>
  <c r="H644" i="22"/>
  <c r="I644" i="22"/>
  <c r="E645" i="22"/>
  <c r="F645" i="22"/>
  <c r="G645" i="22"/>
  <c r="H645" i="22"/>
  <c r="I645" i="22"/>
  <c r="E646" i="22"/>
  <c r="F646" i="22"/>
  <c r="G646" i="22"/>
  <c r="H646" i="22"/>
  <c r="I646" i="22"/>
  <c r="E647" i="22"/>
  <c r="F647" i="22"/>
  <c r="G647" i="22"/>
  <c r="H647" i="22"/>
  <c r="I647" i="22"/>
  <c r="E648" i="22"/>
  <c r="F648" i="22"/>
  <c r="G648" i="22"/>
  <c r="H648" i="22"/>
  <c r="I648" i="22"/>
  <c r="E649" i="22"/>
  <c r="F649" i="22"/>
  <c r="G649" i="22"/>
  <c r="H649" i="22"/>
  <c r="I649" i="22"/>
  <c r="F638" i="22"/>
  <c r="I638" i="22"/>
  <c r="H638" i="22"/>
  <c r="G638" i="22"/>
  <c r="E638" i="22"/>
  <c r="E589" i="22"/>
  <c r="F589" i="22"/>
  <c r="G589" i="22"/>
  <c r="H589" i="22"/>
  <c r="I589" i="22"/>
  <c r="E590" i="22"/>
  <c r="F590" i="22"/>
  <c r="G590" i="22"/>
  <c r="H590" i="22"/>
  <c r="I590" i="22"/>
  <c r="E591" i="22"/>
  <c r="F591" i="22"/>
  <c r="G591" i="22"/>
  <c r="H591" i="22"/>
  <c r="I591" i="22"/>
  <c r="E592" i="22"/>
  <c r="F592" i="22"/>
  <c r="G592" i="22"/>
  <c r="H592" i="22"/>
  <c r="I592" i="22"/>
  <c r="E593" i="22"/>
  <c r="F593" i="22"/>
  <c r="G593" i="22"/>
  <c r="H593" i="22"/>
  <c r="I593" i="22"/>
  <c r="E594" i="22"/>
  <c r="F594" i="22"/>
  <c r="G594" i="22"/>
  <c r="H594" i="22"/>
  <c r="I594" i="22"/>
  <c r="E595" i="22"/>
  <c r="F595" i="22"/>
  <c r="G595" i="22"/>
  <c r="H595" i="22"/>
  <c r="I595" i="22"/>
  <c r="E596" i="22"/>
  <c r="F596" i="22"/>
  <c r="G596" i="22"/>
  <c r="H596" i="22"/>
  <c r="I596" i="22"/>
  <c r="E597" i="22"/>
  <c r="F597" i="22"/>
  <c r="G597" i="22"/>
  <c r="H597" i="22"/>
  <c r="I597" i="22"/>
  <c r="E598" i="22"/>
  <c r="F598" i="22"/>
  <c r="G598" i="22"/>
  <c r="H598" i="22"/>
  <c r="I598" i="22"/>
  <c r="E599" i="22"/>
  <c r="F599" i="22"/>
  <c r="G599" i="22"/>
  <c r="H599" i="22"/>
  <c r="I599" i="22"/>
  <c r="E600" i="22"/>
  <c r="F600" i="22"/>
  <c r="G600" i="22"/>
  <c r="H600" i="22"/>
  <c r="I600" i="22"/>
  <c r="E601" i="22"/>
  <c r="F601" i="22"/>
  <c r="G601" i="22"/>
  <c r="H601" i="22"/>
  <c r="I601" i="22"/>
  <c r="E602" i="22"/>
  <c r="F602" i="22"/>
  <c r="G602" i="22"/>
  <c r="H602" i="22"/>
  <c r="I602" i="22"/>
  <c r="E603" i="22"/>
  <c r="F603" i="22"/>
  <c r="G603" i="22"/>
  <c r="H603" i="22"/>
  <c r="I603" i="22"/>
  <c r="E604" i="22"/>
  <c r="F604" i="22"/>
  <c r="G604" i="22"/>
  <c r="H604" i="22"/>
  <c r="I604" i="22"/>
  <c r="E605" i="22"/>
  <c r="F605" i="22"/>
  <c r="G605" i="22"/>
  <c r="H605" i="22"/>
  <c r="I605" i="22"/>
  <c r="E606" i="22"/>
  <c r="F606" i="22"/>
  <c r="G606" i="22"/>
  <c r="H606" i="22"/>
  <c r="I606" i="22"/>
  <c r="E607" i="22"/>
  <c r="F607" i="22"/>
  <c r="G607" i="22"/>
  <c r="H607" i="22"/>
  <c r="I607" i="22"/>
  <c r="I588" i="22"/>
  <c r="H588" i="22"/>
  <c r="G588" i="22"/>
  <c r="F588" i="22"/>
  <c r="E588" i="22"/>
  <c r="E562" i="22"/>
  <c r="F562" i="22"/>
  <c r="G562" i="22"/>
  <c r="H562" i="22"/>
  <c r="I562" i="22"/>
  <c r="E563" i="22"/>
  <c r="F563" i="22"/>
  <c r="G563" i="22"/>
  <c r="H563" i="22"/>
  <c r="I563" i="22"/>
  <c r="E564" i="22"/>
  <c r="F564" i="22"/>
  <c r="G564" i="22"/>
  <c r="H564" i="22"/>
  <c r="I564" i="22"/>
  <c r="E565" i="22"/>
  <c r="F565" i="22"/>
  <c r="G565" i="22"/>
  <c r="H565" i="22"/>
  <c r="I565" i="22"/>
  <c r="E566" i="22"/>
  <c r="F566" i="22"/>
  <c r="G566" i="22"/>
  <c r="H566" i="22"/>
  <c r="I566" i="22"/>
  <c r="I561" i="22"/>
  <c r="H561" i="22"/>
  <c r="G561" i="22"/>
  <c r="F561" i="22"/>
  <c r="E561" i="22"/>
  <c r="E509" i="22"/>
  <c r="F509" i="22"/>
  <c r="G509" i="22"/>
  <c r="H509" i="22"/>
  <c r="I509" i="22"/>
  <c r="E510" i="22"/>
  <c r="F510" i="22"/>
  <c r="G510" i="22"/>
  <c r="H510" i="22"/>
  <c r="I510" i="22"/>
  <c r="E511" i="22"/>
  <c r="F511" i="22"/>
  <c r="G511" i="22"/>
  <c r="H511" i="22"/>
  <c r="I511" i="22"/>
  <c r="E512" i="22"/>
  <c r="F512" i="22"/>
  <c r="G512" i="22"/>
  <c r="H512" i="22"/>
  <c r="I512" i="22"/>
  <c r="E513" i="22"/>
  <c r="F513" i="22"/>
  <c r="G513" i="22"/>
  <c r="H513" i="22"/>
  <c r="I513" i="22"/>
  <c r="F508" i="22"/>
  <c r="I508" i="22"/>
  <c r="H508" i="22"/>
  <c r="G508" i="22"/>
  <c r="E508" i="22"/>
  <c r="E484" i="22"/>
  <c r="F484" i="22"/>
  <c r="G484" i="22"/>
  <c r="H484" i="22"/>
  <c r="I484" i="22"/>
  <c r="E485" i="22"/>
  <c r="F485" i="22"/>
  <c r="G485" i="22"/>
  <c r="H485" i="22"/>
  <c r="I485" i="22"/>
  <c r="E486" i="22"/>
  <c r="F486" i="22"/>
  <c r="G486" i="22"/>
  <c r="H486" i="22"/>
  <c r="I486" i="22"/>
  <c r="E487" i="22"/>
  <c r="F487" i="22"/>
  <c r="G487" i="22"/>
  <c r="H487" i="22"/>
  <c r="I487" i="22"/>
  <c r="E488" i="22"/>
  <c r="F488" i="22"/>
  <c r="G488" i="22"/>
  <c r="H488" i="22"/>
  <c r="I488" i="22"/>
  <c r="E489" i="22"/>
  <c r="F489" i="22"/>
  <c r="G489" i="22"/>
  <c r="H489" i="22"/>
  <c r="I489" i="22"/>
  <c r="E490" i="22"/>
  <c r="F490" i="22"/>
  <c r="G490" i="22"/>
  <c r="H490" i="22"/>
  <c r="I490" i="22"/>
  <c r="E491" i="22"/>
  <c r="F491" i="22"/>
  <c r="G491" i="22"/>
  <c r="H491" i="22"/>
  <c r="I491" i="22"/>
  <c r="E492" i="22"/>
  <c r="F492" i="22"/>
  <c r="G492" i="22"/>
  <c r="H492" i="22"/>
  <c r="I492" i="22"/>
  <c r="E493" i="22"/>
  <c r="F493" i="22"/>
  <c r="G493" i="22"/>
  <c r="H493" i="22"/>
  <c r="I493" i="22"/>
  <c r="E494" i="22"/>
  <c r="F494" i="22"/>
  <c r="G494" i="22"/>
  <c r="H494" i="22"/>
  <c r="I494" i="22"/>
  <c r="E495" i="22"/>
  <c r="F495" i="22"/>
  <c r="G495" i="22"/>
  <c r="H495" i="22"/>
  <c r="I495" i="22"/>
  <c r="E496" i="22"/>
  <c r="F496" i="22"/>
  <c r="G496" i="22"/>
  <c r="H496" i="22"/>
  <c r="I496" i="22"/>
  <c r="E497" i="22"/>
  <c r="F497" i="22"/>
  <c r="G497" i="22"/>
  <c r="H497" i="22"/>
  <c r="I497" i="22"/>
  <c r="E498" i="22"/>
  <c r="F498" i="22"/>
  <c r="G498" i="22"/>
  <c r="H498" i="22"/>
  <c r="I498" i="22"/>
  <c r="E499" i="22"/>
  <c r="F499" i="22"/>
  <c r="G499" i="22"/>
  <c r="H499" i="22"/>
  <c r="I499" i="22"/>
  <c r="E500" i="22"/>
  <c r="F500" i="22"/>
  <c r="G500" i="22"/>
  <c r="H500" i="22"/>
  <c r="I500" i="22"/>
  <c r="E501" i="22"/>
  <c r="F501" i="22"/>
  <c r="G501" i="22"/>
  <c r="H501" i="22"/>
  <c r="I501" i="22"/>
  <c r="E502" i="22"/>
  <c r="F502" i="22"/>
  <c r="G502" i="22"/>
  <c r="H502" i="22"/>
  <c r="I502" i="22"/>
  <c r="F483" i="22"/>
  <c r="I483" i="22"/>
  <c r="H483" i="22"/>
  <c r="G483" i="22"/>
  <c r="E483" i="22"/>
  <c r="E458" i="22"/>
  <c r="F458" i="22"/>
  <c r="G458" i="22"/>
  <c r="H458" i="22"/>
  <c r="I458" i="22"/>
  <c r="E459" i="22"/>
  <c r="F459" i="22"/>
  <c r="G459" i="22"/>
  <c r="H459" i="22"/>
  <c r="I459" i="22"/>
  <c r="E460" i="22"/>
  <c r="F460" i="22"/>
  <c r="G460" i="22"/>
  <c r="H460" i="22"/>
  <c r="I460" i="22"/>
  <c r="E461" i="22"/>
  <c r="F461" i="22"/>
  <c r="G461" i="22"/>
  <c r="H461" i="22"/>
  <c r="I461" i="22"/>
  <c r="E462" i="22"/>
  <c r="F462" i="22"/>
  <c r="G462" i="22"/>
  <c r="H462" i="22"/>
  <c r="I462" i="22"/>
  <c r="E463" i="22"/>
  <c r="F463" i="22"/>
  <c r="G463" i="22"/>
  <c r="H463" i="22"/>
  <c r="I463" i="22"/>
  <c r="E464" i="22"/>
  <c r="F464" i="22"/>
  <c r="G464" i="22"/>
  <c r="H464" i="22"/>
  <c r="I464" i="22"/>
  <c r="E465" i="22"/>
  <c r="F465" i="22"/>
  <c r="G465" i="22"/>
  <c r="H465" i="22"/>
  <c r="I465" i="22"/>
  <c r="E466" i="22"/>
  <c r="F466" i="22"/>
  <c r="G466" i="22"/>
  <c r="H466" i="22"/>
  <c r="I466" i="22"/>
  <c r="E467" i="22"/>
  <c r="F467" i="22"/>
  <c r="G467" i="22"/>
  <c r="H467" i="22"/>
  <c r="I467" i="22"/>
  <c r="F457" i="22"/>
  <c r="I457" i="22"/>
  <c r="H457" i="22"/>
  <c r="G457" i="22"/>
  <c r="E457" i="22"/>
  <c r="E433" i="22"/>
  <c r="F433" i="22"/>
  <c r="G433" i="22"/>
  <c r="H433" i="22"/>
  <c r="I433" i="22"/>
  <c r="E434" i="22"/>
  <c r="F434" i="22"/>
  <c r="G434" i="22"/>
  <c r="H434" i="22"/>
  <c r="I434" i="22"/>
  <c r="E435" i="22"/>
  <c r="F435" i="22"/>
  <c r="G435" i="22"/>
  <c r="H435" i="22"/>
  <c r="I435" i="22"/>
  <c r="E436" i="22"/>
  <c r="F436" i="22"/>
  <c r="G436" i="22"/>
  <c r="H436" i="22"/>
  <c r="I436" i="22"/>
  <c r="E437" i="22"/>
  <c r="F437" i="22"/>
  <c r="G437" i="22"/>
  <c r="H437" i="22"/>
  <c r="I437" i="22"/>
  <c r="E438" i="22"/>
  <c r="F438" i="22"/>
  <c r="G438" i="22"/>
  <c r="H438" i="22"/>
  <c r="I438" i="22"/>
  <c r="E439" i="22"/>
  <c r="F439" i="22"/>
  <c r="G439" i="22"/>
  <c r="H439" i="22"/>
  <c r="I439" i="22"/>
  <c r="E440" i="22"/>
  <c r="F440" i="22"/>
  <c r="G440" i="22"/>
  <c r="H440" i="22"/>
  <c r="I440" i="22"/>
  <c r="E441" i="22"/>
  <c r="F441" i="22"/>
  <c r="G441" i="22"/>
  <c r="H441" i="22"/>
  <c r="I441" i="22"/>
  <c r="E442" i="22"/>
  <c r="F442" i="22"/>
  <c r="G442" i="22"/>
  <c r="H442" i="22"/>
  <c r="I442" i="22"/>
  <c r="E443" i="22"/>
  <c r="F443" i="22"/>
  <c r="G443" i="22"/>
  <c r="H443" i="22"/>
  <c r="I443" i="22"/>
  <c r="E444" i="22"/>
  <c r="F444" i="22"/>
  <c r="G444" i="22"/>
  <c r="H444" i="22"/>
  <c r="I444" i="22"/>
  <c r="E445" i="22"/>
  <c r="F445" i="22"/>
  <c r="G445" i="22"/>
  <c r="H445" i="22"/>
  <c r="I445" i="22"/>
  <c r="E446" i="22"/>
  <c r="F446" i="22"/>
  <c r="G446" i="22"/>
  <c r="H446" i="22"/>
  <c r="I446" i="22"/>
  <c r="E447" i="22"/>
  <c r="F447" i="22"/>
  <c r="G447" i="22"/>
  <c r="H447" i="22"/>
  <c r="I447" i="22"/>
  <c r="E448" i="22"/>
  <c r="F448" i="22"/>
  <c r="G448" i="22"/>
  <c r="H448" i="22"/>
  <c r="I448" i="22"/>
  <c r="E449" i="22"/>
  <c r="F449" i="22"/>
  <c r="G449" i="22"/>
  <c r="H449" i="22"/>
  <c r="I449" i="22"/>
  <c r="E450" i="22"/>
  <c r="F450" i="22"/>
  <c r="G450" i="22"/>
  <c r="H450" i="22"/>
  <c r="I450" i="22"/>
  <c r="E451" i="22"/>
  <c r="F451" i="22"/>
  <c r="G451" i="22"/>
  <c r="H451" i="22"/>
  <c r="I451" i="22"/>
  <c r="I432" i="22"/>
  <c r="H432" i="22"/>
  <c r="G432" i="22"/>
  <c r="F432" i="22"/>
  <c r="E432" i="22"/>
  <c r="E415" i="22"/>
  <c r="F415" i="22"/>
  <c r="G415" i="22"/>
  <c r="H415" i="22"/>
  <c r="I415" i="22"/>
  <c r="E416" i="22"/>
  <c r="F416" i="22"/>
  <c r="G416" i="22"/>
  <c r="H416" i="22"/>
  <c r="I416" i="22"/>
  <c r="E417" i="22"/>
  <c r="F417" i="22"/>
  <c r="G417" i="22"/>
  <c r="H417" i="22"/>
  <c r="I417" i="22"/>
  <c r="E418" i="22"/>
  <c r="F418" i="22"/>
  <c r="G418" i="22"/>
  <c r="H418" i="22"/>
  <c r="I418" i="22"/>
  <c r="E419" i="22"/>
  <c r="F419" i="22"/>
  <c r="G419" i="22"/>
  <c r="H419" i="22"/>
  <c r="I419" i="22"/>
  <c r="F414" i="22"/>
  <c r="G414" i="22"/>
  <c r="I414" i="22"/>
  <c r="H414" i="22"/>
  <c r="E414" i="22"/>
  <c r="E376" i="22"/>
  <c r="F376" i="22"/>
  <c r="G376" i="22"/>
  <c r="H376" i="22"/>
  <c r="I376" i="22"/>
  <c r="E377" i="22"/>
  <c r="F377" i="22"/>
  <c r="G377" i="22"/>
  <c r="H377" i="22"/>
  <c r="I377" i="22"/>
  <c r="E378" i="22"/>
  <c r="F378" i="22"/>
  <c r="G378" i="22"/>
  <c r="H378" i="22"/>
  <c r="I378" i="22"/>
  <c r="E379" i="22"/>
  <c r="F379" i="22"/>
  <c r="G379" i="22"/>
  <c r="H379" i="22"/>
  <c r="I379" i="22"/>
  <c r="E380" i="22"/>
  <c r="F380" i="22"/>
  <c r="G380" i="22"/>
  <c r="H380" i="22"/>
  <c r="I380" i="22"/>
  <c r="E381" i="22"/>
  <c r="F381" i="22"/>
  <c r="G381" i="22"/>
  <c r="H381" i="22"/>
  <c r="I381" i="22"/>
  <c r="E382" i="22"/>
  <c r="F382" i="22"/>
  <c r="G382" i="22"/>
  <c r="H382" i="22"/>
  <c r="I382" i="22"/>
  <c r="E383" i="22"/>
  <c r="F383" i="22"/>
  <c r="G383" i="22"/>
  <c r="H383" i="22"/>
  <c r="I383" i="22"/>
  <c r="E384" i="22"/>
  <c r="F384" i="22"/>
  <c r="G384" i="22"/>
  <c r="H384" i="22"/>
  <c r="I384" i="22"/>
  <c r="E385" i="22"/>
  <c r="F385" i="22"/>
  <c r="G385" i="22"/>
  <c r="H385" i="22"/>
  <c r="I385" i="22"/>
  <c r="E386" i="22"/>
  <c r="F386" i="22"/>
  <c r="G386" i="22"/>
  <c r="H386" i="22"/>
  <c r="I386" i="22"/>
  <c r="E387" i="22"/>
  <c r="F387" i="22"/>
  <c r="G387" i="22"/>
  <c r="H387" i="22"/>
  <c r="I387" i="22"/>
  <c r="E388" i="22"/>
  <c r="F388" i="22"/>
  <c r="G388" i="22"/>
  <c r="H388" i="22"/>
  <c r="I388" i="22"/>
  <c r="E389" i="22"/>
  <c r="F389" i="22"/>
  <c r="G389" i="22"/>
  <c r="H389" i="22"/>
  <c r="I389" i="22"/>
  <c r="E390" i="22"/>
  <c r="F390" i="22"/>
  <c r="G390" i="22"/>
  <c r="H390" i="22"/>
  <c r="I390" i="22"/>
  <c r="G375" i="22"/>
  <c r="I375" i="22"/>
  <c r="H375" i="22"/>
  <c r="F375" i="22"/>
  <c r="E375" i="22"/>
  <c r="E352" i="22"/>
  <c r="F352" i="22"/>
  <c r="G352" i="22"/>
  <c r="H352" i="22"/>
  <c r="I352" i="22"/>
  <c r="E353" i="22"/>
  <c r="F353" i="22"/>
  <c r="G353" i="22"/>
  <c r="H353" i="22"/>
  <c r="I353" i="22"/>
  <c r="E354" i="22"/>
  <c r="F354" i="22"/>
  <c r="G354" i="22"/>
  <c r="H354" i="22"/>
  <c r="I354" i="22"/>
  <c r="E355" i="22"/>
  <c r="F355" i="22"/>
  <c r="G355" i="22"/>
  <c r="H355" i="22"/>
  <c r="I355" i="22"/>
  <c r="E356" i="22"/>
  <c r="F356" i="22"/>
  <c r="G356" i="22"/>
  <c r="H356" i="22"/>
  <c r="I356" i="22"/>
  <c r="E357" i="22"/>
  <c r="F357" i="22"/>
  <c r="G357" i="22"/>
  <c r="H357" i="22"/>
  <c r="I357" i="22"/>
  <c r="E358" i="22"/>
  <c r="F358" i="22"/>
  <c r="G358" i="22"/>
  <c r="H358" i="22"/>
  <c r="I358" i="22"/>
  <c r="E359" i="22"/>
  <c r="F359" i="22"/>
  <c r="G359" i="22"/>
  <c r="H359" i="22"/>
  <c r="I359" i="22"/>
  <c r="E360" i="22"/>
  <c r="F360" i="22"/>
  <c r="G360" i="22"/>
  <c r="H360" i="22"/>
  <c r="I360" i="22"/>
  <c r="E361" i="22"/>
  <c r="F361" i="22"/>
  <c r="G361" i="22"/>
  <c r="H361" i="22"/>
  <c r="I361" i="22"/>
  <c r="F351" i="22"/>
  <c r="I351" i="22"/>
  <c r="H351" i="22"/>
  <c r="G351" i="22"/>
  <c r="E351" i="22"/>
  <c r="E318" i="22"/>
  <c r="F318" i="22"/>
  <c r="G318" i="22"/>
  <c r="H318" i="22"/>
  <c r="I318" i="22"/>
  <c r="I317" i="22"/>
  <c r="H317" i="22"/>
  <c r="G317" i="22"/>
  <c r="F317" i="22"/>
  <c r="E317" i="22"/>
  <c r="E307" i="22"/>
  <c r="F307" i="22"/>
  <c r="G307" i="22"/>
  <c r="H307" i="22"/>
  <c r="I307" i="22"/>
  <c r="I306" i="22"/>
  <c r="H306" i="22"/>
  <c r="G306" i="22"/>
  <c r="F306" i="22"/>
  <c r="E306" i="22"/>
  <c r="I296" i="22"/>
  <c r="H296" i="22"/>
  <c r="G296" i="22"/>
  <c r="F296" i="22"/>
  <c r="E296" i="22"/>
  <c r="E277" i="22"/>
  <c r="F277" i="22"/>
  <c r="G277" i="22"/>
  <c r="H277" i="22"/>
  <c r="I277" i="22"/>
  <c r="E278" i="22"/>
  <c r="F278" i="22"/>
  <c r="G278" i="22"/>
  <c r="H278" i="22"/>
  <c r="I278" i="22"/>
  <c r="E279" i="22"/>
  <c r="F279" i="22"/>
  <c r="G279" i="22"/>
  <c r="H279" i="22"/>
  <c r="I279" i="22"/>
  <c r="E280" i="22"/>
  <c r="F280" i="22"/>
  <c r="G280" i="22"/>
  <c r="H280" i="22"/>
  <c r="I280" i="22"/>
  <c r="E281" i="22"/>
  <c r="F281" i="22"/>
  <c r="G281" i="22"/>
  <c r="H281" i="22"/>
  <c r="I281" i="22"/>
  <c r="E282" i="22"/>
  <c r="F282" i="22"/>
  <c r="G282" i="22"/>
  <c r="H282" i="22"/>
  <c r="I282" i="22"/>
  <c r="E276" i="22"/>
  <c r="I276" i="22"/>
  <c r="H276" i="22"/>
  <c r="G276" i="22"/>
  <c r="F276" i="22"/>
  <c r="E251" i="22"/>
  <c r="F251" i="22"/>
  <c r="G251" i="22"/>
  <c r="H251" i="22"/>
  <c r="I251" i="22"/>
  <c r="E252" i="22"/>
  <c r="F252" i="22"/>
  <c r="G252" i="22"/>
  <c r="H252" i="22"/>
  <c r="I252" i="22"/>
  <c r="E253" i="22"/>
  <c r="F253" i="22"/>
  <c r="G253" i="22"/>
  <c r="H253" i="22"/>
  <c r="I253" i="22"/>
  <c r="E250" i="22"/>
  <c r="I250" i="22"/>
  <c r="H250" i="22"/>
  <c r="G250" i="22"/>
  <c r="F250" i="22"/>
  <c r="E228" i="22"/>
  <c r="F228" i="22"/>
  <c r="G228" i="22"/>
  <c r="H228" i="22"/>
  <c r="I228" i="22"/>
  <c r="E229" i="22"/>
  <c r="F229" i="22"/>
  <c r="G229" i="22"/>
  <c r="H229" i="22"/>
  <c r="I229" i="22"/>
  <c r="E230" i="22"/>
  <c r="F230" i="22"/>
  <c r="G230" i="22"/>
  <c r="H230" i="22"/>
  <c r="I230" i="22"/>
  <c r="E231" i="22"/>
  <c r="F231" i="22"/>
  <c r="G231" i="22"/>
  <c r="H231" i="22"/>
  <c r="I231" i="22"/>
  <c r="E232" i="22"/>
  <c r="F232" i="22"/>
  <c r="G232" i="22"/>
  <c r="H232" i="22"/>
  <c r="I232" i="22"/>
  <c r="E233" i="22"/>
  <c r="F233" i="22"/>
  <c r="G233" i="22"/>
  <c r="H233" i="22"/>
  <c r="I233" i="22"/>
  <c r="E234" i="22"/>
  <c r="F234" i="22"/>
  <c r="G234" i="22"/>
  <c r="H234" i="22"/>
  <c r="I234" i="22"/>
  <c r="H227" i="22"/>
  <c r="I227" i="22"/>
  <c r="G227" i="22"/>
  <c r="F227" i="22"/>
  <c r="E227" i="22"/>
  <c r="E179" i="22"/>
  <c r="F179" i="22"/>
  <c r="G179" i="22"/>
  <c r="H179" i="22"/>
  <c r="I179" i="22"/>
  <c r="E180" i="22"/>
  <c r="F180" i="22"/>
  <c r="G180" i="22"/>
  <c r="H180" i="22"/>
  <c r="I180" i="22"/>
  <c r="E181" i="22"/>
  <c r="F181" i="22"/>
  <c r="G181" i="22"/>
  <c r="H181" i="22"/>
  <c r="I181" i="22"/>
  <c r="E182" i="22"/>
  <c r="F182" i="22"/>
  <c r="G182" i="22"/>
  <c r="H182" i="22"/>
  <c r="I182" i="22"/>
  <c r="E183" i="22"/>
  <c r="F183" i="22"/>
  <c r="G183" i="22"/>
  <c r="H183" i="22"/>
  <c r="I183" i="22"/>
  <c r="E184" i="22"/>
  <c r="F184" i="22"/>
  <c r="G184" i="22"/>
  <c r="H184" i="22"/>
  <c r="I184" i="22"/>
  <c r="E185" i="22"/>
  <c r="F185" i="22"/>
  <c r="G185" i="22"/>
  <c r="H185" i="22"/>
  <c r="I185" i="22"/>
  <c r="E186" i="22"/>
  <c r="F186" i="22"/>
  <c r="G186" i="22"/>
  <c r="H186" i="22"/>
  <c r="I186" i="22"/>
  <c r="E187" i="22"/>
  <c r="F187" i="22"/>
  <c r="G187" i="22"/>
  <c r="H187" i="22"/>
  <c r="I187" i="22"/>
  <c r="E188" i="22"/>
  <c r="F188" i="22"/>
  <c r="G188" i="22"/>
  <c r="H188" i="22"/>
  <c r="I188" i="22"/>
  <c r="E189" i="22"/>
  <c r="F189" i="22"/>
  <c r="G189" i="22"/>
  <c r="H189" i="22"/>
  <c r="I189" i="22"/>
  <c r="E190" i="22"/>
  <c r="F190" i="22"/>
  <c r="G190" i="22"/>
  <c r="H190" i="22"/>
  <c r="I190" i="22"/>
  <c r="E191" i="22"/>
  <c r="F191" i="22"/>
  <c r="G191" i="22"/>
  <c r="H191" i="22"/>
  <c r="I191" i="22"/>
  <c r="E192" i="22"/>
  <c r="F192" i="22"/>
  <c r="G192" i="22"/>
  <c r="H192" i="22"/>
  <c r="I192" i="22"/>
  <c r="E193" i="22"/>
  <c r="F193" i="22"/>
  <c r="G193" i="22"/>
  <c r="H193" i="22"/>
  <c r="I193" i="22"/>
  <c r="E194" i="22"/>
  <c r="F194" i="22"/>
  <c r="G194" i="22"/>
  <c r="H194" i="22"/>
  <c r="I194" i="22"/>
  <c r="E195" i="22"/>
  <c r="F195" i="22"/>
  <c r="G195" i="22"/>
  <c r="H195" i="22"/>
  <c r="I195" i="22"/>
  <c r="I178" i="22"/>
  <c r="H178" i="22"/>
  <c r="G178" i="22"/>
  <c r="F178" i="22"/>
  <c r="E178" i="22"/>
  <c r="E154" i="22"/>
  <c r="F154" i="22"/>
  <c r="G154" i="22"/>
  <c r="H154" i="22"/>
  <c r="I154" i="22"/>
  <c r="E155" i="22"/>
  <c r="F155" i="22"/>
  <c r="G155" i="22"/>
  <c r="H155" i="22"/>
  <c r="I155" i="22"/>
  <c r="E156" i="22"/>
  <c r="F156" i="22"/>
  <c r="G156" i="22"/>
  <c r="H156" i="22"/>
  <c r="I156" i="22"/>
  <c r="E157" i="22"/>
  <c r="F157" i="22"/>
  <c r="G157" i="22"/>
  <c r="H157" i="22"/>
  <c r="I157" i="22"/>
  <c r="E158" i="22"/>
  <c r="F158" i="22"/>
  <c r="G158" i="22"/>
  <c r="H158" i="22"/>
  <c r="I158" i="22"/>
  <c r="E159" i="22"/>
  <c r="F159" i="22"/>
  <c r="G159" i="22"/>
  <c r="H159" i="22"/>
  <c r="I159" i="22"/>
  <c r="E160" i="22"/>
  <c r="F160" i="22"/>
  <c r="G160" i="22"/>
  <c r="H160" i="22"/>
  <c r="I160" i="22"/>
  <c r="E161" i="22"/>
  <c r="F161" i="22"/>
  <c r="G161" i="22"/>
  <c r="H161" i="22"/>
  <c r="I161" i="22"/>
  <c r="E162" i="22"/>
  <c r="F162" i="22"/>
  <c r="G162" i="22"/>
  <c r="H162" i="22"/>
  <c r="I162" i="22"/>
  <c r="E163" i="22"/>
  <c r="F163" i="22"/>
  <c r="G163" i="22"/>
  <c r="H163" i="22"/>
  <c r="I163" i="22"/>
  <c r="E164" i="22"/>
  <c r="F164" i="22"/>
  <c r="G164" i="22"/>
  <c r="H164" i="22"/>
  <c r="I164" i="22"/>
  <c r="E165" i="22"/>
  <c r="F165" i="22"/>
  <c r="G165" i="22"/>
  <c r="H165" i="22"/>
  <c r="I165" i="22"/>
  <c r="E166" i="22"/>
  <c r="F166" i="22"/>
  <c r="G166" i="22"/>
  <c r="H166" i="22"/>
  <c r="I166" i="22"/>
  <c r="E167" i="22"/>
  <c r="F167" i="22"/>
  <c r="G167" i="22"/>
  <c r="H167" i="22"/>
  <c r="I167" i="22"/>
  <c r="E168" i="22"/>
  <c r="F168" i="22"/>
  <c r="G168" i="22"/>
  <c r="H168" i="22"/>
  <c r="I168" i="22"/>
  <c r="E169" i="22"/>
  <c r="F169" i="22"/>
  <c r="G169" i="22"/>
  <c r="H169" i="22"/>
  <c r="I169" i="22"/>
  <c r="E170" i="22"/>
  <c r="F170" i="22"/>
  <c r="G170" i="22"/>
  <c r="H170" i="22"/>
  <c r="I170" i="22"/>
  <c r="E171" i="22"/>
  <c r="F171" i="22"/>
  <c r="G171" i="22"/>
  <c r="H171" i="22"/>
  <c r="I171" i="22"/>
  <c r="E172" i="22"/>
  <c r="F172" i="22"/>
  <c r="G172" i="22"/>
  <c r="H172" i="22"/>
  <c r="I172" i="22"/>
  <c r="I153" i="22"/>
  <c r="H153" i="22"/>
  <c r="G153" i="22"/>
  <c r="F153" i="22"/>
  <c r="E153" i="22"/>
  <c r="E129" i="22"/>
  <c r="F129" i="22"/>
  <c r="G129" i="22"/>
  <c r="H129" i="22"/>
  <c r="I129" i="22"/>
  <c r="E130" i="22"/>
  <c r="F130" i="22"/>
  <c r="G130" i="22"/>
  <c r="H130" i="22"/>
  <c r="I130" i="22"/>
  <c r="E131" i="22"/>
  <c r="F131" i="22"/>
  <c r="G131" i="22"/>
  <c r="H131" i="22"/>
  <c r="I131" i="22"/>
  <c r="E132" i="22"/>
  <c r="F132" i="22"/>
  <c r="G132" i="22"/>
  <c r="H132" i="22"/>
  <c r="I132" i="22"/>
  <c r="E133" i="22"/>
  <c r="F133" i="22"/>
  <c r="G133" i="22"/>
  <c r="H133" i="22"/>
  <c r="I133" i="22"/>
  <c r="E134" i="22"/>
  <c r="F134" i="22"/>
  <c r="G134" i="22"/>
  <c r="H134" i="22"/>
  <c r="I134" i="22"/>
  <c r="E135" i="22"/>
  <c r="F135" i="22"/>
  <c r="G135" i="22"/>
  <c r="H135" i="22"/>
  <c r="I135" i="22"/>
  <c r="E136" i="22"/>
  <c r="F136" i="22"/>
  <c r="G136" i="22"/>
  <c r="H136" i="22"/>
  <c r="I136" i="22"/>
  <c r="E137" i="22"/>
  <c r="F137" i="22"/>
  <c r="G137" i="22"/>
  <c r="H137" i="22"/>
  <c r="I137" i="22"/>
  <c r="E138" i="22"/>
  <c r="F138" i="22"/>
  <c r="G138" i="22"/>
  <c r="H138" i="22"/>
  <c r="I138" i="22"/>
  <c r="E139" i="22"/>
  <c r="F139" i="22"/>
  <c r="G139" i="22"/>
  <c r="H139" i="22"/>
  <c r="I139" i="22"/>
  <c r="E140" i="22"/>
  <c r="F140" i="22"/>
  <c r="G140" i="22"/>
  <c r="H140" i="22"/>
  <c r="I140" i="22"/>
  <c r="E141" i="22"/>
  <c r="F141" i="22"/>
  <c r="G141" i="22"/>
  <c r="H141" i="22"/>
  <c r="I141" i="22"/>
  <c r="E142" i="22"/>
  <c r="F142" i="22"/>
  <c r="G142" i="22"/>
  <c r="H142" i="22"/>
  <c r="I142" i="22"/>
  <c r="E143" i="22"/>
  <c r="F143" i="22"/>
  <c r="G143" i="22"/>
  <c r="H143" i="22"/>
  <c r="I143" i="22"/>
  <c r="E144" i="22"/>
  <c r="F144" i="22"/>
  <c r="G144" i="22"/>
  <c r="H144" i="22"/>
  <c r="I144" i="22"/>
  <c r="E145" i="22"/>
  <c r="F145" i="22"/>
  <c r="G145" i="22"/>
  <c r="H145" i="22"/>
  <c r="I145" i="22"/>
  <c r="E146" i="22"/>
  <c r="F146" i="22"/>
  <c r="G146" i="22"/>
  <c r="H146" i="22"/>
  <c r="I146" i="22"/>
  <c r="E147" i="22"/>
  <c r="F147" i="22"/>
  <c r="G147" i="22"/>
  <c r="H147" i="22"/>
  <c r="I147" i="22"/>
  <c r="I128" i="22"/>
  <c r="H128" i="22"/>
  <c r="G128" i="22"/>
  <c r="F128" i="22"/>
  <c r="E128" i="22"/>
  <c r="J926" i="22"/>
  <c r="J734" i="22"/>
  <c r="J682" i="22"/>
  <c r="J636" i="22"/>
  <c r="J586" i="22"/>
  <c r="J559" i="22"/>
  <c r="J506" i="22"/>
  <c r="J481" i="22"/>
  <c r="J455" i="22"/>
  <c r="J430" i="22"/>
  <c r="J373" i="22"/>
  <c r="J349" i="22"/>
  <c r="J294" i="22"/>
  <c r="J248" i="22"/>
  <c r="J225" i="22"/>
  <c r="J176" i="22"/>
  <c r="J151" i="22"/>
  <c r="J126" i="22"/>
  <c r="E651" i="13" l="1"/>
  <c r="E660" i="13"/>
  <c r="E654" i="13"/>
  <c r="E663" i="13"/>
  <c r="E657" i="13"/>
  <c r="E666" i="13"/>
  <c r="I151" i="20"/>
  <c r="I152" i="20"/>
  <c r="I153" i="20"/>
  <c r="I154" i="20"/>
  <c r="E151" i="20"/>
  <c r="E152" i="20"/>
  <c r="E153" i="20"/>
  <c r="E154" i="20"/>
  <c r="N94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01" i="20"/>
  <c r="I201" i="20"/>
  <c r="I186" i="20"/>
  <c r="I187" i="20"/>
  <c r="I188" i="20"/>
  <c r="I189" i="20"/>
  <c r="I190" i="20"/>
  <c r="I191" i="20"/>
  <c r="E186" i="20"/>
  <c r="E187" i="20"/>
  <c r="E188" i="20"/>
  <c r="E189" i="20"/>
  <c r="E190" i="20"/>
  <c r="E191" i="20"/>
  <c r="I185" i="20"/>
  <c r="E185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I162" i="20"/>
  <c r="E162" i="20"/>
  <c r="I141" i="20"/>
  <c r="I142" i="20"/>
  <c r="I143" i="20"/>
  <c r="I144" i="20"/>
  <c r="I145" i="20"/>
  <c r="I146" i="20"/>
  <c r="I147" i="20"/>
  <c r="I148" i="20"/>
  <c r="I149" i="20"/>
  <c r="I150" i="20"/>
  <c r="E147" i="20"/>
  <c r="E148" i="20"/>
  <c r="E149" i="20"/>
  <c r="E150" i="20"/>
  <c r="E141" i="20"/>
  <c r="E142" i="20"/>
  <c r="E143" i="20"/>
  <c r="E144" i="20"/>
  <c r="E145" i="20"/>
  <c r="E146" i="20"/>
  <c r="E140" i="20"/>
  <c r="I140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19" i="20"/>
  <c r="E120" i="20"/>
  <c r="E121" i="20"/>
  <c r="N198" i="20"/>
  <c r="E118" i="20"/>
  <c r="I118" i="20"/>
  <c r="E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I97" i="20"/>
  <c r="N182" i="20"/>
  <c r="N159" i="20"/>
  <c r="N137" i="20"/>
  <c r="N115" i="20"/>
  <c r="I1235" i="17" l="1"/>
  <c r="I1196" i="17"/>
  <c r="D1050" i="17"/>
  <c r="E1245" i="17"/>
  <c r="F1245" i="17"/>
  <c r="E1188" i="17"/>
  <c r="F1188" i="17"/>
  <c r="E1189" i="17"/>
  <c r="F1189" i="17"/>
  <c r="E1166" i="17"/>
  <c r="F1166" i="17"/>
  <c r="E1167" i="17"/>
  <c r="F1167" i="17"/>
  <c r="E1168" i="17"/>
  <c r="F1168" i="17"/>
  <c r="E1169" i="17"/>
  <c r="F1169" i="17"/>
  <c r="E1170" i="17"/>
  <c r="F1170" i="17"/>
  <c r="E1171" i="17"/>
  <c r="F1171" i="17"/>
  <c r="E1172" i="17"/>
  <c r="F1172" i="17"/>
  <c r="E1173" i="17"/>
  <c r="F1173" i="17"/>
  <c r="E1162" i="17"/>
  <c r="F1162" i="17"/>
  <c r="E1163" i="17"/>
  <c r="F1163" i="17"/>
  <c r="E1164" i="17"/>
  <c r="F1164" i="17"/>
  <c r="E1165" i="17"/>
  <c r="F1165" i="17"/>
  <c r="E1143" i="17"/>
  <c r="F1143" i="17"/>
  <c r="E1083" i="17"/>
  <c r="F1083" i="17"/>
  <c r="E1084" i="17"/>
  <c r="F1084" i="17"/>
  <c r="E1085" i="17"/>
  <c r="F1085" i="17"/>
  <c r="E1086" i="17"/>
  <c r="F1086" i="17"/>
  <c r="E1064" i="17"/>
  <c r="F1064" i="17"/>
  <c r="I1064" i="17"/>
  <c r="E1040" i="17"/>
  <c r="F1040" i="17"/>
  <c r="I1040" i="17"/>
  <c r="E1041" i="17"/>
  <c r="F1041" i="17"/>
  <c r="E1042" i="17"/>
  <c r="F1042" i="17"/>
  <c r="E1043" i="17"/>
  <c r="F1043" i="17"/>
  <c r="E1044" i="17"/>
  <c r="F1044" i="17"/>
  <c r="E1045" i="17"/>
  <c r="F1045" i="17"/>
  <c r="E1046" i="17"/>
  <c r="F1046" i="17"/>
  <c r="E1047" i="17"/>
  <c r="F1047" i="17"/>
  <c r="I1047" i="17"/>
  <c r="E1048" i="17"/>
  <c r="F1048" i="17"/>
  <c r="I1048" i="17"/>
  <c r="E1049" i="17"/>
  <c r="F1049" i="17"/>
  <c r="I1049" i="17"/>
  <c r="E1023" i="17"/>
  <c r="F1023" i="17"/>
  <c r="I1023" i="17"/>
  <c r="E1024" i="17"/>
  <c r="F1024" i="17"/>
  <c r="I1024" i="17"/>
  <c r="E978" i="17"/>
  <c r="F978" i="17"/>
  <c r="I978" i="17"/>
  <c r="E979" i="17"/>
  <c r="F979" i="17"/>
  <c r="I979" i="17"/>
  <c r="E963" i="17"/>
  <c r="F963" i="17"/>
  <c r="I963" i="17"/>
  <c r="E944" i="17"/>
  <c r="F944" i="17"/>
  <c r="I944" i="17"/>
  <c r="F1310" i="17"/>
  <c r="E1310" i="17"/>
  <c r="F1309" i="17"/>
  <c r="E1309" i="17"/>
  <c r="F1308" i="17"/>
  <c r="E1308" i="17"/>
  <c r="F1307" i="17"/>
  <c r="E1307" i="17"/>
  <c r="F1306" i="17"/>
  <c r="E1306" i="17"/>
  <c r="F1305" i="17"/>
  <c r="E1305" i="17"/>
  <c r="I1303" i="17"/>
  <c r="F1295" i="17"/>
  <c r="E1295" i="17"/>
  <c r="F1294" i="17"/>
  <c r="E1294" i="17"/>
  <c r="F1293" i="17"/>
  <c r="E1293" i="17"/>
  <c r="F1292" i="17"/>
  <c r="E1292" i="17"/>
  <c r="F1291" i="17"/>
  <c r="E1291" i="17"/>
  <c r="F1290" i="17"/>
  <c r="E1290" i="17"/>
  <c r="F1289" i="17"/>
  <c r="E1289" i="17"/>
  <c r="F1282" i="17"/>
  <c r="E1282" i="17"/>
  <c r="F1281" i="17"/>
  <c r="E1281" i="17"/>
  <c r="F1280" i="17"/>
  <c r="E1280" i="17"/>
  <c r="F1279" i="17"/>
  <c r="E1279" i="17"/>
  <c r="F1278" i="17"/>
  <c r="E1278" i="17"/>
  <c r="F1277" i="17"/>
  <c r="E1277" i="17"/>
  <c r="I1275" i="17"/>
  <c r="F1261" i="17"/>
  <c r="E1261" i="17"/>
  <c r="F1260" i="17"/>
  <c r="E1260" i="17"/>
  <c r="F1259" i="17"/>
  <c r="E1259" i="17"/>
  <c r="F1258" i="17"/>
  <c r="E1258" i="17"/>
  <c r="F1257" i="17"/>
  <c r="E1257" i="17"/>
  <c r="F1256" i="17"/>
  <c r="E1256" i="17"/>
  <c r="I1254" i="17"/>
  <c r="I909" i="17"/>
  <c r="E911" i="17"/>
  <c r="F911" i="17"/>
  <c r="E912" i="17"/>
  <c r="F912" i="17"/>
  <c r="E913" i="17"/>
  <c r="F913" i="17"/>
  <c r="E914" i="17"/>
  <c r="F914" i="17"/>
  <c r="E915" i="17"/>
  <c r="F915" i="17"/>
  <c r="E916" i="17"/>
  <c r="F916" i="17"/>
  <c r="E917" i="17"/>
  <c r="F917" i="17"/>
  <c r="I917" i="17"/>
  <c r="I804" i="17"/>
  <c r="F804" i="17"/>
  <c r="E804" i="17"/>
  <c r="I803" i="17"/>
  <c r="F803" i="17"/>
  <c r="E803" i="17"/>
  <c r="I802" i="17"/>
  <c r="F802" i="17"/>
  <c r="E802" i="17"/>
  <c r="I801" i="17"/>
  <c r="F801" i="17"/>
  <c r="E801" i="17"/>
  <c r="F800" i="17"/>
  <c r="E800" i="17"/>
  <c r="F799" i="17"/>
  <c r="E799" i="17"/>
  <c r="F798" i="17"/>
  <c r="E798" i="17"/>
  <c r="F797" i="17"/>
  <c r="E797" i="17"/>
  <c r="F796" i="17"/>
  <c r="E796" i="17"/>
  <c r="F795" i="17"/>
  <c r="E795" i="17"/>
  <c r="E786" i="17"/>
  <c r="F786" i="17"/>
  <c r="I786" i="17"/>
  <c r="E787" i="17"/>
  <c r="F787" i="17"/>
  <c r="I787" i="17"/>
  <c r="E694" i="17"/>
  <c r="F694" i="17"/>
  <c r="E695" i="17"/>
  <c r="F695" i="17"/>
  <c r="E696" i="17"/>
  <c r="F696" i="17"/>
  <c r="I696" i="17"/>
  <c r="E697" i="17"/>
  <c r="F697" i="17"/>
  <c r="I697" i="17"/>
  <c r="E698" i="17"/>
  <c r="F698" i="17"/>
  <c r="I698" i="17"/>
  <c r="E699" i="17"/>
  <c r="F699" i="17"/>
  <c r="I699" i="17"/>
  <c r="E700" i="17"/>
  <c r="F700" i="17"/>
  <c r="I700" i="17"/>
  <c r="E701" i="17"/>
  <c r="F701" i="17"/>
  <c r="I701" i="17"/>
  <c r="E702" i="17"/>
  <c r="F702" i="17"/>
  <c r="I702" i="17"/>
  <c r="E703" i="17"/>
  <c r="F703" i="17"/>
  <c r="I703" i="17"/>
  <c r="E671" i="17"/>
  <c r="F671" i="17"/>
  <c r="E672" i="17"/>
  <c r="F672" i="17"/>
  <c r="E673" i="17"/>
  <c r="F673" i="17"/>
  <c r="I673" i="17"/>
  <c r="E674" i="17"/>
  <c r="F674" i="17"/>
  <c r="I674" i="17"/>
  <c r="E675" i="17"/>
  <c r="F675" i="17"/>
  <c r="I675" i="17"/>
  <c r="E676" i="17"/>
  <c r="F676" i="17"/>
  <c r="I676" i="17"/>
  <c r="E677" i="17"/>
  <c r="F677" i="17"/>
  <c r="I677" i="17"/>
  <c r="E678" i="17"/>
  <c r="F678" i="17"/>
  <c r="I678" i="17"/>
  <c r="E679" i="17"/>
  <c r="F679" i="17"/>
  <c r="I679" i="17"/>
  <c r="E680" i="17"/>
  <c r="F680" i="17"/>
  <c r="I680" i="17"/>
  <c r="E528" i="17"/>
  <c r="F528" i="17"/>
  <c r="I528" i="17"/>
  <c r="E510" i="17"/>
  <c r="F510" i="17"/>
  <c r="I510" i="17"/>
  <c r="E317" i="17"/>
  <c r="F317" i="17"/>
  <c r="I317" i="17"/>
  <c r="E299" i="17"/>
  <c r="F299" i="17"/>
  <c r="I299" i="17"/>
  <c r="F1244" i="17"/>
  <c r="E1244" i="17"/>
  <c r="F1243" i="17"/>
  <c r="E1243" i="17"/>
  <c r="F1242" i="17"/>
  <c r="E1242" i="17"/>
  <c r="F1241" i="17"/>
  <c r="E1241" i="17"/>
  <c r="F1240" i="17"/>
  <c r="E1240" i="17"/>
  <c r="F1239" i="17"/>
  <c r="E1239" i="17"/>
  <c r="F1238" i="17"/>
  <c r="E1238" i="17"/>
  <c r="F1237" i="17"/>
  <c r="E1237" i="17"/>
  <c r="F1225" i="17"/>
  <c r="E1225" i="17"/>
  <c r="F1224" i="17"/>
  <c r="E1224" i="17"/>
  <c r="F1223" i="17"/>
  <c r="E1223" i="17"/>
  <c r="F1222" i="17"/>
  <c r="E1222" i="17"/>
  <c r="F1221" i="17"/>
  <c r="E1221" i="17"/>
  <c r="F1220" i="17"/>
  <c r="E1220" i="17"/>
  <c r="F1219" i="17"/>
  <c r="E1219" i="17"/>
  <c r="F1218" i="17"/>
  <c r="E1218" i="17"/>
  <c r="F1204" i="17"/>
  <c r="E1204" i="17"/>
  <c r="F1203" i="17"/>
  <c r="E1203" i="17"/>
  <c r="F1202" i="17"/>
  <c r="E1202" i="17"/>
  <c r="F1201" i="17"/>
  <c r="E1201" i="17"/>
  <c r="F1200" i="17"/>
  <c r="E1200" i="17"/>
  <c r="F1199" i="17"/>
  <c r="E1199" i="17"/>
  <c r="F1198" i="17"/>
  <c r="E1198" i="17"/>
  <c r="F1187" i="17"/>
  <c r="E1187" i="17"/>
  <c r="F1186" i="17"/>
  <c r="E1186" i="17"/>
  <c r="F1185" i="17"/>
  <c r="E1185" i="17"/>
  <c r="F1184" i="17"/>
  <c r="E1184" i="17"/>
  <c r="F1183" i="17"/>
  <c r="E1183" i="17"/>
  <c r="F1182" i="17"/>
  <c r="E1182" i="17"/>
  <c r="F1181" i="17"/>
  <c r="E1181" i="17"/>
  <c r="F1180" i="17"/>
  <c r="E1180" i="17"/>
  <c r="F1161" i="17"/>
  <c r="E1161" i="17"/>
  <c r="F1160" i="17"/>
  <c r="E1160" i="17"/>
  <c r="F1159" i="17"/>
  <c r="E1159" i="17"/>
  <c r="F1158" i="17"/>
  <c r="E1158" i="17"/>
  <c r="F1157" i="17"/>
  <c r="E1157" i="17"/>
  <c r="F1156" i="17"/>
  <c r="E1156" i="17"/>
  <c r="F1155" i="17"/>
  <c r="E1155" i="17"/>
  <c r="F1154" i="17"/>
  <c r="E1154" i="17"/>
  <c r="F1142" i="17"/>
  <c r="E1142" i="17"/>
  <c r="F1141" i="17"/>
  <c r="E1141" i="17"/>
  <c r="F1140" i="17"/>
  <c r="E1140" i="17"/>
  <c r="F1139" i="17"/>
  <c r="E1139" i="17"/>
  <c r="F1138" i="17"/>
  <c r="E1138" i="17"/>
  <c r="F1137" i="17"/>
  <c r="E1137" i="17"/>
  <c r="F1136" i="17"/>
  <c r="E1136" i="17"/>
  <c r="F1135" i="17"/>
  <c r="E1135" i="17"/>
  <c r="I1121" i="17"/>
  <c r="F1121" i="17"/>
  <c r="E1121" i="17"/>
  <c r="F1120" i="17"/>
  <c r="E1120" i="17"/>
  <c r="F1119" i="17"/>
  <c r="E1119" i="17"/>
  <c r="F1118" i="17"/>
  <c r="E1118" i="17"/>
  <c r="F1117" i="17"/>
  <c r="E1117" i="17"/>
  <c r="F1116" i="17"/>
  <c r="E1116" i="17"/>
  <c r="F1115" i="17"/>
  <c r="E1115" i="17"/>
  <c r="F1114" i="17"/>
  <c r="E1114" i="17"/>
  <c r="F1100" i="17"/>
  <c r="E1100" i="17"/>
  <c r="F1099" i="17"/>
  <c r="E1099" i="17"/>
  <c r="F1098" i="17"/>
  <c r="E1098" i="17"/>
  <c r="F1097" i="17"/>
  <c r="E1097" i="17"/>
  <c r="F1096" i="17"/>
  <c r="E1096" i="17"/>
  <c r="F1095" i="17"/>
  <c r="E1095" i="17"/>
  <c r="F1094" i="17"/>
  <c r="E1094" i="17"/>
  <c r="F1093" i="17"/>
  <c r="E1093" i="17"/>
  <c r="F1082" i="17"/>
  <c r="E1082" i="17"/>
  <c r="F1081" i="17"/>
  <c r="E1081" i="17"/>
  <c r="F1080" i="17"/>
  <c r="E1080" i="17"/>
  <c r="F1079" i="17"/>
  <c r="E1079" i="17"/>
  <c r="F1078" i="17"/>
  <c r="E1078" i="17"/>
  <c r="F1077" i="17"/>
  <c r="E1077" i="17"/>
  <c r="F1076" i="17"/>
  <c r="E1076" i="17"/>
  <c r="F1075" i="17"/>
  <c r="E1075" i="17"/>
  <c r="I1063" i="17"/>
  <c r="F1063" i="17"/>
  <c r="E1063" i="17"/>
  <c r="F1062" i="17"/>
  <c r="E1062" i="17"/>
  <c r="F1061" i="17"/>
  <c r="E1061" i="17"/>
  <c r="F1060" i="17"/>
  <c r="E1060" i="17"/>
  <c r="F1059" i="17"/>
  <c r="E1059" i="17"/>
  <c r="F1058" i="17"/>
  <c r="E1058" i="17"/>
  <c r="F1057" i="17"/>
  <c r="E1057" i="17"/>
  <c r="F1056" i="17"/>
  <c r="E1056" i="17"/>
  <c r="F1039" i="17"/>
  <c r="E1039" i="17"/>
  <c r="F1038" i="17"/>
  <c r="E1038" i="17"/>
  <c r="F1037" i="17"/>
  <c r="E1037" i="17"/>
  <c r="F1036" i="17"/>
  <c r="E1036" i="17"/>
  <c r="F1035" i="17"/>
  <c r="E1035" i="17"/>
  <c r="F1034" i="17"/>
  <c r="E1034" i="17"/>
  <c r="F1033" i="17"/>
  <c r="E1033" i="17"/>
  <c r="F1032" i="17"/>
  <c r="E1032" i="17"/>
  <c r="F1022" i="17"/>
  <c r="E1022" i="17"/>
  <c r="F1021" i="17"/>
  <c r="E1021" i="17"/>
  <c r="F1020" i="17"/>
  <c r="E1020" i="17"/>
  <c r="F1019" i="17"/>
  <c r="E1019" i="17"/>
  <c r="F1018" i="17"/>
  <c r="E1018" i="17"/>
  <c r="F1017" i="17"/>
  <c r="E1017" i="17"/>
  <c r="F1016" i="17"/>
  <c r="E1016" i="17"/>
  <c r="F1015" i="17"/>
  <c r="E1015" i="17"/>
  <c r="F1009" i="17"/>
  <c r="E1009" i="17"/>
  <c r="F1008" i="17"/>
  <c r="E1008" i="17"/>
  <c r="F1007" i="17"/>
  <c r="E1007" i="17"/>
  <c r="F1006" i="17"/>
  <c r="E1006" i="17"/>
  <c r="F1005" i="17"/>
  <c r="E1005" i="17"/>
  <c r="F996" i="17"/>
  <c r="E996" i="17"/>
  <c r="F995" i="17"/>
  <c r="E995" i="17"/>
  <c r="F989" i="17"/>
  <c r="E989" i="17"/>
  <c r="I977" i="17"/>
  <c r="F977" i="17"/>
  <c r="E977" i="17"/>
  <c r="F976" i="17"/>
  <c r="E976" i="17"/>
  <c r="F975" i="17"/>
  <c r="E975" i="17"/>
  <c r="F974" i="17"/>
  <c r="E974" i="17"/>
  <c r="F973" i="17"/>
  <c r="E973" i="17"/>
  <c r="F972" i="17"/>
  <c r="E972" i="17"/>
  <c r="F971" i="17"/>
  <c r="E971" i="17"/>
  <c r="F970" i="17"/>
  <c r="E970" i="17"/>
  <c r="F962" i="17"/>
  <c r="E962" i="17"/>
  <c r="F961" i="17"/>
  <c r="E961" i="17"/>
  <c r="F960" i="17"/>
  <c r="E960" i="17"/>
  <c r="F959" i="17"/>
  <c r="E959" i="17"/>
  <c r="F958" i="17"/>
  <c r="E958" i="17"/>
  <c r="F957" i="17"/>
  <c r="E957" i="17"/>
  <c r="F956" i="17"/>
  <c r="E956" i="17"/>
  <c r="F955" i="17"/>
  <c r="E955" i="17"/>
  <c r="F943" i="17"/>
  <c r="E943" i="17"/>
  <c r="F942" i="17"/>
  <c r="E942" i="17"/>
  <c r="F941" i="17"/>
  <c r="E941" i="17"/>
  <c r="F940" i="17"/>
  <c r="E940" i="17"/>
  <c r="F939" i="17"/>
  <c r="E939" i="17"/>
  <c r="F938" i="17"/>
  <c r="E938" i="17"/>
  <c r="F937" i="17"/>
  <c r="E937" i="17"/>
  <c r="F936" i="17"/>
  <c r="E936" i="17"/>
  <c r="I928" i="17"/>
  <c r="F928" i="17"/>
  <c r="E928" i="17"/>
  <c r="F927" i="17"/>
  <c r="E927" i="17"/>
  <c r="F926" i="17"/>
  <c r="E926" i="17"/>
  <c r="F925" i="17"/>
  <c r="E925" i="17"/>
  <c r="F924" i="17"/>
  <c r="E924" i="17"/>
  <c r="F923" i="17"/>
  <c r="E923" i="17"/>
  <c r="F922" i="17"/>
  <c r="E922" i="17"/>
  <c r="F877" i="17"/>
  <c r="E877" i="17"/>
  <c r="I870" i="17"/>
  <c r="F870" i="17"/>
  <c r="E870" i="17"/>
  <c r="F869" i="17"/>
  <c r="E869" i="17"/>
  <c r="F868" i="17"/>
  <c r="E868" i="17"/>
  <c r="F867" i="17"/>
  <c r="E867" i="17"/>
  <c r="F866" i="17"/>
  <c r="E866" i="17"/>
  <c r="I859" i="17"/>
  <c r="F859" i="17"/>
  <c r="E859" i="17"/>
  <c r="F858" i="17"/>
  <c r="E858" i="17"/>
  <c r="F857" i="17"/>
  <c r="E857" i="17"/>
  <c r="F856" i="17"/>
  <c r="E856" i="17"/>
  <c r="F855" i="17"/>
  <c r="E855" i="17"/>
  <c r="F849" i="17"/>
  <c r="E849" i="17"/>
  <c r="F848" i="17"/>
  <c r="E848" i="17"/>
  <c r="F847" i="17"/>
  <c r="E847" i="17"/>
  <c r="F846" i="17"/>
  <c r="E846" i="17"/>
  <c r="F839" i="17"/>
  <c r="E839" i="17"/>
  <c r="F838" i="17"/>
  <c r="E838" i="17"/>
  <c r="F837" i="17"/>
  <c r="E837" i="17"/>
  <c r="F836" i="17"/>
  <c r="E836" i="17"/>
  <c r="I829" i="17"/>
  <c r="F829" i="17"/>
  <c r="E829" i="17"/>
  <c r="F828" i="17"/>
  <c r="E828" i="17"/>
  <c r="F827" i="17"/>
  <c r="E827" i="17"/>
  <c r="F826" i="17"/>
  <c r="E826" i="17"/>
  <c r="F825" i="17"/>
  <c r="E825" i="17"/>
  <c r="F824" i="17"/>
  <c r="E824" i="17"/>
  <c r="I816" i="17"/>
  <c r="F816" i="17"/>
  <c r="E816" i="17"/>
  <c r="F815" i="17"/>
  <c r="E815" i="17"/>
  <c r="F814" i="17"/>
  <c r="E814" i="17"/>
  <c r="F813" i="17"/>
  <c r="E813" i="17"/>
  <c r="F812" i="17"/>
  <c r="E812" i="17"/>
  <c r="F811" i="17"/>
  <c r="E811" i="17"/>
  <c r="I785" i="17"/>
  <c r="F785" i="17"/>
  <c r="E785" i="17"/>
  <c r="I784" i="17"/>
  <c r="F784" i="17"/>
  <c r="E784" i="17"/>
  <c r="F783" i="17"/>
  <c r="E783" i="17"/>
  <c r="F782" i="17"/>
  <c r="E782" i="17"/>
  <c r="F781" i="17"/>
  <c r="E781" i="17"/>
  <c r="F780" i="17"/>
  <c r="E780" i="17"/>
  <c r="F779" i="17"/>
  <c r="E779" i="17"/>
  <c r="F778" i="17"/>
  <c r="E778" i="17"/>
  <c r="I762" i="17"/>
  <c r="F762" i="17"/>
  <c r="E762" i="17"/>
  <c r="F761" i="17"/>
  <c r="E761" i="17"/>
  <c r="I753" i="17"/>
  <c r="F753" i="17"/>
  <c r="E753" i="17"/>
  <c r="F752" i="17"/>
  <c r="E752" i="17"/>
  <c r="I737" i="17"/>
  <c r="F737" i="17"/>
  <c r="E737" i="17"/>
  <c r="I736" i="17"/>
  <c r="F736" i="17"/>
  <c r="E736" i="17"/>
  <c r="I735" i="17"/>
  <c r="F735" i="17"/>
  <c r="E735" i="17"/>
  <c r="I734" i="17"/>
  <c r="F734" i="17"/>
  <c r="E734" i="17"/>
  <c r="F733" i="17"/>
  <c r="E733" i="17"/>
  <c r="F732" i="17"/>
  <c r="E732" i="17"/>
  <c r="F731" i="17"/>
  <c r="E731" i="17"/>
  <c r="F730" i="17"/>
  <c r="E730" i="17"/>
  <c r="I716" i="17"/>
  <c r="F716" i="17"/>
  <c r="E716" i="17"/>
  <c r="I715" i="17"/>
  <c r="F715" i="17"/>
  <c r="E715" i="17"/>
  <c r="I714" i="17"/>
  <c r="F714" i="17"/>
  <c r="E714" i="17"/>
  <c r="I713" i="17"/>
  <c r="F713" i="17"/>
  <c r="E713" i="17"/>
  <c r="F712" i="17"/>
  <c r="E712" i="17"/>
  <c r="F711" i="17"/>
  <c r="E711" i="17"/>
  <c r="F710" i="17"/>
  <c r="E710" i="17"/>
  <c r="F709" i="17"/>
  <c r="E709" i="17"/>
  <c r="F693" i="17"/>
  <c r="E693" i="17"/>
  <c r="F692" i="17"/>
  <c r="E692" i="17"/>
  <c r="F691" i="17"/>
  <c r="E691" i="17"/>
  <c r="F690" i="17"/>
  <c r="E690" i="17"/>
  <c r="F689" i="17"/>
  <c r="E689" i="17"/>
  <c r="F688" i="17"/>
  <c r="E688" i="17"/>
  <c r="F687" i="17"/>
  <c r="E687" i="17"/>
  <c r="F686" i="17"/>
  <c r="E686" i="17"/>
  <c r="F670" i="17"/>
  <c r="E670" i="17"/>
  <c r="F669" i="17"/>
  <c r="E669" i="17"/>
  <c r="F668" i="17"/>
  <c r="E668" i="17"/>
  <c r="F667" i="17"/>
  <c r="E667" i="17"/>
  <c r="F666" i="17"/>
  <c r="E666" i="17"/>
  <c r="F665" i="17"/>
  <c r="E665" i="17"/>
  <c r="F664" i="17"/>
  <c r="E664" i="17"/>
  <c r="F663" i="17"/>
  <c r="E663" i="17"/>
  <c r="I649" i="17"/>
  <c r="F649" i="17"/>
  <c r="E649" i="17"/>
  <c r="I648" i="17"/>
  <c r="F648" i="17"/>
  <c r="E648" i="17"/>
  <c r="I647" i="17"/>
  <c r="F647" i="17"/>
  <c r="E647" i="17"/>
  <c r="I646" i="17"/>
  <c r="F646" i="17"/>
  <c r="E646" i="17"/>
  <c r="F645" i="17"/>
  <c r="E645" i="17"/>
  <c r="F644" i="17"/>
  <c r="E644" i="17"/>
  <c r="F643" i="17"/>
  <c r="E643" i="17"/>
  <c r="F642" i="17"/>
  <c r="E642" i="17"/>
  <c r="I629" i="17"/>
  <c r="F629" i="17"/>
  <c r="E629" i="17"/>
  <c r="I628" i="17"/>
  <c r="F628" i="17"/>
  <c r="E628" i="17"/>
  <c r="I627" i="17"/>
  <c r="F627" i="17"/>
  <c r="E627" i="17"/>
  <c r="I626" i="17"/>
  <c r="F626" i="17"/>
  <c r="E626" i="17"/>
  <c r="F625" i="17"/>
  <c r="E625" i="17"/>
  <c r="F624" i="17"/>
  <c r="E624" i="17"/>
  <c r="F623" i="17"/>
  <c r="E623" i="17"/>
  <c r="F622" i="17"/>
  <c r="E622" i="17"/>
  <c r="F608" i="17"/>
  <c r="E608" i="17"/>
  <c r="F607" i="17"/>
  <c r="E607" i="17"/>
  <c r="F606" i="17"/>
  <c r="E606" i="17"/>
  <c r="F605" i="17"/>
  <c r="E605" i="17"/>
  <c r="F604" i="17"/>
  <c r="E604" i="17"/>
  <c r="F603" i="17"/>
  <c r="E603" i="17"/>
  <c r="F602" i="17"/>
  <c r="E602" i="17"/>
  <c r="F601" i="17"/>
  <c r="E601" i="17"/>
  <c r="I586" i="17"/>
  <c r="F586" i="17"/>
  <c r="E586" i="17"/>
  <c r="I585" i="17"/>
  <c r="F585" i="17"/>
  <c r="E585" i="17"/>
  <c r="I584" i="17"/>
  <c r="F584" i="17"/>
  <c r="E584" i="17"/>
  <c r="I583" i="17"/>
  <c r="F583" i="17"/>
  <c r="E583" i="17"/>
  <c r="F582" i="17"/>
  <c r="E582" i="17"/>
  <c r="F581" i="17"/>
  <c r="E581" i="17"/>
  <c r="F580" i="17"/>
  <c r="E580" i="17"/>
  <c r="F579" i="17"/>
  <c r="E579" i="17"/>
  <c r="F565" i="17"/>
  <c r="E565" i="17"/>
  <c r="F564" i="17"/>
  <c r="E564" i="17"/>
  <c r="F563" i="17"/>
  <c r="E563" i="17"/>
  <c r="F562" i="17"/>
  <c r="E562" i="17"/>
  <c r="F561" i="17"/>
  <c r="E561" i="17"/>
  <c r="F560" i="17"/>
  <c r="E560" i="17"/>
  <c r="F559" i="17"/>
  <c r="E559" i="17"/>
  <c r="F558" i="17"/>
  <c r="E558" i="17"/>
  <c r="I544" i="17"/>
  <c r="F544" i="17"/>
  <c r="E544" i="17"/>
  <c r="I543" i="17"/>
  <c r="F543" i="17"/>
  <c r="E543" i="17"/>
  <c r="I542" i="17"/>
  <c r="F542" i="17"/>
  <c r="E542" i="17"/>
  <c r="I541" i="17"/>
  <c r="F541" i="17"/>
  <c r="E541" i="17"/>
  <c r="F540" i="17"/>
  <c r="E540" i="17"/>
  <c r="F539" i="17"/>
  <c r="E539" i="17"/>
  <c r="F538" i="17"/>
  <c r="E538" i="17"/>
  <c r="F537" i="17"/>
  <c r="E537" i="17"/>
  <c r="I527" i="17"/>
  <c r="F527" i="17"/>
  <c r="E527" i="17"/>
  <c r="I526" i="17"/>
  <c r="F526" i="17"/>
  <c r="E526" i="17"/>
  <c r="I525" i="17"/>
  <c r="F525" i="17"/>
  <c r="E525" i="17"/>
  <c r="F524" i="17"/>
  <c r="E524" i="17"/>
  <c r="F523" i="17"/>
  <c r="E523" i="17"/>
  <c r="F522" i="17"/>
  <c r="E522" i="17"/>
  <c r="F521" i="17"/>
  <c r="E521" i="17"/>
  <c r="F520" i="17"/>
  <c r="E520" i="17"/>
  <c r="F519" i="17"/>
  <c r="E519" i="17"/>
  <c r="I509" i="17"/>
  <c r="F509" i="17"/>
  <c r="E509" i="17"/>
  <c r="I508" i="17"/>
  <c r="F508" i="17"/>
  <c r="E508" i="17"/>
  <c r="I507" i="17"/>
  <c r="F507" i="17"/>
  <c r="E507" i="17"/>
  <c r="F506" i="17"/>
  <c r="E506" i="17"/>
  <c r="F505" i="17"/>
  <c r="E505" i="17"/>
  <c r="F504" i="17"/>
  <c r="E504" i="17"/>
  <c r="F503" i="17"/>
  <c r="E503" i="17"/>
  <c r="F502" i="17"/>
  <c r="E502" i="17"/>
  <c r="F501" i="17"/>
  <c r="E501" i="17"/>
  <c r="I488" i="17"/>
  <c r="F488" i="17"/>
  <c r="E488" i="17"/>
  <c r="I487" i="17"/>
  <c r="F487" i="17"/>
  <c r="E487" i="17"/>
  <c r="I486" i="17"/>
  <c r="F486" i="17"/>
  <c r="E486" i="17"/>
  <c r="F485" i="17"/>
  <c r="E485" i="17"/>
  <c r="F484" i="17"/>
  <c r="E484" i="17"/>
  <c r="F483" i="17"/>
  <c r="E483" i="17"/>
  <c r="F482" i="17"/>
  <c r="E482" i="17"/>
  <c r="F481" i="17"/>
  <c r="E481" i="17"/>
  <c r="I468" i="17"/>
  <c r="F468" i="17"/>
  <c r="E468" i="17"/>
  <c r="I467" i="17"/>
  <c r="F467" i="17"/>
  <c r="E467" i="17"/>
  <c r="I466" i="17"/>
  <c r="F466" i="17"/>
  <c r="E466" i="17"/>
  <c r="F465" i="17"/>
  <c r="E465" i="17"/>
  <c r="F464" i="17"/>
  <c r="E464" i="17"/>
  <c r="F463" i="17"/>
  <c r="E463" i="17"/>
  <c r="F462" i="17"/>
  <c r="E462" i="17"/>
  <c r="F461" i="17"/>
  <c r="E461" i="17"/>
  <c r="I446" i="17"/>
  <c r="F446" i="17"/>
  <c r="E446" i="17"/>
  <c r="I445" i="17"/>
  <c r="F445" i="17"/>
  <c r="E445" i="17"/>
  <c r="I444" i="17"/>
  <c r="F444" i="17"/>
  <c r="E444" i="17"/>
  <c r="I443" i="17"/>
  <c r="F443" i="17"/>
  <c r="E443" i="17"/>
  <c r="F442" i="17"/>
  <c r="E442" i="17"/>
  <c r="F441" i="17"/>
  <c r="E441" i="17"/>
  <c r="F440" i="17"/>
  <c r="E440" i="17"/>
  <c r="I428" i="17"/>
  <c r="F428" i="17"/>
  <c r="E428" i="17"/>
  <c r="I427" i="17"/>
  <c r="F427" i="17"/>
  <c r="E427" i="17"/>
  <c r="I426" i="17"/>
  <c r="F426" i="17"/>
  <c r="E426" i="17"/>
  <c r="I425" i="17"/>
  <c r="F425" i="17"/>
  <c r="E425" i="17"/>
  <c r="F424" i="17"/>
  <c r="E424" i="17"/>
  <c r="F423" i="17"/>
  <c r="E423" i="17"/>
  <c r="F422" i="17"/>
  <c r="E422" i="17"/>
  <c r="I411" i="17"/>
  <c r="F411" i="17"/>
  <c r="E411" i="17"/>
  <c r="I410" i="17"/>
  <c r="F410" i="17"/>
  <c r="E410" i="17"/>
  <c r="I409" i="17"/>
  <c r="F409" i="17"/>
  <c r="E409" i="17"/>
  <c r="I408" i="17"/>
  <c r="F408" i="17"/>
  <c r="E408" i="17"/>
  <c r="F407" i="17"/>
  <c r="E407" i="17"/>
  <c r="F406" i="17"/>
  <c r="E406" i="17"/>
  <c r="F405" i="17"/>
  <c r="E405" i="17"/>
  <c r="F404" i="17"/>
  <c r="E404" i="17"/>
  <c r="F403" i="17"/>
  <c r="E403" i="17"/>
  <c r="I393" i="17"/>
  <c r="F393" i="17"/>
  <c r="E393" i="17"/>
  <c r="I392" i="17"/>
  <c r="F392" i="17"/>
  <c r="E392" i="17"/>
  <c r="I391" i="17"/>
  <c r="F391" i="17"/>
  <c r="E391" i="17"/>
  <c r="I390" i="17"/>
  <c r="F390" i="17"/>
  <c r="E390" i="17"/>
  <c r="F389" i="17"/>
  <c r="E389" i="17"/>
  <c r="F388" i="17"/>
  <c r="E388" i="17"/>
  <c r="F387" i="17"/>
  <c r="E387" i="17"/>
  <c r="F386" i="17"/>
  <c r="E386" i="17"/>
  <c r="F385" i="17"/>
  <c r="E385" i="17"/>
  <c r="I378" i="17"/>
  <c r="F378" i="17"/>
  <c r="E378" i="17"/>
  <c r="I377" i="17"/>
  <c r="F377" i="17"/>
  <c r="E377" i="17"/>
  <c r="I376" i="17"/>
  <c r="F376" i="17"/>
  <c r="E376" i="17"/>
  <c r="F375" i="17"/>
  <c r="E375" i="17"/>
  <c r="F374" i="17"/>
  <c r="E374" i="17"/>
  <c r="F373" i="17"/>
  <c r="E373" i="17"/>
  <c r="I367" i="17"/>
  <c r="F367" i="17"/>
  <c r="E367" i="17"/>
  <c r="I366" i="17"/>
  <c r="F366" i="17"/>
  <c r="E366" i="17"/>
  <c r="I365" i="17"/>
  <c r="F365" i="17"/>
  <c r="E365" i="17"/>
  <c r="F364" i="17"/>
  <c r="E364" i="17"/>
  <c r="F363" i="17"/>
  <c r="E363" i="17"/>
  <c r="F362" i="17"/>
  <c r="E362" i="17"/>
  <c r="I350" i="17"/>
  <c r="F350" i="17"/>
  <c r="E350" i="17"/>
  <c r="I349" i="17"/>
  <c r="F349" i="17"/>
  <c r="E349" i="17"/>
  <c r="I348" i="17"/>
  <c r="F348" i="17"/>
  <c r="E348" i="17"/>
  <c r="F347" i="17"/>
  <c r="E347" i="17"/>
  <c r="F346" i="17"/>
  <c r="E346" i="17"/>
  <c r="F345" i="17"/>
  <c r="E345" i="17"/>
  <c r="F344" i="17"/>
  <c r="E344" i="17"/>
  <c r="I332" i="17"/>
  <c r="F332" i="17"/>
  <c r="E332" i="17"/>
  <c r="I331" i="17"/>
  <c r="F331" i="17"/>
  <c r="E331" i="17"/>
  <c r="I330" i="17"/>
  <c r="F330" i="17"/>
  <c r="E330" i="17"/>
  <c r="F329" i="17"/>
  <c r="E329" i="17"/>
  <c r="F328" i="17"/>
  <c r="E328" i="17"/>
  <c r="F327" i="17"/>
  <c r="E327" i="17"/>
  <c r="F326" i="17"/>
  <c r="E326" i="17"/>
  <c r="I316" i="17"/>
  <c r="F316" i="17"/>
  <c r="E316" i="17"/>
  <c r="I315" i="17"/>
  <c r="F315" i="17"/>
  <c r="E315" i="17"/>
  <c r="I314" i="17"/>
  <c r="F314" i="17"/>
  <c r="E314" i="17"/>
  <c r="F313" i="17"/>
  <c r="E313" i="17"/>
  <c r="F312" i="17"/>
  <c r="E312" i="17"/>
  <c r="F311" i="17"/>
  <c r="E311" i="17"/>
  <c r="F310" i="17"/>
  <c r="E310" i="17"/>
  <c r="F309" i="17"/>
  <c r="E309" i="17"/>
  <c r="F308" i="17"/>
  <c r="E308" i="17"/>
  <c r="I298" i="17"/>
  <c r="F298" i="17"/>
  <c r="E298" i="17"/>
  <c r="I297" i="17"/>
  <c r="F297" i="17"/>
  <c r="E297" i="17"/>
  <c r="I296" i="17"/>
  <c r="F296" i="17"/>
  <c r="E296" i="17"/>
  <c r="F295" i="17"/>
  <c r="E295" i="17"/>
  <c r="F294" i="17"/>
  <c r="E294" i="17"/>
  <c r="F293" i="17"/>
  <c r="E293" i="17"/>
  <c r="F292" i="17"/>
  <c r="E292" i="17"/>
  <c r="F291" i="17"/>
  <c r="E291" i="17"/>
  <c r="F290" i="17"/>
  <c r="E290" i="17"/>
  <c r="I275" i="17"/>
  <c r="F275" i="17"/>
  <c r="E275" i="17"/>
  <c r="I274" i="17"/>
  <c r="F274" i="17"/>
  <c r="E274" i="17"/>
  <c r="I273" i="17"/>
  <c r="F273" i="17"/>
  <c r="E273" i="17"/>
  <c r="F272" i="17"/>
  <c r="E272" i="17"/>
  <c r="F271" i="17"/>
  <c r="E271" i="17"/>
  <c r="F270" i="17"/>
  <c r="E270" i="17"/>
  <c r="F269" i="17"/>
  <c r="E269" i="17"/>
  <c r="F268" i="17"/>
  <c r="E268" i="17"/>
  <c r="I254" i="17"/>
  <c r="F254" i="17"/>
  <c r="E254" i="17"/>
  <c r="I253" i="17"/>
  <c r="F253" i="17"/>
  <c r="E253" i="17"/>
  <c r="I252" i="17"/>
  <c r="F252" i="17"/>
  <c r="E252" i="17"/>
  <c r="F251" i="17"/>
  <c r="E251" i="17"/>
  <c r="F250" i="17"/>
  <c r="E250" i="17"/>
  <c r="F249" i="17"/>
  <c r="E249" i="17"/>
  <c r="F248" i="17"/>
  <c r="E248" i="17"/>
  <c r="F247" i="17"/>
  <c r="E247" i="17"/>
  <c r="I233" i="17"/>
  <c r="F233" i="17"/>
  <c r="E233" i="17"/>
  <c r="F232" i="17"/>
  <c r="E232" i="17"/>
  <c r="I223" i="17"/>
  <c r="F223" i="17"/>
  <c r="E223" i="17"/>
  <c r="F222" i="17"/>
  <c r="E222" i="17"/>
  <c r="I212" i="17"/>
  <c r="F212" i="17"/>
  <c r="E212" i="17"/>
  <c r="I211" i="17"/>
  <c r="F211" i="17"/>
  <c r="E211" i="17"/>
  <c r="I210" i="17"/>
  <c r="F210" i="17"/>
  <c r="E210" i="17"/>
  <c r="I209" i="17"/>
  <c r="F209" i="17"/>
  <c r="E209" i="17"/>
  <c r="I208" i="17"/>
  <c r="F208" i="17"/>
  <c r="E208" i="17"/>
  <c r="F207" i="17"/>
  <c r="E207" i="17"/>
  <c r="F206" i="17"/>
  <c r="E206" i="17"/>
  <c r="F205" i="17"/>
  <c r="E205" i="17"/>
  <c r="F204" i="17"/>
  <c r="E204" i="17"/>
  <c r="I188" i="17"/>
  <c r="I189" i="17"/>
  <c r="I190" i="17"/>
  <c r="I191" i="17"/>
  <c r="I192" i="17"/>
  <c r="F185" i="17"/>
  <c r="F186" i="17"/>
  <c r="F187" i="17"/>
  <c r="F188" i="17"/>
  <c r="F189" i="17"/>
  <c r="F190" i="17"/>
  <c r="F191" i="17"/>
  <c r="F192" i="17"/>
  <c r="E185" i="17"/>
  <c r="E186" i="17"/>
  <c r="E187" i="17"/>
  <c r="E188" i="17"/>
  <c r="E189" i="17"/>
  <c r="E190" i="17"/>
  <c r="E191" i="17"/>
  <c r="E192" i="17"/>
  <c r="F184" i="17"/>
  <c r="E184" i="17"/>
  <c r="I1216" i="17" l="1"/>
  <c r="I1178" i="17"/>
  <c r="I1152" i="17"/>
  <c r="I1133" i="17"/>
  <c r="I1112" i="17"/>
  <c r="I1091" i="17"/>
  <c r="I1073" i="17"/>
  <c r="I1054" i="17"/>
  <c r="I1030" i="17"/>
  <c r="I1013" i="17"/>
  <c r="I987" i="17"/>
  <c r="I968" i="17"/>
  <c r="I953" i="17"/>
  <c r="I934" i="17"/>
  <c r="I875" i="17"/>
  <c r="I853" i="17"/>
  <c r="I834" i="17"/>
  <c r="I809" i="17"/>
  <c r="I793" i="17"/>
  <c r="I776" i="17"/>
  <c r="I750" i="17"/>
  <c r="I728" i="17"/>
  <c r="I707" i="17"/>
  <c r="I684" i="17"/>
  <c r="I661" i="17"/>
  <c r="I640" i="17"/>
  <c r="I620" i="17"/>
  <c r="I599" i="17"/>
  <c r="I577" i="17"/>
  <c r="I556" i="17"/>
  <c r="I535" i="17"/>
  <c r="I517" i="17"/>
  <c r="I499" i="17"/>
  <c r="I479" i="17"/>
  <c r="I459" i="17"/>
  <c r="I438" i="17"/>
  <c r="I420" i="17"/>
  <c r="I401" i="17"/>
  <c r="I383" i="17"/>
  <c r="I360" i="17"/>
  <c r="I342" i="17"/>
  <c r="I324" i="17"/>
  <c r="I306" i="17"/>
  <c r="I288" i="17"/>
  <c r="I266" i="17"/>
  <c r="I245" i="17"/>
  <c r="I230" i="17"/>
  <c r="I220" i="17"/>
  <c r="I202" i="17"/>
  <c r="I182" i="17"/>
  <c r="F368" i="13" l="1"/>
  <c r="F372" i="13"/>
  <c r="F529" i="13"/>
  <c r="F568" i="13"/>
  <c r="F565" i="13"/>
  <c r="F566" i="13"/>
  <c r="F567" i="13"/>
  <c r="F560" i="13"/>
  <c r="F561" i="13"/>
  <c r="F562" i="13"/>
  <c r="F563" i="13"/>
  <c r="F564" i="13"/>
  <c r="F558" i="13"/>
  <c r="F559" i="13"/>
  <c r="N185" i="20"/>
  <c r="N119" i="20"/>
  <c r="N120" i="20"/>
  <c r="N121" i="20"/>
  <c r="N118" i="20"/>
  <c r="N107" i="20"/>
  <c r="N218" i="20" l="1"/>
  <c r="A72" i="14"/>
  <c r="A73" i="14" s="1"/>
  <c r="A74" i="14" s="1"/>
  <c r="A75" i="14" s="1"/>
  <c r="A76" i="14" s="1"/>
  <c r="A77" i="14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N216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01" i="20"/>
  <c r="N217" i="20"/>
  <c r="N219" i="20"/>
  <c r="N220" i="20"/>
  <c r="N221" i="20"/>
  <c r="N191" i="20"/>
  <c r="N190" i="20"/>
  <c r="N189" i="20"/>
  <c r="N174" i="20"/>
  <c r="N108" i="20"/>
  <c r="N109" i="20"/>
  <c r="N106" i="20"/>
  <c r="N97" i="20"/>
  <c r="N188" i="20"/>
  <c r="N186" i="20"/>
  <c r="N187" i="20"/>
  <c r="N162" i="20"/>
  <c r="N150" i="20"/>
  <c r="N154" i="20"/>
  <c r="N153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40" i="20"/>
  <c r="N141" i="20"/>
  <c r="N142" i="20"/>
  <c r="N143" i="20"/>
  <c r="N144" i="20"/>
  <c r="N145" i="20"/>
  <c r="N146" i="20"/>
  <c r="N147" i="20"/>
  <c r="N148" i="20"/>
  <c r="N149" i="20"/>
  <c r="N151" i="20"/>
  <c r="N152" i="20"/>
  <c r="N98" i="20"/>
  <c r="N99" i="20"/>
  <c r="N100" i="20"/>
  <c r="N101" i="20"/>
  <c r="N102" i="20"/>
  <c r="N103" i="20"/>
  <c r="N104" i="20"/>
  <c r="N105" i="20"/>
  <c r="N163" i="20"/>
  <c r="N164" i="20"/>
  <c r="N165" i="20"/>
  <c r="N166" i="20"/>
  <c r="N167" i="20"/>
  <c r="N168" i="20"/>
  <c r="N169" i="20"/>
  <c r="N170" i="20"/>
  <c r="N171" i="20"/>
  <c r="N172" i="20"/>
  <c r="N173" i="20"/>
  <c r="N175" i="20"/>
  <c r="J775" i="22"/>
  <c r="J772" i="22"/>
  <c r="J764" i="22"/>
  <c r="J687" i="22"/>
  <c r="J684" i="22"/>
  <c r="J685" i="22"/>
  <c r="J686" i="22"/>
  <c r="J688" i="22"/>
  <c r="J689" i="22"/>
  <c r="J690" i="22"/>
  <c r="J691" i="22"/>
  <c r="J692" i="22"/>
  <c r="J647" i="22"/>
  <c r="J607" i="22"/>
  <c r="J638" i="22"/>
  <c r="J606" i="22"/>
  <c r="J592" i="22"/>
  <c r="J591" i="22"/>
  <c r="J588" i="22"/>
  <c r="J589" i="22"/>
  <c r="J590" i="22"/>
  <c r="J593" i="22"/>
  <c r="J594" i="22"/>
  <c r="J595" i="22"/>
  <c r="J596" i="22"/>
  <c r="J597" i="22"/>
  <c r="J598" i="22"/>
  <c r="J600" i="22"/>
  <c r="J601" i="22"/>
  <c r="J602" i="22"/>
  <c r="J604" i="22"/>
  <c r="J605" i="22"/>
  <c r="J639" i="22"/>
  <c r="J640" i="22"/>
  <c r="J641" i="22"/>
  <c r="J642" i="22"/>
  <c r="J643" i="22"/>
  <c r="J644" i="22"/>
  <c r="J645" i="22"/>
  <c r="J646" i="22"/>
  <c r="J648" i="22"/>
  <c r="J649" i="22"/>
  <c r="J562" i="22"/>
  <c r="J566" i="22"/>
  <c r="J561" i="22"/>
  <c r="J563" i="22"/>
  <c r="J564" i="22"/>
  <c r="J565" i="22"/>
  <c r="J384" i="22"/>
  <c r="J387" i="22"/>
  <c r="J388" i="22"/>
  <c r="J381" i="22"/>
  <c r="J380" i="22"/>
  <c r="J375" i="22"/>
  <c r="J376" i="22"/>
  <c r="J377" i="22"/>
  <c r="J379" i="22"/>
  <c r="J382" i="22"/>
  <c r="J383" i="22"/>
  <c r="J385" i="22"/>
  <c r="J389" i="22"/>
  <c r="J378" i="22"/>
  <c r="J352" i="22"/>
  <c r="J353" i="22"/>
  <c r="J355" i="22"/>
  <c r="J356" i="22"/>
  <c r="J357" i="22"/>
  <c r="J358" i="22"/>
  <c r="J359" i="22"/>
  <c r="J360" i="22"/>
  <c r="J361" i="22"/>
  <c r="J234" i="22"/>
  <c r="J233" i="22"/>
  <c r="J232" i="22"/>
  <c r="J227" i="22"/>
  <c r="J228" i="22"/>
  <c r="J229" i="22"/>
  <c r="J230" i="22"/>
  <c r="J231" i="22"/>
  <c r="J142" i="22"/>
  <c r="J141" i="22"/>
  <c r="J153" i="22"/>
  <c r="J147" i="22"/>
  <c r="J156" i="22"/>
  <c r="J172" i="22"/>
  <c r="J171" i="22"/>
  <c r="J186" i="22"/>
  <c r="J190" i="22"/>
  <c r="J189" i="22"/>
  <c r="J194" i="22"/>
  <c r="J128" i="22"/>
  <c r="J129" i="22"/>
  <c r="J130" i="22"/>
  <c r="J131" i="22"/>
  <c r="J132" i="22"/>
  <c r="J133" i="22"/>
  <c r="J134" i="22"/>
  <c r="J135" i="22"/>
  <c r="J136" i="22"/>
  <c r="J137" i="22"/>
  <c r="J138" i="22"/>
  <c r="J139" i="22"/>
  <c r="J140" i="22"/>
  <c r="J143" i="22"/>
  <c r="J144" i="22"/>
  <c r="J145" i="22"/>
  <c r="J146" i="22"/>
  <c r="J154" i="22"/>
  <c r="J155" i="22"/>
  <c r="J157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8" i="22"/>
  <c r="J179" i="22"/>
  <c r="J180" i="22"/>
  <c r="J181" i="22"/>
  <c r="J182" i="22"/>
  <c r="J183" i="22"/>
  <c r="J184" i="22"/>
  <c r="J185" i="22"/>
  <c r="J187" i="22"/>
  <c r="J188" i="22"/>
  <c r="J191" i="22"/>
  <c r="J192" i="22"/>
  <c r="J193" i="22"/>
  <c r="J195" i="22"/>
  <c r="J318" i="22"/>
  <c r="J317" i="22"/>
  <c r="J307" i="22"/>
  <c r="J306" i="22"/>
  <c r="J296" i="22"/>
  <c r="J277" i="22"/>
  <c r="J278" i="22"/>
  <c r="J279" i="22"/>
  <c r="J280" i="22"/>
  <c r="J281" i="22"/>
  <c r="J282" i="22"/>
  <c r="J276" i="22"/>
  <c r="J251" i="22"/>
  <c r="J252" i="22"/>
  <c r="J253" i="22"/>
  <c r="J250" i="22"/>
  <c r="I1308" i="17"/>
  <c r="I1294" i="17"/>
  <c r="I1282" i="17"/>
  <c r="I1259" i="17"/>
  <c r="I1243" i="17"/>
  <c r="I1239" i="17"/>
  <c r="I1224" i="17"/>
  <c r="I1220" i="17"/>
  <c r="I1200" i="17"/>
  <c r="I1158" i="17"/>
  <c r="I1155" i="17"/>
  <c r="I1142" i="17"/>
  <c r="I1138" i="17"/>
  <c r="I1095" i="17"/>
  <c r="I1082" i="17"/>
  <c r="I1005" i="17"/>
  <c r="I1157" i="17"/>
  <c r="I1137" i="17"/>
  <c r="F442" i="13"/>
  <c r="F441" i="13"/>
  <c r="A441" i="13"/>
  <c r="F440" i="13"/>
  <c r="F435" i="13"/>
  <c r="A21" i="14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J390" i="22" l="1"/>
  <c r="J603" i="22"/>
  <c r="J354" i="22"/>
  <c r="J351" i="22"/>
  <c r="J386" i="22"/>
  <c r="J599" i="22"/>
  <c r="I914" i="17"/>
  <c r="I441" i="17"/>
  <c r="I868" i="17"/>
  <c r="I1056" i="17"/>
  <c r="I867" i="17"/>
  <c r="I989" i="17"/>
  <c r="I1279" i="17"/>
  <c r="I1182" i="17"/>
  <c r="I877" i="17"/>
  <c r="I1016" i="17"/>
  <c r="I1199" i="17"/>
  <c r="I561" i="17"/>
  <c r="I483" i="17"/>
  <c r="I857" i="17"/>
  <c r="I938" i="17"/>
  <c r="I957" i="17"/>
  <c r="I1078" i="17"/>
  <c r="I1292" i="17"/>
  <c r="I781" i="17"/>
  <c r="I1007" i="17"/>
  <c r="I206" i="17"/>
  <c r="I995" i="17"/>
  <c r="I465" i="17"/>
  <c r="I347" i="17"/>
  <c r="I269" i="17"/>
  <c r="I912" i="17"/>
  <c r="I1258" i="17"/>
  <c r="I329" i="17"/>
  <c r="I504" i="17"/>
  <c r="I310" i="17"/>
  <c r="I866" i="17"/>
  <c r="I559" i="17"/>
  <c r="I837" i="17"/>
  <c r="I960" i="17"/>
  <c r="I1117" i="17"/>
  <c r="I1307" i="17"/>
  <c r="I838" i="17"/>
  <c r="I404" i="17"/>
  <c r="I856" i="17"/>
  <c r="I688" i="17"/>
  <c r="I925" i="17"/>
  <c r="I731" i="17"/>
  <c r="I855" i="17"/>
  <c r="I1038" i="17"/>
  <c r="I799" i="17"/>
  <c r="I293" i="17"/>
  <c r="I812" i="17"/>
  <c r="I1057" i="17"/>
  <c r="I798" i="17"/>
  <c r="I1009" i="17"/>
  <c r="I847" i="17"/>
  <c r="I973" i="17"/>
  <c r="I848" i="17"/>
  <c r="I1186" i="17"/>
  <c r="E436" i="13"/>
  <c r="I869" i="17"/>
  <c r="E409" i="13"/>
  <c r="I828" i="17"/>
  <c r="E368" i="13"/>
  <c r="I761" i="17"/>
  <c r="E247" i="13"/>
  <c r="I644" i="17"/>
  <c r="E226" i="13"/>
  <c r="I602" i="17"/>
  <c r="E202" i="13"/>
  <c r="I560" i="17"/>
  <c r="E178" i="13"/>
  <c r="I521" i="17"/>
  <c r="E114" i="13"/>
  <c r="I405" i="17"/>
  <c r="E97" i="13"/>
  <c r="I374" i="17"/>
  <c r="E79" i="13"/>
  <c r="I345" i="17"/>
  <c r="E36" i="13"/>
  <c r="I270" i="17"/>
  <c r="E26" i="13"/>
  <c r="I232" i="17"/>
  <c r="I1156" i="17"/>
  <c r="J736" i="22"/>
  <c r="J738" i="22"/>
  <c r="J941" i="22"/>
  <c r="J940" i="22"/>
  <c r="J931" i="22"/>
  <c r="J930" i="22"/>
  <c r="J929" i="22"/>
  <c r="J928" i="22"/>
  <c r="J816" i="22"/>
  <c r="J815" i="22"/>
  <c r="J814" i="22"/>
  <c r="J789" i="22"/>
  <c r="J788" i="22"/>
  <c r="J787" i="22"/>
  <c r="J774" i="22"/>
  <c r="J773" i="22"/>
  <c r="J750" i="22"/>
  <c r="J749" i="22"/>
  <c r="J748" i="22"/>
  <c r="J513" i="22"/>
  <c r="J512" i="22"/>
  <c r="J511" i="22"/>
  <c r="J510" i="22"/>
  <c r="J509" i="22"/>
  <c r="J508" i="22"/>
  <c r="J502" i="22"/>
  <c r="J501" i="22"/>
  <c r="J500" i="22"/>
  <c r="J499" i="22"/>
  <c r="J497" i="22"/>
  <c r="J496" i="22"/>
  <c r="J495" i="22"/>
  <c r="J493" i="22"/>
  <c r="J492" i="22"/>
  <c r="J491" i="22"/>
  <c r="J490" i="22"/>
  <c r="J489" i="22"/>
  <c r="J488" i="22"/>
  <c r="J487" i="22"/>
  <c r="J486" i="22"/>
  <c r="J485" i="22"/>
  <c r="J484" i="22"/>
  <c r="J483" i="22"/>
  <c r="J467" i="22"/>
  <c r="J466" i="22"/>
  <c r="J465" i="22"/>
  <c r="J464" i="22"/>
  <c r="J463" i="22"/>
  <c r="J462" i="22"/>
  <c r="J461" i="22"/>
  <c r="J460" i="22"/>
  <c r="J459" i="22"/>
  <c r="J458" i="22"/>
  <c r="J457" i="22"/>
  <c r="J451" i="22"/>
  <c r="J450" i="22"/>
  <c r="J449" i="22"/>
  <c r="J448" i="22"/>
  <c r="J447" i="22"/>
  <c r="J446" i="22"/>
  <c r="J444" i="22"/>
  <c r="J442" i="22"/>
  <c r="J441" i="22"/>
  <c r="J440" i="22"/>
  <c r="J439" i="22"/>
  <c r="J438" i="22"/>
  <c r="J437" i="22"/>
  <c r="J436" i="22"/>
  <c r="J435" i="22"/>
  <c r="J434" i="22"/>
  <c r="J433" i="22"/>
  <c r="J419" i="22"/>
  <c r="J418" i="22"/>
  <c r="J417" i="22"/>
  <c r="J416" i="22"/>
  <c r="J415" i="22"/>
  <c r="J414" i="22"/>
  <c r="J445" i="22" l="1"/>
  <c r="J498" i="22"/>
  <c r="J432" i="22"/>
  <c r="J443" i="22"/>
  <c r="J747" i="22"/>
  <c r="J494" i="22"/>
  <c r="J737" i="22"/>
  <c r="J939" i="22"/>
  <c r="I327" i="17"/>
  <c r="I363" i="17"/>
  <c r="I858" i="17"/>
  <c r="I222" i="17"/>
  <c r="I387" i="17"/>
  <c r="I624" i="17"/>
  <c r="I539" i="17"/>
  <c r="I815" i="17"/>
  <c r="I580" i="17"/>
  <c r="I249" i="17"/>
  <c r="I503" i="17"/>
  <c r="I752" i="17"/>
  <c r="I1170" i="17"/>
  <c r="I1154" i="17"/>
  <c r="E6" i="13"/>
  <c r="E5" i="13"/>
  <c r="I1046" i="17" l="1"/>
  <c r="I346" i="17"/>
  <c r="I1075" i="17"/>
  <c r="I1043" i="17"/>
  <c r="I811" i="17"/>
  <c r="I1180" i="17"/>
  <c r="I1184" i="17"/>
  <c r="I205" i="17"/>
  <c r="I970" i="17"/>
  <c r="I1006" i="17"/>
  <c r="I826" i="17"/>
  <c r="I1045" i="17"/>
  <c r="I344" i="17"/>
  <c r="I1018" i="17"/>
  <c r="I186" i="17"/>
  <c r="I922" i="17"/>
  <c r="I690" i="17"/>
  <c r="I1041" i="17"/>
  <c r="I824" i="17"/>
  <c r="I1015" i="17"/>
  <c r="I836" i="17"/>
  <c r="I1044" i="17"/>
  <c r="I643" i="17"/>
  <c r="I1221" i="17"/>
  <c r="I911" i="17"/>
  <c r="I1093" i="17"/>
  <c r="I1240" i="17"/>
  <c r="I1042" i="17"/>
  <c r="I375" i="17"/>
  <c r="I778" i="17"/>
  <c r="I1114" i="17"/>
  <c r="I795" i="17"/>
  <c r="I1135" i="17"/>
  <c r="I1036" i="17"/>
  <c r="I1039" i="17"/>
  <c r="E556" i="13"/>
  <c r="I1037" i="17"/>
  <c r="E456" i="13"/>
  <c r="I926" i="17"/>
  <c r="E424" i="13"/>
  <c r="I849" i="17"/>
  <c r="E269" i="13"/>
  <c r="I686" i="17"/>
  <c r="E200" i="13"/>
  <c r="I558" i="17"/>
  <c r="E176" i="13"/>
  <c r="I519" i="17"/>
  <c r="E156" i="13"/>
  <c r="I482" i="17"/>
  <c r="E134" i="13"/>
  <c r="I440" i="17"/>
  <c r="E112" i="13"/>
  <c r="I403" i="17"/>
  <c r="E96" i="13"/>
  <c r="I373" i="17"/>
  <c r="E54" i="13"/>
  <c r="I308" i="17"/>
  <c r="E55" i="13"/>
  <c r="I309" i="17"/>
  <c r="E34" i="13"/>
  <c r="I268" i="17"/>
  <c r="E7" i="13"/>
  <c r="E4" i="13" s="1"/>
  <c r="I207" i="17"/>
  <c r="E554" i="13"/>
  <c r="E553" i="13"/>
  <c r="E555" i="13"/>
  <c r="E15" i="13"/>
  <c r="F519" i="13"/>
  <c r="F520" i="13"/>
  <c r="F685" i="13"/>
  <c r="F689" i="13"/>
  <c r="F688" i="13"/>
  <c r="F693" i="13"/>
  <c r="F694" i="13"/>
  <c r="F695" i="13"/>
  <c r="F698" i="13"/>
  <c r="F699" i="13"/>
  <c r="F703" i="13"/>
  <c r="F705" i="13"/>
  <c r="F704" i="13"/>
  <c r="F708" i="13"/>
  <c r="F709" i="13"/>
  <c r="F710" i="13"/>
  <c r="F716" i="13"/>
  <c r="F717" i="13"/>
  <c r="F718" i="13"/>
  <c r="F722" i="13"/>
  <c r="F723" i="13"/>
  <c r="F726" i="13"/>
  <c r="F730" i="13"/>
  <c r="F731" i="13"/>
  <c r="F734" i="13"/>
  <c r="F735" i="13"/>
  <c r="F743" i="13"/>
  <c r="F742" i="13"/>
  <c r="F741" i="13"/>
  <c r="I247" i="17" l="1"/>
  <c r="I291" i="17"/>
  <c r="I422" i="17"/>
  <c r="I663" i="17"/>
  <c r="I385" i="17"/>
  <c r="I204" i="17"/>
  <c r="I839" i="17"/>
  <c r="I537" i="17"/>
  <c r="I290" i="17"/>
  <c r="I462" i="17"/>
  <c r="I187" i="17"/>
  <c r="I362" i="17"/>
  <c r="I501" i="17"/>
  <c r="I915" i="17"/>
  <c r="I1033" i="17"/>
  <c r="I1035" i="17"/>
  <c r="I1032" i="17"/>
  <c r="I1034" i="17"/>
  <c r="I185" i="17"/>
  <c r="F740" i="13"/>
  <c r="F739" i="13"/>
  <c r="F732" i="13"/>
  <c r="F733" i="13"/>
  <c r="F724" i="13"/>
  <c r="F725" i="13"/>
  <c r="F715" i="13"/>
  <c r="F714" i="13"/>
  <c r="F706" i="13"/>
  <c r="F707" i="13"/>
  <c r="F696" i="13"/>
  <c r="F697" i="13"/>
  <c r="F684" i="13"/>
  <c r="F686" i="13"/>
  <c r="F687" i="13"/>
  <c r="F683" i="13"/>
  <c r="F672" i="13"/>
  <c r="F673" i="13"/>
  <c r="F674" i="13"/>
  <c r="F675" i="13"/>
  <c r="F676" i="13"/>
  <c r="F678" i="13"/>
  <c r="F679" i="13"/>
  <c r="F680" i="13"/>
  <c r="F671" i="13"/>
  <c r="F650" i="13"/>
  <c r="F652" i="13"/>
  <c r="F653" i="13"/>
  <c r="F655" i="13"/>
  <c r="F656" i="13"/>
  <c r="F658" i="13"/>
  <c r="F659" i="13"/>
  <c r="F661" i="13"/>
  <c r="F662" i="13"/>
  <c r="F664" i="13"/>
  <c r="F665" i="13"/>
  <c r="F667" i="13"/>
  <c r="F668" i="13"/>
  <c r="F649" i="13"/>
  <c r="F638" i="13"/>
  <c r="F640" i="13"/>
  <c r="F641" i="13"/>
  <c r="F642" i="13"/>
  <c r="F643" i="13"/>
  <c r="F644" i="13"/>
  <c r="F645" i="13"/>
  <c r="F637" i="13"/>
  <c r="F628" i="13"/>
  <c r="F629" i="13"/>
  <c r="F630" i="13"/>
  <c r="F631" i="13"/>
  <c r="F632" i="13"/>
  <c r="F633" i="13"/>
  <c r="F627" i="13"/>
  <c r="F613" i="13"/>
  <c r="F614" i="13"/>
  <c r="F615" i="13"/>
  <c r="F616" i="13"/>
  <c r="F617" i="13"/>
  <c r="F618" i="13"/>
  <c r="F619" i="13"/>
  <c r="F612" i="13"/>
  <c r="F586" i="13"/>
  <c r="F587" i="13"/>
  <c r="F588" i="13"/>
  <c r="F589" i="13"/>
  <c r="F590" i="13"/>
  <c r="F591" i="13"/>
  <c r="F592" i="13"/>
  <c r="F593" i="13"/>
  <c r="F594" i="13"/>
  <c r="F595" i="13"/>
  <c r="F596" i="13"/>
  <c r="F585" i="13"/>
  <c r="F575" i="13"/>
  <c r="F576" i="13"/>
  <c r="F577" i="13"/>
  <c r="F578" i="13"/>
  <c r="F579" i="13"/>
  <c r="F580" i="13"/>
  <c r="F574" i="13"/>
  <c r="F557" i="13"/>
  <c r="F542" i="13"/>
  <c r="F543" i="13"/>
  <c r="F544" i="13"/>
  <c r="F545" i="13"/>
  <c r="F546" i="13"/>
  <c r="F547" i="13"/>
  <c r="F548" i="13"/>
  <c r="F541" i="13"/>
  <c r="F528" i="13"/>
  <c r="F530" i="13"/>
  <c r="F527" i="13"/>
  <c r="F513" i="13"/>
  <c r="F501" i="13"/>
  <c r="F502" i="13"/>
  <c r="F503" i="13"/>
  <c r="F504" i="13"/>
  <c r="F505" i="13"/>
  <c r="F506" i="13"/>
  <c r="F500" i="13"/>
  <c r="F485" i="13"/>
  <c r="F486" i="13"/>
  <c r="F487" i="13"/>
  <c r="F488" i="13"/>
  <c r="F489" i="13"/>
  <c r="F490" i="13"/>
  <c r="F474" i="13"/>
  <c r="F475" i="13"/>
  <c r="F476" i="13"/>
  <c r="F477" i="13"/>
  <c r="F478" i="13"/>
  <c r="F479" i="13"/>
  <c r="F463" i="13"/>
  <c r="F464" i="13"/>
  <c r="F465" i="13"/>
  <c r="F466" i="13"/>
  <c r="F467" i="13"/>
  <c r="F462" i="13"/>
  <c r="F453" i="13"/>
  <c r="F454" i="13"/>
  <c r="F455" i="13"/>
  <c r="F456" i="13"/>
  <c r="F457" i="13"/>
  <c r="F452" i="13"/>
  <c r="F447" i="13"/>
  <c r="F434" i="13"/>
  <c r="F433" i="13"/>
  <c r="F428" i="13"/>
  <c r="F429" i="13"/>
  <c r="F430" i="13"/>
  <c r="F427" i="13"/>
  <c r="F422" i="13"/>
  <c r="F423" i="13"/>
  <c r="F424" i="13"/>
  <c r="F421" i="13"/>
  <c r="F414" i="13"/>
  <c r="F415" i="13"/>
  <c r="F416" i="13"/>
  <c r="F417" i="13"/>
  <c r="F413" i="13"/>
  <c r="F406" i="13"/>
  <c r="F407" i="13"/>
  <c r="F408" i="13"/>
  <c r="F409" i="13"/>
  <c r="F405" i="13"/>
  <c r="F394" i="13"/>
  <c r="F395" i="13"/>
  <c r="F396" i="13"/>
  <c r="F397" i="13"/>
  <c r="F398" i="13"/>
  <c r="F393" i="13"/>
  <c r="F382" i="13"/>
  <c r="F383" i="13"/>
  <c r="F384" i="13"/>
  <c r="F385" i="13"/>
  <c r="F386" i="13"/>
  <c r="F381" i="13"/>
  <c r="F296" i="13"/>
  <c r="F289" i="13"/>
  <c r="F290" i="13"/>
  <c r="F291" i="13"/>
  <c r="F292" i="13"/>
  <c r="F293" i="13"/>
  <c r="F294" i="13"/>
  <c r="F295" i="13"/>
  <c r="F288" i="13"/>
  <c r="F270" i="13"/>
  <c r="F271" i="13"/>
  <c r="F272" i="13"/>
  <c r="F273" i="13"/>
  <c r="F274" i="13"/>
  <c r="F275" i="13"/>
  <c r="F276" i="13"/>
  <c r="F277" i="13"/>
  <c r="F269" i="13"/>
  <c r="F359" i="13"/>
  <c r="F360" i="13"/>
  <c r="F361" i="13"/>
  <c r="F349" i="13"/>
  <c r="F350" i="13"/>
  <c r="F351" i="13"/>
  <c r="F258" i="13"/>
  <c r="F259" i="13"/>
  <c r="F260" i="13"/>
  <c r="F246" i="13"/>
  <c r="F247" i="13"/>
  <c r="F248" i="13"/>
  <c r="F236" i="13"/>
  <c r="F237" i="13"/>
  <c r="F238" i="13"/>
  <c r="F226" i="13"/>
  <c r="F227" i="13"/>
  <c r="F228" i="13"/>
  <c r="F213" i="13"/>
  <c r="F214" i="13"/>
  <c r="F215" i="13"/>
  <c r="F212" i="13"/>
  <c r="F201" i="13"/>
  <c r="F202" i="13"/>
  <c r="F203" i="13"/>
  <c r="F200" i="13"/>
  <c r="F189" i="13"/>
  <c r="F190" i="13"/>
  <c r="F191" i="13"/>
  <c r="F192" i="13"/>
  <c r="F193" i="13"/>
  <c r="F188" i="13"/>
  <c r="F177" i="13"/>
  <c r="F178" i="13"/>
  <c r="F179" i="13"/>
  <c r="F180" i="13"/>
  <c r="F181" i="13"/>
  <c r="F176" i="13"/>
  <c r="F170" i="13"/>
  <c r="F167" i="13"/>
  <c r="F168" i="13"/>
  <c r="F169" i="13"/>
  <c r="F166" i="13"/>
  <c r="F156" i="13"/>
  <c r="F157" i="13"/>
  <c r="F158" i="13"/>
  <c r="F159" i="13"/>
  <c r="F155" i="13"/>
  <c r="F146" i="13"/>
  <c r="F147" i="13"/>
  <c r="F145" i="13"/>
  <c r="F134" i="13"/>
  <c r="F135" i="13"/>
  <c r="F136" i="13"/>
  <c r="F127" i="13"/>
  <c r="F124" i="13"/>
  <c r="F125" i="13"/>
  <c r="F126" i="13"/>
  <c r="F123" i="13"/>
  <c r="F113" i="13"/>
  <c r="F114" i="13"/>
  <c r="F115" i="13"/>
  <c r="F116" i="13"/>
  <c r="F112" i="13"/>
  <c r="F105" i="13"/>
  <c r="F106" i="13"/>
  <c r="F104" i="13"/>
  <c r="F96" i="13"/>
  <c r="F98" i="13"/>
  <c r="F97" i="13"/>
  <c r="I184" i="17" l="1"/>
  <c r="F88" i="13"/>
  <c r="F89" i="13"/>
  <c r="F87" i="13"/>
  <c r="F79" i="13"/>
  <c r="F80" i="13"/>
  <c r="F78" i="13"/>
  <c r="F67" i="13"/>
  <c r="F68" i="13"/>
  <c r="F69" i="13"/>
  <c r="F70" i="13"/>
  <c r="F71" i="13"/>
  <c r="F66" i="13"/>
  <c r="F55" i="13"/>
  <c r="F56" i="13"/>
  <c r="F57" i="13"/>
  <c r="F58" i="13"/>
  <c r="F59" i="13"/>
  <c r="F54" i="13"/>
  <c r="F48" i="13"/>
  <c r="F45" i="13"/>
  <c r="F46" i="13"/>
  <c r="F47" i="13"/>
  <c r="F44" i="13"/>
  <c r="F35" i="13"/>
  <c r="F36" i="13"/>
  <c r="F37" i="13"/>
  <c r="F38" i="13"/>
  <c r="F34" i="13"/>
  <c r="F30" i="13"/>
  <c r="F26" i="13"/>
  <c r="F16" i="13"/>
  <c r="F17" i="13"/>
  <c r="F18" i="13"/>
  <c r="F5" i="13"/>
  <c r="F6" i="13"/>
  <c r="F7" i="13"/>
  <c r="I1172" i="17"/>
  <c r="I1173" i="17"/>
  <c r="I1161" i="17"/>
  <c r="I1163" i="17"/>
  <c r="I1164" i="17"/>
  <c r="I1166" i="17"/>
  <c r="I1167" i="17"/>
  <c r="I1136" i="17"/>
  <c r="I1139" i="17"/>
  <c r="I1140" i="17"/>
  <c r="I1141" i="17"/>
  <c r="I1143" i="17"/>
  <c r="E385" i="13"/>
  <c r="E271" i="13"/>
  <c r="E273" i="13"/>
  <c r="E246" i="13"/>
  <c r="E203" i="13"/>
  <c r="I1059" i="17" l="1"/>
  <c r="I1119" i="17"/>
  <c r="I1203" i="17"/>
  <c r="I959" i="17"/>
  <c r="I1077" i="17"/>
  <c r="I1202" i="17"/>
  <c r="I540" i="17"/>
  <c r="I814" i="17"/>
  <c r="I958" i="17"/>
  <c r="I972" i="17"/>
  <c r="I1017" i="17"/>
  <c r="I1085" i="17"/>
  <c r="I1100" i="17"/>
  <c r="I1116" i="17"/>
  <c r="I1188" i="17"/>
  <c r="I1204" i="17"/>
  <c r="I1244" i="17"/>
  <c r="I1280" i="17"/>
  <c r="I1310" i="17"/>
  <c r="I1019" i="17"/>
  <c r="I1118" i="17"/>
  <c r="I1245" i="17"/>
  <c r="I813" i="17"/>
  <c r="I1020" i="17"/>
  <c r="I1115" i="17"/>
  <c r="I1201" i="17"/>
  <c r="I1185" i="17"/>
  <c r="I1225" i="17"/>
  <c r="I1241" i="17"/>
  <c r="I1295" i="17"/>
  <c r="I827" i="17"/>
  <c r="I1021" i="17"/>
  <c r="I1076" i="17"/>
  <c r="I1238" i="17"/>
  <c r="I974" i="17"/>
  <c r="I1281" i="17"/>
  <c r="I1084" i="17"/>
  <c r="I1099" i="17"/>
  <c r="I1187" i="17"/>
  <c r="I1290" i="17"/>
  <c r="I603" i="17"/>
  <c r="I797" i="17"/>
  <c r="I846" i="17"/>
  <c r="I976" i="17"/>
  <c r="I1083" i="17"/>
  <c r="I1120" i="17"/>
  <c r="I796" i="17"/>
  <c r="I940" i="17"/>
  <c r="I1081" i="17"/>
  <c r="I1183" i="17"/>
  <c r="I1257" i="17"/>
  <c r="I939" i="17"/>
  <c r="I1181" i="17"/>
  <c r="I1261" i="17"/>
  <c r="I1293" i="17"/>
  <c r="I975" i="17"/>
  <c r="I1278" i="17"/>
  <c r="I825" i="17"/>
  <c r="I1086" i="17"/>
  <c r="I1189" i="17"/>
  <c r="I1309" i="17"/>
  <c r="I782" i="17"/>
  <c r="I971" i="17"/>
  <c r="I1242" i="17"/>
  <c r="I1062" i="17"/>
  <c r="I1097" i="17"/>
  <c r="I645" i="17"/>
  <c r="I667" i="17"/>
  <c r="I924" i="17"/>
  <c r="I996" i="17"/>
  <c r="I1060" i="17"/>
  <c r="I1096" i="17"/>
  <c r="I1223" i="17"/>
  <c r="I1291" i="17"/>
  <c r="I623" i="17"/>
  <c r="I779" i="17"/>
  <c r="I923" i="17"/>
  <c r="I1008" i="17"/>
  <c r="I1058" i="17"/>
  <c r="I1080" i="17"/>
  <c r="I1094" i="17"/>
  <c r="I1222" i="17"/>
  <c r="I665" i="17"/>
  <c r="I780" i="17"/>
  <c r="I913" i="17"/>
  <c r="I941" i="17"/>
  <c r="I1022" i="17"/>
  <c r="I1061" i="17"/>
  <c r="I1079" i="17"/>
  <c r="I1098" i="17"/>
  <c r="I1198" i="17"/>
  <c r="I1219" i="17"/>
  <c r="I1260" i="17"/>
  <c r="I1306" i="17"/>
  <c r="I1159" i="17"/>
  <c r="I1160" i="17"/>
  <c r="I1168" i="17"/>
  <c r="I1169" i="17"/>
  <c r="E479" i="13"/>
  <c r="I962" i="17"/>
  <c r="E478" i="13"/>
  <c r="I961" i="17"/>
  <c r="E457" i="13"/>
  <c r="I927" i="17"/>
  <c r="E386" i="13"/>
  <c r="I800" i="17"/>
  <c r="E350" i="13"/>
  <c r="I732" i="17"/>
  <c r="E351" i="13"/>
  <c r="I733" i="17"/>
  <c r="E272" i="13"/>
  <c r="I689" i="17"/>
  <c r="E270" i="13"/>
  <c r="I687" i="17"/>
  <c r="E277" i="13"/>
  <c r="I695" i="17"/>
  <c r="E275" i="13"/>
  <c r="I693" i="17"/>
  <c r="I692" i="17"/>
  <c r="E276" i="13"/>
  <c r="I694" i="17"/>
  <c r="E274" i="13"/>
  <c r="I691" i="17"/>
  <c r="E228" i="13"/>
  <c r="I604" i="17"/>
  <c r="I1165" i="17"/>
  <c r="I1171" i="17"/>
  <c r="E248" i="13"/>
  <c r="E245" i="13" s="1"/>
  <c r="I1162" i="17"/>
  <c r="E738" i="13"/>
  <c r="E692" i="13"/>
  <c r="E702" i="13"/>
  <c r="E729" i="13"/>
  <c r="E721" i="13"/>
  <c r="E713" i="13"/>
  <c r="E483" i="13"/>
  <c r="E484" i="13"/>
  <c r="E349" i="13"/>
  <c r="E358" i="13"/>
  <c r="E227" i="13"/>
  <c r="E235" i="13"/>
  <c r="E201" i="13"/>
  <c r="E157" i="13"/>
  <c r="E135" i="13"/>
  <c r="E113" i="13"/>
  <c r="E98" i="13"/>
  <c r="E78" i="13"/>
  <c r="E56" i="13"/>
  <c r="E35" i="13"/>
  <c r="E472" i="13" l="1"/>
  <c r="I936" i="17" s="1"/>
  <c r="I538" i="17"/>
  <c r="I664" i="17"/>
  <c r="I248" i="17"/>
  <c r="I294" i="17"/>
  <c r="I389" i="17"/>
  <c r="I506" i="17"/>
  <c r="I642" i="17"/>
  <c r="I313" i="17"/>
  <c r="I671" i="17"/>
  <c r="I271" i="17"/>
  <c r="I311" i="17"/>
  <c r="I386" i="17"/>
  <c r="I464" i="17"/>
  <c r="I601" i="17"/>
  <c r="I1277" i="17"/>
  <c r="I407" i="17"/>
  <c r="I1256" i="17"/>
  <c r="I295" i="17"/>
  <c r="I388" i="17"/>
  <c r="I524" i="17"/>
  <c r="I1289" i="17"/>
  <c r="I669" i="17"/>
  <c r="I666" i="17"/>
  <c r="I916" i="17"/>
  <c r="I326" i="17"/>
  <c r="I942" i="17"/>
  <c r="I484" i="17"/>
  <c r="I783" i="17"/>
  <c r="I250" i="17"/>
  <c r="I328" i="17"/>
  <c r="I730" i="17"/>
  <c r="I1237" i="17"/>
  <c r="I670" i="17"/>
  <c r="I485" i="17"/>
  <c r="I956" i="17"/>
  <c r="I272" i="17"/>
  <c r="I523" i="17"/>
  <c r="I251" i="17"/>
  <c r="I423" i="17"/>
  <c r="I1218" i="17"/>
  <c r="I582" i="17"/>
  <c r="I712" i="17"/>
  <c r="I312" i="17"/>
  <c r="I364" i="17"/>
  <c r="I522" i="17"/>
  <c r="I1305" i="17"/>
  <c r="I292" i="17"/>
  <c r="I406" i="17"/>
  <c r="I463" i="17"/>
  <c r="I505" i="17"/>
  <c r="I955" i="17"/>
  <c r="I668" i="17"/>
  <c r="I672" i="17"/>
  <c r="I711" i="17"/>
  <c r="I943" i="17"/>
  <c r="E473" i="13"/>
  <c r="E348" i="13"/>
  <c r="I710" i="17"/>
  <c r="I625" i="17"/>
  <c r="E225" i="13"/>
  <c r="I581" i="17"/>
  <c r="E177" i="13"/>
  <c r="I520" i="17"/>
  <c r="E155" i="13"/>
  <c r="I481" i="17"/>
  <c r="E136" i="13"/>
  <c r="I442" i="17"/>
  <c r="A594" i="13"/>
  <c r="A595" i="13" s="1"/>
  <c r="A596" i="13" s="1"/>
  <c r="A703" i="13"/>
  <c r="A704" i="13" s="1"/>
  <c r="A705" i="13" s="1"/>
  <c r="A706" i="13" s="1"/>
  <c r="A707" i="13" s="1"/>
  <c r="A708" i="13" s="1"/>
  <c r="A709" i="13" s="1"/>
  <c r="A710" i="13" s="1"/>
  <c r="A693" i="13"/>
  <c r="A694" i="13" s="1"/>
  <c r="A695" i="13" s="1"/>
  <c r="A696" i="13" s="1"/>
  <c r="A697" i="13" s="1"/>
  <c r="A698" i="13" s="1"/>
  <c r="A699" i="13" s="1"/>
  <c r="A684" i="13"/>
  <c r="A685" i="13" s="1"/>
  <c r="A686" i="13" s="1"/>
  <c r="A687" i="13" s="1"/>
  <c r="A688" i="13" s="1"/>
  <c r="A689" i="13" s="1"/>
  <c r="A672" i="13"/>
  <c r="A673" i="13" s="1"/>
  <c r="A674" i="13" s="1"/>
  <c r="A675" i="13" s="1"/>
  <c r="A676" i="13" s="1"/>
  <c r="A678" i="13" s="1"/>
  <c r="A679" i="13" s="1"/>
  <c r="A680" i="13" s="1"/>
  <c r="A650" i="13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38" i="13"/>
  <c r="A640" i="13" s="1"/>
  <c r="A641" i="13" s="1"/>
  <c r="A642" i="13" s="1"/>
  <c r="A643" i="13" s="1"/>
  <c r="A644" i="13" s="1"/>
  <c r="A645" i="13" s="1"/>
  <c r="A628" i="13"/>
  <c r="A629" i="13" s="1"/>
  <c r="A630" i="13" s="1"/>
  <c r="A631" i="13" s="1"/>
  <c r="A632" i="13" s="1"/>
  <c r="A633" i="13" s="1"/>
  <c r="A634" i="13" s="1"/>
  <c r="A575" i="13"/>
  <c r="A576" i="13" s="1"/>
  <c r="A577" i="13" s="1"/>
  <c r="A578" i="13" s="1"/>
  <c r="A579" i="13" s="1"/>
  <c r="A580" i="13" s="1"/>
  <c r="A581" i="13" s="1"/>
  <c r="A582" i="13" s="1"/>
  <c r="A542" i="13"/>
  <c r="A543" i="13" s="1"/>
  <c r="A544" i="13" s="1"/>
  <c r="A545" i="13" s="1"/>
  <c r="A546" i="13" s="1"/>
  <c r="A547" i="13" s="1"/>
  <c r="A548" i="13" s="1"/>
  <c r="A549" i="13" s="1"/>
  <c r="A550" i="13" s="1"/>
  <c r="A501" i="13"/>
  <c r="A502" i="13" s="1"/>
  <c r="A503" i="13" s="1"/>
  <c r="A504" i="13" s="1"/>
  <c r="A505" i="13" s="1"/>
  <c r="A506" i="13" s="1"/>
  <c r="A507" i="13" s="1"/>
  <c r="A508" i="13" s="1"/>
  <c r="A509" i="13" s="1"/>
  <c r="A484" i="13"/>
  <c r="A485" i="13" s="1"/>
  <c r="A486" i="13" s="1"/>
  <c r="A487" i="13" s="1"/>
  <c r="A488" i="13" s="1"/>
  <c r="A489" i="13" s="1"/>
  <c r="A490" i="13" s="1"/>
  <c r="A491" i="13" s="1"/>
  <c r="A473" i="13"/>
  <c r="A474" i="13" s="1"/>
  <c r="A475" i="13" s="1"/>
  <c r="A476" i="13" s="1"/>
  <c r="A477" i="13" s="1"/>
  <c r="A478" i="13" s="1"/>
  <c r="A479" i="13" s="1"/>
  <c r="A480" i="13" s="1"/>
  <c r="A422" i="13"/>
  <c r="A423" i="13" s="1"/>
  <c r="A424" i="13" s="1"/>
  <c r="A414" i="13"/>
  <c r="A415" i="13" s="1"/>
  <c r="A416" i="13" s="1"/>
  <c r="A417" i="13" s="1"/>
  <c r="A418" i="13" s="1"/>
  <c r="A406" i="13"/>
  <c r="A407" i="13" s="1"/>
  <c r="A408" i="13" s="1"/>
  <c r="A409" i="13" s="1"/>
  <c r="A410" i="13" s="1"/>
  <c r="A394" i="13"/>
  <c r="A395" i="13" s="1"/>
  <c r="A396" i="13" s="1"/>
  <c r="A397" i="13" s="1"/>
  <c r="A398" i="13" s="1"/>
  <c r="A399" i="13" s="1"/>
  <c r="A400" i="13" s="1"/>
  <c r="A401" i="13" s="1"/>
  <c r="A402" i="13" s="1"/>
  <c r="A382" i="13"/>
  <c r="A383" i="13" s="1"/>
  <c r="A384" i="13" s="1"/>
  <c r="A385" i="13" s="1"/>
  <c r="A386" i="13" s="1"/>
  <c r="A387" i="13" s="1"/>
  <c r="A388" i="13" s="1"/>
  <c r="A389" i="13" s="1"/>
  <c r="A390" i="13" s="1"/>
  <c r="A289" i="13"/>
  <c r="A290" i="13" s="1"/>
  <c r="A291" i="13" s="1"/>
  <c r="A292" i="13" s="1"/>
  <c r="A293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270" i="13"/>
  <c r="A271" i="13" s="1"/>
  <c r="A272" i="13" s="1"/>
  <c r="A273" i="13" s="1"/>
  <c r="A274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359" i="13"/>
  <c r="A360" i="13" s="1"/>
  <c r="A361" i="13" s="1"/>
  <c r="A362" i="13" s="1"/>
  <c r="A363" i="13" s="1"/>
  <c r="A364" i="13" s="1"/>
  <c r="A365" i="13" s="1"/>
  <c r="A349" i="13"/>
  <c r="A350" i="13" s="1"/>
  <c r="A351" i="13" s="1"/>
  <c r="A352" i="13" s="1"/>
  <c r="A353" i="13" s="1"/>
  <c r="A354" i="13" s="1"/>
  <c r="A355" i="13" s="1"/>
  <c r="A258" i="13"/>
  <c r="A259" i="13" s="1"/>
  <c r="A260" i="13" s="1"/>
  <c r="A263" i="13" s="1"/>
  <c r="A264" i="13" s="1"/>
  <c r="A265" i="13" s="1"/>
  <c r="A266" i="13" s="1"/>
  <c r="A246" i="13"/>
  <c r="A247" i="13" s="1"/>
  <c r="A248" i="13" s="1"/>
  <c r="A251" i="13" s="1"/>
  <c r="A252" i="13" s="1"/>
  <c r="A253" i="13" s="1"/>
  <c r="A254" i="13" s="1"/>
  <c r="A236" i="13"/>
  <c r="A237" i="13" s="1"/>
  <c r="A238" i="13" s="1"/>
  <c r="A239" i="13" s="1"/>
  <c r="A240" i="13" s="1"/>
  <c r="A241" i="13" s="1"/>
  <c r="A242" i="13" s="1"/>
  <c r="A226" i="13"/>
  <c r="A227" i="13" s="1"/>
  <c r="A228" i="13" s="1"/>
  <c r="A229" i="13" s="1"/>
  <c r="A230" i="13" s="1"/>
  <c r="A231" i="13" s="1"/>
  <c r="A232" i="13" s="1"/>
  <c r="A213" i="13"/>
  <c r="A214" i="13" s="1"/>
  <c r="A215" i="13" s="1"/>
  <c r="A218" i="13" s="1"/>
  <c r="A219" i="13" s="1"/>
  <c r="A220" i="13" s="1"/>
  <c r="A221" i="13" s="1"/>
  <c r="A201" i="13"/>
  <c r="A202" i="13" s="1"/>
  <c r="A203" i="13" s="1"/>
  <c r="A206" i="13" s="1"/>
  <c r="A207" i="13" s="1"/>
  <c r="A208" i="13" s="1"/>
  <c r="A209" i="13" s="1"/>
  <c r="A189" i="13"/>
  <c r="A190" i="13" s="1"/>
  <c r="A191" i="13" s="1"/>
  <c r="A192" i="13" s="1"/>
  <c r="A193" i="13" s="1"/>
  <c r="A194" i="13" s="1"/>
  <c r="A195" i="13" s="1"/>
  <c r="A196" i="13" s="1"/>
  <c r="A197" i="13" s="1"/>
  <c r="A177" i="13"/>
  <c r="A178" i="13" s="1"/>
  <c r="A179" i="13" s="1"/>
  <c r="A180" i="13" s="1"/>
  <c r="A181" i="13" s="1"/>
  <c r="A182" i="13" s="1"/>
  <c r="A183" i="13" s="1"/>
  <c r="A184" i="13" s="1"/>
  <c r="A185" i="13" s="1"/>
  <c r="A135" i="13"/>
  <c r="A136" i="13" s="1"/>
  <c r="A138" i="13" s="1"/>
  <c r="A139" i="13" s="1"/>
  <c r="A140" i="13" s="1"/>
  <c r="A141" i="13" s="1"/>
  <c r="A124" i="13"/>
  <c r="A125" i="13" s="1"/>
  <c r="A126" i="13" s="1"/>
  <c r="A127" i="13" s="1"/>
  <c r="A128" i="13" s="1"/>
  <c r="A129" i="13" s="1"/>
  <c r="A130" i="13" s="1"/>
  <c r="A131" i="13" s="1"/>
  <c r="A113" i="13"/>
  <c r="A114" i="13" s="1"/>
  <c r="A115" i="13" s="1"/>
  <c r="A116" i="13" s="1"/>
  <c r="A117" i="13" s="1"/>
  <c r="A118" i="13" s="1"/>
  <c r="A119" i="13" s="1"/>
  <c r="A120" i="13" s="1"/>
  <c r="A67" i="13"/>
  <c r="A68" i="13" s="1"/>
  <c r="A69" i="13" s="1"/>
  <c r="A70" i="13" s="1"/>
  <c r="A71" i="13" s="1"/>
  <c r="A72" i="13" s="1"/>
  <c r="A73" i="13" s="1"/>
  <c r="A74" i="13" s="1"/>
  <c r="A75" i="13" s="1"/>
  <c r="A55" i="13"/>
  <c r="A56" i="13" s="1"/>
  <c r="A57" i="13" s="1"/>
  <c r="A58" i="13" s="1"/>
  <c r="A59" i="13" s="1"/>
  <c r="A60" i="13" s="1"/>
  <c r="A61" i="13" s="1"/>
  <c r="A62" i="13" s="1"/>
  <c r="A63" i="13" s="1"/>
  <c r="A45" i="13"/>
  <c r="A46" i="13" s="1"/>
  <c r="A47" i="13" s="1"/>
  <c r="A48" i="13" s="1"/>
  <c r="A49" i="13" s="1"/>
  <c r="A50" i="13" s="1"/>
  <c r="A51" i="13" s="1"/>
  <c r="A35" i="13"/>
  <c r="A36" i="13" s="1"/>
  <c r="A37" i="13" s="1"/>
  <c r="A38" i="13" s="1"/>
  <c r="A39" i="13" s="1"/>
  <c r="A40" i="13" s="1"/>
  <c r="A41" i="13" s="1"/>
  <c r="A16" i="13"/>
  <c r="A17" i="13" s="1"/>
  <c r="A18" i="13" s="1"/>
  <c r="A19" i="13" s="1"/>
  <c r="A5" i="13"/>
  <c r="A6" i="13" s="1"/>
  <c r="A7" i="13" s="1"/>
  <c r="I502" i="17" l="1"/>
  <c r="I579" i="17"/>
  <c r="I424" i="17"/>
  <c r="I622" i="17"/>
  <c r="I461" i="17"/>
  <c r="I709" i="17"/>
  <c r="I937" i="17"/>
  <c r="A8" i="13"/>
  <c r="A9" i="13" s="1"/>
  <c r="A10" i="13" s="1"/>
  <c r="A11" i="13" s="1"/>
  <c r="A12" i="13" s="1"/>
  <c r="A20" i="13"/>
  <c r="A21" i="13" s="1"/>
  <c r="A22" i="13" s="1"/>
  <c r="A23" i="13" s="1"/>
  <c r="E239" i="13" l="1"/>
  <c r="E240" i="13"/>
  <c r="E241" i="13"/>
  <c r="E242" i="13"/>
  <c r="E219" i="13"/>
  <c r="E220" i="13"/>
  <c r="E221" i="13"/>
  <c r="E218" i="13"/>
  <c r="I562" i="17" l="1"/>
  <c r="I564" i="17"/>
  <c r="I563" i="17"/>
  <c r="I608" i="17"/>
  <c r="I606" i="17"/>
  <c r="I565" i="17"/>
  <c r="I607" i="17"/>
  <c r="I605" i="17"/>
  <c r="A167" i="13"/>
  <c r="A168" i="13" s="1"/>
  <c r="A169" i="13" s="1"/>
  <c r="A170" i="13" s="1"/>
  <c r="A171" i="13" s="1"/>
  <c r="A172" i="13" s="1"/>
  <c r="A173" i="13" s="1"/>
  <c r="A156" i="13"/>
  <c r="A157" i="13" s="1"/>
  <c r="A158" i="13" s="1"/>
  <c r="A159" i="13" s="1"/>
  <c r="A160" i="13" s="1"/>
  <c r="A161" i="13" s="1"/>
  <c r="A162" i="13" s="1"/>
  <c r="A147" i="13"/>
  <c r="A98" i="13"/>
  <c r="A99" i="13" s="1"/>
  <c r="A100" i="13" s="1"/>
  <c r="A101" i="13" s="1"/>
  <c r="A149" i="13" l="1"/>
  <c r="A150" i="13" s="1"/>
  <c r="A151" i="13" s="1"/>
  <c r="A152" i="13" s="1"/>
  <c r="A105" i="13"/>
  <c r="A106" i="13" s="1"/>
  <c r="A107" i="13" s="1"/>
  <c r="A108" i="13" s="1"/>
  <c r="A109" i="13" s="1"/>
  <c r="A89" i="13"/>
  <c r="A91" i="13" s="1"/>
  <c r="A92" i="13" s="1"/>
  <c r="A93" i="13" s="1"/>
  <c r="A79" i="13"/>
  <c r="A80" i="13" s="1"/>
  <c r="A82" i="13" s="1"/>
  <c r="A83" i="13" s="1"/>
  <c r="A84" i="13" s="1"/>
  <c r="A434" i="13" l="1"/>
  <c r="A528" i="13"/>
</calcChain>
</file>

<file path=xl/sharedStrings.xml><?xml version="1.0" encoding="utf-8"?>
<sst xmlns="http://schemas.openxmlformats.org/spreadsheetml/2006/main" count="5127" uniqueCount="1643">
  <si>
    <t>ردیف</t>
  </si>
  <si>
    <t>کد کالا</t>
  </si>
  <si>
    <t>شرح</t>
  </si>
  <si>
    <t>1403/12/20</t>
  </si>
  <si>
    <t>2160010300</t>
  </si>
  <si>
    <t xml:space="preserve">  پاف ساپلی</t>
  </si>
  <si>
    <t>1</t>
  </si>
  <si>
    <t>2</t>
  </si>
  <si>
    <t>3</t>
  </si>
  <si>
    <t>4</t>
  </si>
  <si>
    <t>5</t>
  </si>
  <si>
    <t>7</t>
  </si>
  <si>
    <t>6</t>
  </si>
  <si>
    <t>مبل میپل (با پارچه)</t>
  </si>
  <si>
    <t>2110170000</t>
  </si>
  <si>
    <t>2110170300</t>
  </si>
  <si>
    <t>2110170200</t>
  </si>
  <si>
    <t>2110170100</t>
  </si>
  <si>
    <t>مبل میپل (بدون پارچه)</t>
  </si>
  <si>
    <t>مبل سالیکس (با پارچه)</t>
  </si>
  <si>
    <t>2110240000</t>
  </si>
  <si>
    <t>2110240300</t>
  </si>
  <si>
    <t>کاناپه سه نفره سالیکس ( 2عدد تکیه گاه + 2 عدد کوسن )</t>
  </si>
  <si>
    <t>2110240200</t>
  </si>
  <si>
    <t>کاناپه دو نفره سالیکس ( 2عدد تکیه گاه + 2 عدد کوسن )</t>
  </si>
  <si>
    <t>2110240100</t>
  </si>
  <si>
    <t>مبل تک نفره سالیکس ( 2عدد تکیه گاه  )</t>
  </si>
  <si>
    <t>مبل سالیکس (بدون پارچه)</t>
  </si>
  <si>
    <t>2120010100</t>
  </si>
  <si>
    <t xml:space="preserve">  میز چهار نفره آکومه</t>
  </si>
  <si>
    <t>کاتیوو (با پارچه)</t>
  </si>
  <si>
    <t>2120040300</t>
  </si>
  <si>
    <t>میز هشت نفره کاتیوو</t>
  </si>
  <si>
    <t>2120040200</t>
  </si>
  <si>
    <t xml:space="preserve">  میز شش نفره کاتیوو</t>
  </si>
  <si>
    <t>2120040100</t>
  </si>
  <si>
    <t xml:space="preserve">  میز چهار نفره کاتیوو</t>
  </si>
  <si>
    <t>2120040600</t>
  </si>
  <si>
    <t xml:space="preserve">  صندلی غذا خوری کاتیوو</t>
  </si>
  <si>
    <t>کاتیوو (بدون پارچه)</t>
  </si>
  <si>
    <t>2120090000</t>
  </si>
  <si>
    <t>غذاخوری هشت نفره میپل ( یک عدد میز هشت نفره + دو عدد صندلی دسته دار + شش عدد صندلی بدون دسته)</t>
  </si>
  <si>
    <t>غذاخوری شش نفره میپل ( یک عدد میز شش نفره + دو عدد صندلی دسته دار + چهار عدد صندلی بدون دسته)</t>
  </si>
  <si>
    <t>2120090400</t>
  </si>
  <si>
    <t>میز غذاخوری ده نفره میپل</t>
  </si>
  <si>
    <t>2120090300</t>
  </si>
  <si>
    <t>میز غذاخوری هشت نفره میپل</t>
  </si>
  <si>
    <t>2120090200</t>
  </si>
  <si>
    <t>میز غذاخوری شش نفره میپل</t>
  </si>
  <si>
    <t>2120090100</t>
  </si>
  <si>
    <t>میز غذاخوری چهار نفره میپل</t>
  </si>
  <si>
    <t>2120090700</t>
  </si>
  <si>
    <t>صندلی غذاخوری دسته دار میپل</t>
  </si>
  <si>
    <t>2120090600</t>
  </si>
  <si>
    <t>صندلی غذاخوری بدون دسته میپل</t>
  </si>
  <si>
    <t>2130042100</t>
  </si>
  <si>
    <t xml:space="preserve">  تخت خواب / 90 فولیا سرتخت چوبی</t>
  </si>
  <si>
    <t>2130042102</t>
  </si>
  <si>
    <t xml:space="preserve">  تخت خواب / 90 فولیا سرتخت پارچه</t>
  </si>
  <si>
    <t>2130022500</t>
  </si>
  <si>
    <t xml:space="preserve">  تخت خواب / 180 ساپلی</t>
  </si>
  <si>
    <t>2130022300</t>
  </si>
  <si>
    <t xml:space="preserve">  تخت خواب / 140 ساپلی</t>
  </si>
  <si>
    <t>2130022200</t>
  </si>
  <si>
    <t xml:space="preserve">  تخت خواب / 120 ساپلی</t>
  </si>
  <si>
    <t>2130022100</t>
  </si>
  <si>
    <t xml:space="preserve">  تخت خواب / 90 ساپلی</t>
  </si>
  <si>
    <t>2130020300</t>
  </si>
  <si>
    <t xml:space="preserve">  دراور میز آرایش کنسولی ساپلی</t>
  </si>
  <si>
    <t>2130020500</t>
  </si>
  <si>
    <t xml:space="preserve">  دراور پنج کشو ساپلی</t>
  </si>
  <si>
    <t>2130032300</t>
  </si>
  <si>
    <t xml:space="preserve">  تخت خواب / 140 ساپن</t>
  </si>
  <si>
    <t>2130052300</t>
  </si>
  <si>
    <t xml:space="preserve">  تخت خواب / 140 سلتیس</t>
  </si>
  <si>
    <t>2130052200</t>
  </si>
  <si>
    <t xml:space="preserve">  تخت خواب / 120 سلتیس</t>
  </si>
  <si>
    <t>2130050500</t>
  </si>
  <si>
    <t xml:space="preserve">  دراور پنج کشو سلتیس</t>
  </si>
  <si>
    <t>2130072500</t>
  </si>
  <si>
    <t xml:space="preserve">  تخت خواب / 180 مرانتی</t>
  </si>
  <si>
    <t>2130072700</t>
  </si>
  <si>
    <t xml:space="preserve">  فریم قاب پرده مرانتی / 180</t>
  </si>
  <si>
    <t>2140010200</t>
  </si>
  <si>
    <t xml:space="preserve">  میز TV  آکومه/180 </t>
  </si>
  <si>
    <t>بوفه کف و قاب آینه</t>
  </si>
  <si>
    <t>2150010200</t>
  </si>
  <si>
    <t xml:space="preserve"> بوفه کف ساپلی سه درب با قاب</t>
  </si>
  <si>
    <t>2150010400</t>
  </si>
  <si>
    <t xml:space="preserve"> قاب آینه بوفه کف ساپلی سه درب</t>
  </si>
  <si>
    <t>2150010100</t>
  </si>
  <si>
    <t xml:space="preserve"> بوفه کف ساپلی دو درب با قاب</t>
  </si>
  <si>
    <t>2150010300</t>
  </si>
  <si>
    <t xml:space="preserve"> قاب آینه بوفه کف ساپلی دو درب</t>
  </si>
  <si>
    <t xml:space="preserve"> بوفه کف ساپلی سه درب بدون قاب آینه</t>
  </si>
  <si>
    <t xml:space="preserve"> بوفه کف ساپلی دو درب بدون قاب آینه</t>
  </si>
  <si>
    <t>2150010600</t>
  </si>
  <si>
    <t>استند ساپلی 140</t>
  </si>
  <si>
    <t>2160010100</t>
  </si>
  <si>
    <t>کتابخانه ساپلی</t>
  </si>
  <si>
    <t>2160010200</t>
  </si>
  <si>
    <t>میز تحریر ساپلی</t>
  </si>
  <si>
    <t>2170060204</t>
  </si>
  <si>
    <t>میز کنار مبلی ایفل</t>
  </si>
  <si>
    <t>2170060600</t>
  </si>
  <si>
    <t>میز بازی کایسا</t>
  </si>
  <si>
    <t>2110040500</t>
  </si>
  <si>
    <t>میز جلو مبلی مستطیل سیپو</t>
  </si>
  <si>
    <t>2110040400</t>
  </si>
  <si>
    <t>میز جلو مبلی مربع سیپو</t>
  </si>
  <si>
    <t>بوفه ویترین فولیا سه درب</t>
  </si>
  <si>
    <t>ویترین لوان</t>
  </si>
  <si>
    <t>ویترین اودیره تمام نما</t>
  </si>
  <si>
    <t>ویترین اودیره صندوق دار</t>
  </si>
  <si>
    <t>استند سامبا 100</t>
  </si>
  <si>
    <t>بوفه کف فولیا</t>
  </si>
  <si>
    <t>قاب آینه بوفه کف فولیا</t>
  </si>
  <si>
    <t>میز تلویزیون</t>
  </si>
  <si>
    <t xml:space="preserve">  میز TV  واوونا / 150</t>
  </si>
  <si>
    <t>سرویس خواب</t>
  </si>
  <si>
    <t>2130092400</t>
  </si>
  <si>
    <t xml:space="preserve">  تخت خواب دو نفره جیوا / 160   </t>
  </si>
  <si>
    <t>2130090100</t>
  </si>
  <si>
    <t>2130090400</t>
  </si>
  <si>
    <t xml:space="preserve">  پاتختی جیوا</t>
  </si>
  <si>
    <t>2130090600</t>
  </si>
  <si>
    <t xml:space="preserve">  قاب آینه میز آرایش جیوا</t>
  </si>
  <si>
    <t>2130082500</t>
  </si>
  <si>
    <t xml:space="preserve">  تخت خواب دو نفره واوونا /180</t>
  </si>
  <si>
    <t>2130082400</t>
  </si>
  <si>
    <t xml:space="preserve">  تخت خواب دو نفره واوونا /160</t>
  </si>
  <si>
    <t>2130080100</t>
  </si>
  <si>
    <t xml:space="preserve">دراور میز آرایش اصلی واوونا </t>
  </si>
  <si>
    <t>2130080500</t>
  </si>
  <si>
    <t xml:space="preserve">  دراورپنج کشو واوونا</t>
  </si>
  <si>
    <t>2130080400</t>
  </si>
  <si>
    <t xml:space="preserve">  پاتختی واوونا</t>
  </si>
  <si>
    <t>2130080600</t>
  </si>
  <si>
    <t xml:space="preserve">  قاب آیینه میز آرایش واوونا </t>
  </si>
  <si>
    <t>2130080800</t>
  </si>
  <si>
    <t xml:space="preserve">  صندلی  میز آرایش واوونا</t>
  </si>
  <si>
    <t>2130062400</t>
  </si>
  <si>
    <t xml:space="preserve">  تخت خواب / 160 ایلکس</t>
  </si>
  <si>
    <t>2130060100</t>
  </si>
  <si>
    <t xml:space="preserve">  دراور میز آرایش اصلی ایلکس</t>
  </si>
  <si>
    <t>2130060600</t>
  </si>
  <si>
    <t xml:space="preserve">  قاب آینه اصلی ایلکس</t>
  </si>
  <si>
    <t>2130060800</t>
  </si>
  <si>
    <t xml:space="preserve">  صندلی میز آرایش  ایلکس</t>
  </si>
  <si>
    <t>2130060400</t>
  </si>
  <si>
    <t xml:space="preserve">  پاتختی ایلکس</t>
  </si>
  <si>
    <t>2130060500</t>
  </si>
  <si>
    <t xml:space="preserve">  دراور پنج کشو ایلکس</t>
  </si>
  <si>
    <t>مبل ماپا (با پارچه)</t>
  </si>
  <si>
    <t>2110080300</t>
  </si>
  <si>
    <t>2110080200</t>
  </si>
  <si>
    <t>2110080100</t>
  </si>
  <si>
    <t>مبل ماپا (بدون پارچه)</t>
  </si>
  <si>
    <t>مبل ساپن (با پارچه)</t>
  </si>
  <si>
    <t>2110030300</t>
  </si>
  <si>
    <t>2110030100</t>
  </si>
  <si>
    <t>2110030500</t>
  </si>
  <si>
    <t xml:space="preserve">  میز جلو مبلی ساپن</t>
  </si>
  <si>
    <t>2110030600</t>
  </si>
  <si>
    <t xml:space="preserve">  میز کنار مبلی ساپن</t>
  </si>
  <si>
    <t>مبل ساپن (بدون پارچه)</t>
  </si>
  <si>
    <t>مبل سیپو (با پارچه)</t>
  </si>
  <si>
    <t>2110040300</t>
  </si>
  <si>
    <t>2110040200</t>
  </si>
  <si>
    <t>2110040100</t>
  </si>
  <si>
    <t>2110040600</t>
  </si>
  <si>
    <t>میز کنار مبلی سیپو</t>
  </si>
  <si>
    <t>مبل سیپو (بدون پارچه)</t>
  </si>
  <si>
    <t>2110110300</t>
  </si>
  <si>
    <t>2110110200</t>
  </si>
  <si>
    <t>2110110100</t>
  </si>
  <si>
    <t>2110110500</t>
  </si>
  <si>
    <t>میز جلو مبلی مستطیل پاندو</t>
  </si>
  <si>
    <t>2110110400</t>
  </si>
  <si>
    <t xml:space="preserve">  میز جلو مبلی مربع پاندو</t>
  </si>
  <si>
    <t>2110110600</t>
  </si>
  <si>
    <t xml:space="preserve">   میز کنار مبلی پاندو</t>
  </si>
  <si>
    <t>مبل پاندو(بدون پارچه)</t>
  </si>
  <si>
    <t>مبل کاتیوو (با پارچه)</t>
  </si>
  <si>
    <t>2110050300</t>
  </si>
  <si>
    <t>2110050200</t>
  </si>
  <si>
    <t>مبل کاتیوو (بدون پارچه)</t>
  </si>
  <si>
    <t>مبل داگلاس (با پارچه)</t>
  </si>
  <si>
    <t>2110140200</t>
  </si>
  <si>
    <t>2110140100</t>
  </si>
  <si>
    <t>مبل داگلاس (بدون پارچه)</t>
  </si>
  <si>
    <t>مبل چستر (با پارچه)</t>
  </si>
  <si>
    <t>2110060200</t>
  </si>
  <si>
    <t>مبل چستر (بدون پارچه)</t>
  </si>
  <si>
    <t>21200503000000</t>
  </si>
  <si>
    <t xml:space="preserve">  میز هشت نفره ماپا</t>
  </si>
  <si>
    <t>21200502000000</t>
  </si>
  <si>
    <t xml:space="preserve">  میز شش نفره ماپا</t>
  </si>
  <si>
    <t>21200501000000</t>
  </si>
  <si>
    <t xml:space="preserve">  میز چهار نفره ماپا</t>
  </si>
  <si>
    <t>ساپن (با پارچه)</t>
  </si>
  <si>
    <t>2120030400</t>
  </si>
  <si>
    <t xml:space="preserve">  میزده نفره ساپن</t>
  </si>
  <si>
    <t>2120030300</t>
  </si>
  <si>
    <t xml:space="preserve">  میز هشت نفره ساپن</t>
  </si>
  <si>
    <t>2120030200</t>
  </si>
  <si>
    <t xml:space="preserve">  میز شش نفره  ساپن</t>
  </si>
  <si>
    <t>2120030100</t>
  </si>
  <si>
    <t xml:space="preserve">  میز چهار نفره  ساپن</t>
  </si>
  <si>
    <t>2120030600</t>
  </si>
  <si>
    <t xml:space="preserve">  صندلی غذا خوری ساپن</t>
  </si>
  <si>
    <t>ساپن (بدون پارچه)</t>
  </si>
  <si>
    <t xml:space="preserve">شلف باکس / 210 دو طرفه </t>
  </si>
  <si>
    <t>قیمت(ریال)</t>
  </si>
  <si>
    <t>2170070101</t>
  </si>
  <si>
    <t xml:space="preserve">2170070101 </t>
  </si>
  <si>
    <t>باکس اصلی / 210</t>
  </si>
  <si>
    <t>2170079901</t>
  </si>
  <si>
    <t>باکس داخلی / 75</t>
  </si>
  <si>
    <t>2170079903</t>
  </si>
  <si>
    <t>باکس داخلی / 55</t>
  </si>
  <si>
    <t>2170070201</t>
  </si>
  <si>
    <t>شلف اصلی طبقه بالا / 118</t>
  </si>
  <si>
    <t xml:space="preserve">2170070202 </t>
  </si>
  <si>
    <t>شلف اصلی طبقه پایین / 118</t>
  </si>
  <si>
    <t xml:space="preserve">2170070301 </t>
  </si>
  <si>
    <t>شلف طبقه / 90</t>
  </si>
  <si>
    <t xml:space="preserve">2170070302 </t>
  </si>
  <si>
    <t>شلف طبقه / 60</t>
  </si>
  <si>
    <t xml:space="preserve">شلف باکس / 210 یک طرفه </t>
  </si>
  <si>
    <t xml:space="preserve">2170070401 </t>
  </si>
  <si>
    <t>ستون / 210</t>
  </si>
  <si>
    <t>شلف استند / 210</t>
  </si>
  <si>
    <t>2170070301</t>
  </si>
  <si>
    <t xml:space="preserve">شلف باکس / 120 دو طرفه </t>
  </si>
  <si>
    <t>2170070102</t>
  </si>
  <si>
    <t xml:space="preserve">2170070102 </t>
  </si>
  <si>
    <t>باکس اصلی / 120</t>
  </si>
  <si>
    <t>2170079902</t>
  </si>
  <si>
    <t>باکس داخلی / 62</t>
  </si>
  <si>
    <t>شلف طبقه 90</t>
  </si>
  <si>
    <t xml:space="preserve">شلف باکس / 120 یک طرفه </t>
  </si>
  <si>
    <t>2170070202</t>
  </si>
  <si>
    <t>شلف اصلی طبقه بالا 118</t>
  </si>
  <si>
    <t>2170070402</t>
  </si>
  <si>
    <t>ستون / 120</t>
  </si>
  <si>
    <t>شلف استند / 120</t>
  </si>
  <si>
    <t>2170070302</t>
  </si>
  <si>
    <t xml:space="preserve">  مبل یک نفره پاندو ( بدون کوسن )</t>
  </si>
  <si>
    <t>2150080600</t>
  </si>
  <si>
    <t>2140060100</t>
  </si>
  <si>
    <t>قیمت (ریال)</t>
  </si>
  <si>
    <t xml:space="preserve">  مبل هفت نفره میپل ( یکعدد سه  نفره + یکعدد دو نفره + دو عدد یک نفره )</t>
  </si>
  <si>
    <t xml:space="preserve">  کاناپه سه نفره میپل  ( 2عدد تکیه گاه + 2عدد کوسن)</t>
  </si>
  <si>
    <t xml:space="preserve"> کاناپه دو نفره میپل ( 2عدد تکیه گاه + 2عدد کوسن )</t>
  </si>
  <si>
    <t xml:space="preserve"> مبل یک نفره میپل ( 1عدد تکیه گاه )</t>
  </si>
  <si>
    <t xml:space="preserve">  کاناپه دو نفره چستر ( 2 عدد کوسن )</t>
  </si>
  <si>
    <t>2110030200</t>
  </si>
  <si>
    <t>مبلمان (با پارچه)</t>
  </si>
  <si>
    <t xml:space="preserve">  متراژ پارچه پاف</t>
  </si>
  <si>
    <t>2/5متر</t>
  </si>
  <si>
    <t>-</t>
  </si>
  <si>
    <t>11/5متر</t>
  </si>
  <si>
    <t>9/5متر</t>
  </si>
  <si>
    <t>3/8متر</t>
  </si>
  <si>
    <t xml:space="preserve">  متراژ پارچه سه نفره ( فریم 6/5 متر + تشک 3 متر + کوسن 2 متر)</t>
  </si>
  <si>
    <t xml:space="preserve">  متراژ پارچه دو نفره  ( فریم  5/5 متر + تشک 2 متر + کوسن 2متر )</t>
  </si>
  <si>
    <t xml:space="preserve">  متراژ پارچه یک نفره( فریم 2/5 متر + کف 8/. متر + کوسن 5/. متر )</t>
  </si>
  <si>
    <t xml:space="preserve">متراژ پارچه هفت نفره  ( فریم 22 متر + تشک 8/5 متر + کوسن 1/5 متر )  </t>
  </si>
  <si>
    <t>32متر</t>
  </si>
  <si>
    <t xml:space="preserve">متراژ پارچه سه نفره  ( فریم 6 متر + تشک 3/25 متر + کوسن 75/.متر )  </t>
  </si>
  <si>
    <t>10متر</t>
  </si>
  <si>
    <t xml:space="preserve">متراژ پارچه دو نفره  ( فریم 5/5 متر + تشک 2/75 متر + کوسن 75/.متر )  </t>
  </si>
  <si>
    <t>9متر</t>
  </si>
  <si>
    <t xml:space="preserve">متراژ پارچه یک نفره  ( فریم 5 متر + تشک 2 متر )  </t>
  </si>
  <si>
    <t>7متر</t>
  </si>
  <si>
    <t>15متر</t>
  </si>
  <si>
    <t xml:space="preserve">  متراژ پارچه یک نفره  ( فریم و کف 4 متر + کوسن 1 متر ) </t>
  </si>
  <si>
    <t>5متر</t>
  </si>
  <si>
    <t>2110060300</t>
  </si>
  <si>
    <t xml:space="preserve">   کاناپه سه نفره چستر ( 2عدد کوسن )</t>
  </si>
  <si>
    <t>2110060700</t>
  </si>
  <si>
    <t>مبل یک نفره چستر پشت کوتاه (بدون کوسن)</t>
  </si>
  <si>
    <t xml:space="preserve">  متراژ پارچه سه نفره  (فریم 10 متر + تشک 4 متر + کوسن 1 متر )</t>
  </si>
  <si>
    <t xml:space="preserve">  متراژ پارچه دو نفره  ( فریم 7 متر + تشک 3 متر + کوسن 1 متر )</t>
  </si>
  <si>
    <t xml:space="preserve">  متراژ پارچه یک نفره  ( فریم 6/5 متر + تشک 1/5 متر   )</t>
  </si>
  <si>
    <t>11متر</t>
  </si>
  <si>
    <t>8/5متر</t>
  </si>
  <si>
    <t>8متر</t>
  </si>
  <si>
    <t xml:space="preserve">  متراژ پارچه هفت نفره ( فریم 25 + تشک 6/5 + کوسن 3/5 متر )</t>
  </si>
  <si>
    <t>35متر</t>
  </si>
  <si>
    <t xml:space="preserve">  متراژ پارچه سه نفره   ( فریم 9 + تشک 3 + کوسن 2 متر )</t>
  </si>
  <si>
    <t>14متر</t>
  </si>
  <si>
    <t xml:space="preserve">  متراژ پارچه دو نفره    ( فریم 7 + تشک 2 + کوسن 2 متر )</t>
  </si>
  <si>
    <t xml:space="preserve">  متراژ پارچه یک نفره   ( فریم 4/4 + تشک 1/4 + کوسن 0/7 متر )</t>
  </si>
  <si>
    <t>6/5متر</t>
  </si>
  <si>
    <t>مبل مورا (با پارچه)</t>
  </si>
  <si>
    <t>21100903000000</t>
  </si>
  <si>
    <t xml:space="preserve">   کاناپه سه نفره مورا ( 5 عدد کوسن )</t>
  </si>
  <si>
    <t>21100902000000</t>
  </si>
  <si>
    <t xml:space="preserve">  کاناپه دو نفره مورا ( 4 عدد کوسن ) </t>
  </si>
  <si>
    <t>21100901000000</t>
  </si>
  <si>
    <t xml:space="preserve">  مبل یک نفره مورا ( 1عدد کوسن )</t>
  </si>
  <si>
    <t>مبل مورا (بدون پارچه)</t>
  </si>
  <si>
    <t xml:space="preserve">متراژ پارچه هفت نفره  ( فریم 26 متر + تشک 6متر + کوسن 4/5 متر )  </t>
  </si>
  <si>
    <t xml:space="preserve">  متراژ پارچه سه نفره   ( فریم 8/5 متر + تشک 2/5 متر + کوسن 2 متر )</t>
  </si>
  <si>
    <t xml:space="preserve">  متراژ پارچه دو نفره   ( فریم 7 متر + تشک 2 متر + کوسن 2 متر )</t>
  </si>
  <si>
    <t xml:space="preserve">  متراژ پارچه یک نفره  (فریم 5/5 متر + تشک 1/5متر + 55/. متر )</t>
  </si>
  <si>
    <t>36/5متر</t>
  </si>
  <si>
    <t>13متر</t>
  </si>
  <si>
    <t>7/5متر</t>
  </si>
  <si>
    <t>مبل نوئل (با پارچه)</t>
  </si>
  <si>
    <t>211010030000</t>
  </si>
  <si>
    <t xml:space="preserve">کاناپه سه نفره نوئل </t>
  </si>
  <si>
    <t>211010020000</t>
  </si>
  <si>
    <t xml:space="preserve">کاناپه دو نفره نوئل </t>
  </si>
  <si>
    <t>211010010000</t>
  </si>
  <si>
    <t xml:space="preserve">مبل یک نفره نوئل </t>
  </si>
  <si>
    <t>21101005000000</t>
  </si>
  <si>
    <t>میز جلو مبلی نوئل</t>
  </si>
  <si>
    <t>21101006000000</t>
  </si>
  <si>
    <t>میز کنار مبلی نوئل</t>
  </si>
  <si>
    <t>_</t>
  </si>
  <si>
    <t>متراژ پارچه سه نفره ( فریم 7متر تشک 2.5 متر کوسن 2 متر)</t>
  </si>
  <si>
    <t>11.5متر</t>
  </si>
  <si>
    <t>متراژ پارچه دو نفره ( فریم 5.5متر تشک 2 متر کوسن 1 متر)</t>
  </si>
  <si>
    <t>8.5متر</t>
  </si>
  <si>
    <t>متراژ پارچه یک نفره ( فریم 2.5متر تشک 1 متر کوسن 1 متر)</t>
  </si>
  <si>
    <t>4.5متر</t>
  </si>
  <si>
    <t>مبل نوئل (بدون پارچه)</t>
  </si>
  <si>
    <t xml:space="preserve">متراژ پارچه هفت نفره  ( فریم 24 متر + تشک 9 متر + کوسن 2 متر )  </t>
  </si>
  <si>
    <t xml:space="preserve">  متراژ پارچه سه نفره   ( فریم 9 متر + تشک 3 متر + کوسن 1 متر )</t>
  </si>
  <si>
    <t xml:space="preserve">  متراژ پارچه دو نفره   ( فریم 7متر + تشک 3 متر + کوسن 1 متر )</t>
  </si>
  <si>
    <t xml:space="preserve">  متراژ پارچه یک نفره  (فریم 5 متر + تشک 2متر)</t>
  </si>
  <si>
    <t>مبل پیناس (با پارچه)</t>
  </si>
  <si>
    <t>21101203000000</t>
  </si>
  <si>
    <t>21101202000000</t>
  </si>
  <si>
    <t>21101201000000</t>
  </si>
  <si>
    <t>12متر</t>
  </si>
  <si>
    <t>مبل پیناس (بدون پارچه)</t>
  </si>
  <si>
    <t xml:space="preserve">  متراژ پارچه یک نفره (مدرن و کلاسیک)(فریم 4/8 متر + تشک 1/5 متر + کوسن 1 متر )</t>
  </si>
  <si>
    <t>2110140300</t>
  </si>
  <si>
    <t>2110140000</t>
  </si>
  <si>
    <t xml:space="preserve">  متراژ پارچه مبل هفت نفره (فریم14متر+کف10/5متر+کوسن3/5متر)</t>
  </si>
  <si>
    <t xml:space="preserve">  متراژ پارچه سه نفره (فریم4/5متر+کف4متر+کوسن2/5متر)</t>
  </si>
  <si>
    <t xml:space="preserve">  متراژ پارچه دو نفره (فریم4متر+کف3/5متر+کوسن1متر)</t>
  </si>
  <si>
    <t>8/5</t>
  </si>
  <si>
    <t xml:space="preserve">  متراژ پارچه یکعدد یک نفره (فریم3متر+کف1/8متر)</t>
  </si>
  <si>
    <t>4/8</t>
  </si>
  <si>
    <t xml:space="preserve">  متراژ پارچه مبل هفت نفره(فریم بیرون 20متر، پشت + تشک + فریم داخل +تکیه گاه + کوسن 27متر)</t>
  </si>
  <si>
    <t>47متر</t>
  </si>
  <si>
    <t xml:space="preserve">  متراژ پارچه سه نفره (فریم بیرون 6 متر، پشت + تشک + فریم داخل+تکیه گاه و کوسن 10/5 متر)</t>
  </si>
  <si>
    <t>16/5متر</t>
  </si>
  <si>
    <t xml:space="preserve">  متراژ پارچه دو نفره (فریم بیرون 5 متر، پشت + تشک + فریم داخل+تکیه گاه و کوسن 8/5 متر)</t>
  </si>
  <si>
    <t>13/5متر</t>
  </si>
  <si>
    <t xml:space="preserve">  متراژ پارچه یکعدد یک نفره (فریم بیرون 4/5 متر، پشت + تشک + فریم داخل + تکیه گاه 4 متر)</t>
  </si>
  <si>
    <t xml:space="preserve">  متراژ پارچه مبل هفت نفره(فریم و تشک 24/5متر، تکیه گاه ها 5/5 متر و کوسن ها 2 متر)</t>
  </si>
  <si>
    <t xml:space="preserve">  متراژ پارچه سه نفره (فریم و تشک 9متر، تکیه گاه ها 2متر و کوسن 1 متر)</t>
  </si>
  <si>
    <t xml:space="preserve">  متراژ پارچه دو نفره (فریم و تشک 6/5متر، تکیه گاه ها 1/5متر و کوسن 1 متر)</t>
  </si>
  <si>
    <t xml:space="preserve">  متراژ پارچه تک نفره (فریم و تشک 4/5 متر و تکیه گاه ها 1متر)</t>
  </si>
  <si>
    <t>5/5متر</t>
  </si>
  <si>
    <t xml:space="preserve">غذاخوری </t>
  </si>
  <si>
    <t>21200306000000</t>
  </si>
  <si>
    <t xml:space="preserve">  متراژ پارچه یکعدد صندلی ساپن</t>
  </si>
  <si>
    <t>1/80متر</t>
  </si>
  <si>
    <t xml:space="preserve">  متراژ پارچه یکعدد صندلی غذاخوری میپل ( پشت بیرون 1/5 متر + فریم داخل و کف 1/5 متر )</t>
  </si>
  <si>
    <t>3متر</t>
  </si>
  <si>
    <t xml:space="preserve">  متراژ پارچه سرتخت ساپلی/160_180</t>
  </si>
  <si>
    <t>3/5متر</t>
  </si>
  <si>
    <t xml:space="preserve">  متراژ پارچه سرتخت ساپلی/120_140</t>
  </si>
  <si>
    <t>لاوست پایه کوتاه ساپلی</t>
  </si>
  <si>
    <t xml:space="preserve">  متراژ پارچه سرتخت ساپلی/90</t>
  </si>
  <si>
    <t>2متر</t>
  </si>
  <si>
    <t>ساپن</t>
  </si>
  <si>
    <t>سلتیس</t>
  </si>
  <si>
    <t>فولیا</t>
  </si>
  <si>
    <t>ایلکس</t>
  </si>
  <si>
    <t>2130062500</t>
  </si>
  <si>
    <t xml:space="preserve">  تخت خواب / 180 ایلکس</t>
  </si>
  <si>
    <t>2130060900</t>
  </si>
  <si>
    <t xml:space="preserve">  لاوست ایلکس</t>
  </si>
  <si>
    <t xml:space="preserve">  متراژ پارچه لاوست</t>
  </si>
  <si>
    <t xml:space="preserve">  متراژ پارچه صندلی میز آرایش</t>
  </si>
  <si>
    <t>0.6متر</t>
  </si>
  <si>
    <t>مرانتی</t>
  </si>
  <si>
    <t>واوونا</t>
  </si>
  <si>
    <t xml:space="preserve">  متراژ پارچه تخت -180/160</t>
  </si>
  <si>
    <t>دراور شش کشو جیوا</t>
  </si>
  <si>
    <t>صندلی میز آرایش جیوا</t>
  </si>
  <si>
    <t>لاوست جیوا</t>
  </si>
  <si>
    <t>میز تلویزیون ساپن 180 کشو دار</t>
  </si>
  <si>
    <t>میز تلویزیون ساپن 180 بدون کشو</t>
  </si>
  <si>
    <t>میز تلویزیون ساپن 150 کشو دار</t>
  </si>
  <si>
    <t>میز تلویزیون ساپن 150 بدون کشو</t>
  </si>
  <si>
    <t>2140040100</t>
  </si>
  <si>
    <t>2140040104</t>
  </si>
  <si>
    <t>ویترین و بوفه ویترین و استند</t>
  </si>
  <si>
    <t>ویترین اودیره کشو دار</t>
  </si>
  <si>
    <t>بوفه کف بالزا سه درب بدون قاب</t>
  </si>
  <si>
    <t>بوفه کف بالزا سه درب با قاب</t>
  </si>
  <si>
    <t>قاب آینه بوفه کف بالزا سه درب</t>
  </si>
  <si>
    <t>بوفه کف بالزا دو درب با قاب</t>
  </si>
  <si>
    <t>بوفه کف بالزا دو درب بدون قاب</t>
  </si>
  <si>
    <t>قاب آینه بوفه کف بالزا دو درب</t>
  </si>
  <si>
    <t>بوفه کف جیوا سه درب با قاب</t>
  </si>
  <si>
    <t>بوفه کف جیوا سه درب بدون قاب</t>
  </si>
  <si>
    <t>قاب آینه بوفه کف جیوا سه درب</t>
  </si>
  <si>
    <t>بوفه کف جیوا دو درب با قاب</t>
  </si>
  <si>
    <t>بوفه کف جیوا دو درب بدون قاب</t>
  </si>
  <si>
    <t>قاب آینه بوفه کف جیوا دو درب</t>
  </si>
  <si>
    <t>بوفه ویترین جیوا سه درب</t>
  </si>
  <si>
    <t>سایر محصولات</t>
  </si>
  <si>
    <t>2150031300</t>
  </si>
  <si>
    <t>2150031400</t>
  </si>
  <si>
    <t>2150040200</t>
  </si>
  <si>
    <t>2150040400</t>
  </si>
  <si>
    <t>2150040100</t>
  </si>
  <si>
    <t>2150040300</t>
  </si>
  <si>
    <t>2150020100</t>
  </si>
  <si>
    <t>2150020400</t>
  </si>
  <si>
    <t>2150020300</t>
  </si>
  <si>
    <t>2150060900</t>
  </si>
  <si>
    <t>2150061000</t>
  </si>
  <si>
    <t>2150060500</t>
  </si>
  <si>
    <t>2150090800</t>
  </si>
  <si>
    <t>2150020700</t>
  </si>
  <si>
    <t>میز بازی کایسا(بدون پارچه)</t>
  </si>
  <si>
    <t>بوفه ویترین سیپو</t>
  </si>
  <si>
    <t>215005070</t>
  </si>
  <si>
    <t>میز استند بلند آلدر</t>
  </si>
  <si>
    <t>میز استند کوتاه آلدر</t>
  </si>
  <si>
    <t>قیمت جدید</t>
  </si>
  <si>
    <t>مبل آکومه (با پارچه)</t>
  </si>
  <si>
    <t>مبل هفت‌نفره آکومه (یک عدد سه‌نفره + یک عدد دونفره + دو عدد یک‌نفره)</t>
  </si>
  <si>
    <t>کاناپه سه‌نفره آکومه (4 عدد کوسن)</t>
  </si>
  <si>
    <t>کاناپه دونفره آکومه (4 عدد کوسن)</t>
  </si>
  <si>
    <t>مبل یک‌نفره آکومه (1 عدد کوسن)</t>
  </si>
  <si>
    <t>متراژ پارچه هفت‌نفره (فریم 16 متر + تشک 8.5 متر + کوسن 5.5 متر)</t>
  </si>
  <si>
    <t>متراژ پارچه سه‌نفره (فریم 5 متر + تشک 3 متر + کوسن 2 متر)</t>
  </si>
  <si>
    <t>متراژ پارچه دونفره (فریم 4.5 متر + تشک 2 متر + کوسن 1.5 متر)</t>
  </si>
  <si>
    <t xml:space="preserve">  متراژ پارچه یک‌نفره (فریم بیرون، داخل و تشک از یک پارچه 5 متر + کوسن 1 متر)</t>
  </si>
  <si>
    <t xml:space="preserve">  متراژ پارچه یک‌نفره (فریم بیرون 2 متر + فریم داخل و تشک 3.5 متر + کوسن 1 متر)</t>
  </si>
  <si>
    <t>30 متر</t>
  </si>
  <si>
    <t>10 متر</t>
  </si>
  <si>
    <t>8 متر</t>
  </si>
  <si>
    <t>6 متر</t>
  </si>
  <si>
    <t>6.5 متر</t>
  </si>
  <si>
    <t>مبل آکومه (بدون پارچه)</t>
  </si>
  <si>
    <t>شرح کالا</t>
  </si>
  <si>
    <t xml:space="preserve">میز ده‌نفره آکومه </t>
  </si>
  <si>
    <t xml:space="preserve">میز هشت‌نفره آکومه </t>
  </si>
  <si>
    <t xml:space="preserve">میز شش‌نفره آکومه </t>
  </si>
  <si>
    <t xml:space="preserve">صندلی غذاخوری دسته‌دار آکومه </t>
  </si>
  <si>
    <t xml:space="preserve">صندلی غذاخوری بدون دسته آکومه </t>
  </si>
  <si>
    <t xml:space="preserve">  متراژ پارچه یک عدد صندلی دسته‌دار (فریم بیرون و داخل از یک پارچه)</t>
  </si>
  <si>
    <t xml:space="preserve">  متراژ پارچه یک عدد صندلی بدون دسته (فریم بیرون و داخل از یک پارچه)</t>
  </si>
  <si>
    <t xml:space="preserve">  متراژ پارچه یک عدد صندلی دسته‌دار (فریم بیرون 1 متر + فریم داخل و نشیمن 1.5 متر)</t>
  </si>
  <si>
    <t xml:space="preserve">  متراژ پارچه یک عدد صندلی بدون دسته (فریم بیرون 1 متر + فریم داخل و نشیمن 1.5 متر)</t>
  </si>
  <si>
    <t>2 متر</t>
  </si>
  <si>
    <t>2.5 متر</t>
  </si>
  <si>
    <t xml:space="preserve"> آکومه (با پارچه)</t>
  </si>
  <si>
    <t xml:space="preserve"> آکومه (بدون پارچه)</t>
  </si>
  <si>
    <t>میز جلومبلی مستطیل ماپا</t>
  </si>
  <si>
    <t>میز کنارمبلی ماپا</t>
  </si>
  <si>
    <t>قیمت جدید (ریال)</t>
  </si>
  <si>
    <t>میز تلویزیون آکومه / 160</t>
  </si>
  <si>
    <t>میز تلویزیون نوئل / 180</t>
  </si>
  <si>
    <t>مبل تیلیا (با پارچه)</t>
  </si>
  <si>
    <t>مبل تک‌نفره تیلیا (یک عدد تکیه‌گاه متوسط)</t>
  </si>
  <si>
    <t>مبل کنج تیلیا (یک عدد تکیه‌گاه بزرگ + یک عدد تکیه‌گاه کوچک + یک عدد کوسن)</t>
  </si>
  <si>
    <t>مبل کنج وتر‌دار تیلیا (یک عدد تکیه‌گاه مبل کنج وتر‌دار + دو عدد کوسن)</t>
  </si>
  <si>
    <t>کاناپه دونفره بدون دسته تیلیا (دو عدد تکیه‌گاه متوسط)</t>
  </si>
  <si>
    <t>پاف بزرگ مربع تیلیا</t>
  </si>
  <si>
    <t>پاف بزرگ مربع صفحه چوبی تیلیا</t>
  </si>
  <si>
    <t>پاف متوسط تیلیا</t>
  </si>
  <si>
    <t>پاف صفحه چوبی متوسط تیلیا</t>
  </si>
  <si>
    <t>پاف صفحه چوبی کوچک تیلیا</t>
  </si>
  <si>
    <t>متراژ پارچه مبل تک‌نفره (فریم داخل و تشک 3.5 متر + فریم بیرون 1 متر + تکیه‌گاه 1 متر)</t>
  </si>
  <si>
    <t>5.5 متر</t>
  </si>
  <si>
    <t>9 متر</t>
  </si>
  <si>
    <t>11.5 متر</t>
  </si>
  <si>
    <t>8.5 متر</t>
  </si>
  <si>
    <t>متراژ پارچه هر عدد پاف بزرگ و متوسط (تشک و فریم اصلی 2.5 متر + فریم پایه 1 متر)</t>
  </si>
  <si>
    <t>3.5 متر</t>
  </si>
  <si>
    <t>متراژ پارچه هر عدد پاف بزرگ و متوسط صفحه چوبی (فریم اصلی 1.5 متر + فریم پایه 1 متر)</t>
  </si>
  <si>
    <t>متراژ پارچه پاف صفحه چوبی کوچک ( فریم اصلی 0.5 متر + فریم پایه 0.5 متر)</t>
  </si>
  <si>
    <t>1 متر</t>
  </si>
  <si>
    <t>مبل تیلیا (بدون پارچه)</t>
  </si>
  <si>
    <t xml:space="preserve">متراژ پارچه مبل کنج (فریم داخل و تشک 5 متر + فریم بیرون 2 متر + تکیه‌گاه‌ها 1.5 متر + کوسن 0.5 متر) </t>
  </si>
  <si>
    <t xml:space="preserve">متراژ پارچه مبل کنج وتر‌دار (فریم داخل و تشک 5/5 متر + فریم بیرون 2/5 متر + تکیه‌گاه‌ها 1.5 متر + کوسن 1 متر) </t>
  </si>
  <si>
    <t>میپل (با پارچه)</t>
  </si>
  <si>
    <t>میپل (بدون پارچه)</t>
  </si>
  <si>
    <t>متراژ پارچه کاناپه دونفره بدون دسته (فریم داخل و تشک 5.5 متر + فریم بیرون 1.5 متر + تکیه‌گاه‌ها 1.5 متر)</t>
  </si>
  <si>
    <t>پارانا</t>
  </si>
  <si>
    <t xml:space="preserve">  تخت خواب دو نفره پارانا / 180  </t>
  </si>
  <si>
    <t xml:space="preserve">  تخت خواب دو نفره پارانا / 160  </t>
  </si>
  <si>
    <t xml:space="preserve">  تخت خواب دو نفره پارانا / 140  </t>
  </si>
  <si>
    <t xml:space="preserve">  تخت خواب دو نفره پارانا / 120  </t>
  </si>
  <si>
    <t xml:space="preserve">  تخت خواب دو نفره پارانا / 90  </t>
  </si>
  <si>
    <t xml:space="preserve">  دراور میز آرایش اصلی پارانا</t>
  </si>
  <si>
    <t xml:space="preserve">  دراور میز آرایش کنسولی پارانا</t>
  </si>
  <si>
    <t xml:space="preserve">  قاب آینه اصلی پارانا</t>
  </si>
  <si>
    <t>صندلی میز آرایش پارانا</t>
  </si>
  <si>
    <t xml:space="preserve">  پاتختی پارانا</t>
  </si>
  <si>
    <t>دراور شش کشو پارانا</t>
  </si>
  <si>
    <t>لاوست پارانا</t>
  </si>
  <si>
    <t>21301227</t>
  </si>
  <si>
    <t xml:space="preserve">  تخت خواب دو نفره آمارانت / 180  </t>
  </si>
  <si>
    <t xml:space="preserve">  دراور میز آرایش اصلی آمارانت</t>
  </si>
  <si>
    <t xml:space="preserve">  قاب آینه اصلی آمارانت</t>
  </si>
  <si>
    <t>صندلی میز آرایش آمارانت</t>
  </si>
  <si>
    <t xml:space="preserve">  پاتختی آمارانت</t>
  </si>
  <si>
    <t>دراور شش کشو آمارانت</t>
  </si>
  <si>
    <t>لاوست آمارانت</t>
  </si>
  <si>
    <t>فریم قاب و پرده آمارانت</t>
  </si>
  <si>
    <t>پرده آمارانت</t>
  </si>
  <si>
    <t>صندلی غذاخوری پشت چوب نوئل</t>
  </si>
  <si>
    <t>صندلی غذاخوری پشت پارچه نوئل</t>
  </si>
  <si>
    <t xml:space="preserve">متراژ پارچه صندلی غذاخوری نوئل </t>
  </si>
  <si>
    <t>1متر</t>
  </si>
  <si>
    <t>نوئل بدون پارچه</t>
  </si>
  <si>
    <t>نوئل با پارچه</t>
  </si>
  <si>
    <t xml:space="preserve">  میز غذاخوری هشت نفره نوئل</t>
  </si>
  <si>
    <t xml:space="preserve">  میز غذاخوری شش نفره نوئل</t>
  </si>
  <si>
    <t xml:space="preserve">  میز غذاخوری چهار نفره نوئل</t>
  </si>
  <si>
    <t xml:space="preserve">  میز غذاخوری ده نفره نوئل</t>
  </si>
  <si>
    <t>صندلی کانتر</t>
  </si>
  <si>
    <t>21200307</t>
  </si>
  <si>
    <t>صندلی کانتر ساپن</t>
  </si>
  <si>
    <t>مبلمان ( بدون پارچه)</t>
  </si>
  <si>
    <t>دسته بندی</t>
  </si>
  <si>
    <t>سرویس روتختی</t>
  </si>
  <si>
    <t>بالش</t>
  </si>
  <si>
    <t>9900120004</t>
  </si>
  <si>
    <t>بالش آتریپلکس / پلوم (90%پر)</t>
  </si>
  <si>
    <t>9900120005</t>
  </si>
  <si>
    <t>بالش آتریپلکس / پاکت پیلو</t>
  </si>
  <si>
    <t>9900120006</t>
  </si>
  <si>
    <t>بالش آتریپلکس / بامبو</t>
  </si>
  <si>
    <t>9900120007</t>
  </si>
  <si>
    <t>بالش آتریپلکس / آلوئه ورا</t>
  </si>
  <si>
    <t>9900120008</t>
  </si>
  <si>
    <t>بالش آتریپلکس / میکرو نیدل</t>
  </si>
  <si>
    <t>9900120009</t>
  </si>
  <si>
    <t>بالش آتریپلکس / آل سیزنس</t>
  </si>
  <si>
    <t>9900120010</t>
  </si>
  <si>
    <t>بالش آتریپلکس /  نچرال</t>
  </si>
  <si>
    <t>9900120011</t>
  </si>
  <si>
    <t>بالش آتریپلکس / هایپرکلاس</t>
  </si>
  <si>
    <t>9900120012</t>
  </si>
  <si>
    <t>بالش آتریپلکس / فرش کول</t>
  </si>
  <si>
    <t>9900130005</t>
  </si>
  <si>
    <t>سرویس روتختی دونفره سه تکه فریزیا / زغالی</t>
  </si>
  <si>
    <t>9900130006</t>
  </si>
  <si>
    <t>سرویس روتختی دونفره سه تکه فریزیا / مسی</t>
  </si>
  <si>
    <t>9900130007</t>
  </si>
  <si>
    <t>سرویس روتختی دونفره سه تکه فریزیا /آبی تیره</t>
  </si>
  <si>
    <t>9900130008</t>
  </si>
  <si>
    <t>سرویس روتختی دونفره سه تکه فریزیا / خاکستری</t>
  </si>
  <si>
    <t>9900130009</t>
  </si>
  <si>
    <t>سرویس روتختی یک نفره دو تکه فریزیا / زغالی</t>
  </si>
  <si>
    <t>9900130010</t>
  </si>
  <si>
    <t>سرویس روتختی یک نفره دو تکه فریزیا / مسی</t>
  </si>
  <si>
    <t>9900130011</t>
  </si>
  <si>
    <t>سرویس روتختی یک نفره دو تکه فریزیا / آبی تیره</t>
  </si>
  <si>
    <t>9900130012</t>
  </si>
  <si>
    <t>سرویس روتختی یک نفره دو تکه فریزیا / خاکستری</t>
  </si>
  <si>
    <t>9900130030</t>
  </si>
  <si>
    <t>سرویس روتختی دو نفره سه تکه کاتالیا 30</t>
  </si>
  <si>
    <t>9900130031</t>
  </si>
  <si>
    <t>سرویس روتختی دو نفره سه تکه کاتالیا 31</t>
  </si>
  <si>
    <t>9900130032</t>
  </si>
  <si>
    <t>سرویس روتختی دو نفره سه تکه کاتالیا 32</t>
  </si>
  <si>
    <t>9900130033</t>
  </si>
  <si>
    <t>سرویس روتختی دو نفره سه تکه کاتالیا 33</t>
  </si>
  <si>
    <t>9900130034</t>
  </si>
  <si>
    <t>سرویس روتختی دو نفره سه تکه کاتالیا 34</t>
  </si>
  <si>
    <t>9900130035</t>
  </si>
  <si>
    <t>سرویس روتختی دو نفره سه تکه کاتالیا 35</t>
  </si>
  <si>
    <t>9900130036</t>
  </si>
  <si>
    <t>سرویس روتختی دو نفره شش تکه کاتالیا پلاس 36</t>
  </si>
  <si>
    <t>9900130037</t>
  </si>
  <si>
    <t>سرویس روتختی دو نفره شش تکه کاتالیا پلاس 37</t>
  </si>
  <si>
    <t>9900130038</t>
  </si>
  <si>
    <t>سرویس روتختی دو نفره شش تکه کاتالیا پلاس 38</t>
  </si>
  <si>
    <t>9900130039</t>
  </si>
  <si>
    <t>سرویس روتختی دو نفره شش تکه کاتالیا پلاس 39</t>
  </si>
  <si>
    <t>9900130040</t>
  </si>
  <si>
    <t>سرویس روتختی دو نفره شش تکه کاتالیا پلاس 40</t>
  </si>
  <si>
    <t>9900130041</t>
  </si>
  <si>
    <t>سرویس روتختی دو نفره شش تکه کاتالیا پلاس 41</t>
  </si>
  <si>
    <t>9900130042</t>
  </si>
  <si>
    <t>سرویس روتختی دو نفره شش تکه کاتالیا پلاس 42</t>
  </si>
  <si>
    <t>9900130043</t>
  </si>
  <si>
    <t>سرویس روتختی دو نفره شش تکه کاتالیا پلاس 43</t>
  </si>
  <si>
    <t>9900130044</t>
  </si>
  <si>
    <t>سرویس روتختی دو نفره شش تکه کاتالیا پلاس 44</t>
  </si>
  <si>
    <t>9900130045</t>
  </si>
  <si>
    <t>سرویس روتختی دو نفره شش تکه کاتالیا پلاس 45</t>
  </si>
  <si>
    <t>9900130046</t>
  </si>
  <si>
    <t>سرویس روتختی دو نفره ده تکه گلدن رودز 46</t>
  </si>
  <si>
    <t>9900130047</t>
  </si>
  <si>
    <t>سرویس روتختی دو نفره ده تکه گلدن رودز 47</t>
  </si>
  <si>
    <t>9900130048</t>
  </si>
  <si>
    <t>سرویس روتختی دو نفره ده تکه گلدن رودز 48</t>
  </si>
  <si>
    <t>9900130049</t>
  </si>
  <si>
    <t>سرویس روتختی دو نفره شش تکه پالمر</t>
  </si>
  <si>
    <t>9900130050</t>
  </si>
  <si>
    <t>سرویس روتختی دو نفره لوپین / سفارشی</t>
  </si>
  <si>
    <t>سرویس ملحفه</t>
  </si>
  <si>
    <t>9900140005</t>
  </si>
  <si>
    <t>سرویس ملحفه دو نفره شش تکه کردلین / مسی</t>
  </si>
  <si>
    <t>9900140007</t>
  </si>
  <si>
    <t>سرویس ملحفه دو نفره شش تکه داست میلر</t>
  </si>
  <si>
    <t>9900140011</t>
  </si>
  <si>
    <t>سرویس ملحفه دو نفره شش تکه سالیوا</t>
  </si>
  <si>
    <t>9900140020</t>
  </si>
  <si>
    <t>سرویس ملحفه یک نفره چهار تکه اسپری رز</t>
  </si>
  <si>
    <t>9900140023</t>
  </si>
  <si>
    <t>سرویس ملحفه دو نفره شش تکه کراسپدیا / گلبهی</t>
  </si>
  <si>
    <t>9900140028</t>
  </si>
  <si>
    <t>سرویس ملحفه دو نفره کینگ شش تکه آیریس</t>
  </si>
  <si>
    <t>9900140029</t>
  </si>
  <si>
    <t>سرویس ملحفه دو نفره کینگ شش تکه لیاتریس</t>
  </si>
  <si>
    <t>9900140031</t>
  </si>
  <si>
    <t>سرویس ملحفه دو نفره چهار تکه آلیسوم</t>
  </si>
  <si>
    <t>9900140069</t>
  </si>
  <si>
    <t>سرویس ملحفه دو نفره شش تکه تریلیوم</t>
  </si>
  <si>
    <t>9900140070</t>
  </si>
  <si>
    <t>سرویس ملحفه دو نفره کینگ شش تکه تریلیوم</t>
  </si>
  <si>
    <t>9900140071</t>
  </si>
  <si>
    <t>سرویس ملحفه دو نفره شش تکه لیناریا</t>
  </si>
  <si>
    <t>9900140072</t>
  </si>
  <si>
    <t>سرویس ملحفه دو نفره کینگ شش تکه لیناریا</t>
  </si>
  <si>
    <t>9900140075</t>
  </si>
  <si>
    <t>سرویس ملحفه دو نفره شش تکه بالوتا</t>
  </si>
  <si>
    <t>9900140076</t>
  </si>
  <si>
    <t>سرویس ملحفه دو نفره کینگ شش تکه بالوتا</t>
  </si>
  <si>
    <t>لحاف</t>
  </si>
  <si>
    <t>9900150006</t>
  </si>
  <si>
    <t>لحاف دو نفره 215*235 آزالیا / آلوئه ورا</t>
  </si>
  <si>
    <t>9900150013</t>
  </si>
  <si>
    <t>لحاف یک نفره 215*155 آزالیا / هایپرکلاس</t>
  </si>
  <si>
    <t>9900150016</t>
  </si>
  <si>
    <t>لحاف دو نفره 215*195 آزالیا /  سافت</t>
  </si>
  <si>
    <t>9900150017</t>
  </si>
  <si>
    <t>لحاف دو نفره 215*195 آزالیا /  میکرونیدل (90%پر)</t>
  </si>
  <si>
    <t>9900150025</t>
  </si>
  <si>
    <t>لحاف یک نفره 215*155 تنسی</t>
  </si>
  <si>
    <t>9900150026</t>
  </si>
  <si>
    <t>لحاف دو نفره 215*195 تنسی</t>
  </si>
  <si>
    <t>9900150027</t>
  </si>
  <si>
    <t>لحاف دو نفره 215*235 تنسی</t>
  </si>
  <si>
    <t>9900160010</t>
  </si>
  <si>
    <t>پتو دو نفره رینبو سبز روشن</t>
  </si>
  <si>
    <t>9900160011</t>
  </si>
  <si>
    <t>پتو دو نفره رینبو آبی</t>
  </si>
  <si>
    <t>9900160012</t>
  </si>
  <si>
    <t>پتو دو نفره رینبو بژ</t>
  </si>
  <si>
    <t>9900160013</t>
  </si>
  <si>
    <t>پتو دو نفره رینبو طوسی</t>
  </si>
  <si>
    <t>9900160014</t>
  </si>
  <si>
    <t>پتو دو نفره رینبو کرم</t>
  </si>
  <si>
    <t>9900160015</t>
  </si>
  <si>
    <t>پتو دو نفره رینبو زرشکی</t>
  </si>
  <si>
    <t>9900160016</t>
  </si>
  <si>
    <t>پتو دو نفره رینبو صورتی</t>
  </si>
  <si>
    <t>9900160017</t>
  </si>
  <si>
    <t>پتو دو نفره رینبو مشکی</t>
  </si>
  <si>
    <t>9900160018</t>
  </si>
  <si>
    <t>پتو دو نفره رینبو سبز کله غازی</t>
  </si>
  <si>
    <t>9900160019</t>
  </si>
  <si>
    <t>پتو شالی کلاود</t>
  </si>
  <si>
    <t>9900160020</t>
  </si>
  <si>
    <t>پتو دو نفره آیوی مشکی (همراه دو روبالشی)</t>
  </si>
  <si>
    <t>9900160021</t>
  </si>
  <si>
    <t>پتو دو نفره آیوی طوسی (همراه دو روبالشی)</t>
  </si>
  <si>
    <t>9900160022</t>
  </si>
  <si>
    <t>پتو دو نفره آیوی بژ (همراه دو روبالشی)</t>
  </si>
  <si>
    <t>9900160023</t>
  </si>
  <si>
    <t>پتو دو نفره آیوی کرم (همراه دو روبالشی)</t>
  </si>
  <si>
    <t>9900160024</t>
  </si>
  <si>
    <t>پتو دو نفره آیوی خردلی (همراه دو روبالشی)</t>
  </si>
  <si>
    <t>9900160026</t>
  </si>
  <si>
    <t>پتو 220*185 ریور طرح دار 26</t>
  </si>
  <si>
    <t>9900160027</t>
  </si>
  <si>
    <t>پتو 220*185 ریور طرح دار 27</t>
  </si>
  <si>
    <t>9900160029</t>
  </si>
  <si>
    <t>پتو 220*175 ماونتن دو رویه 29</t>
  </si>
  <si>
    <t>9900160031</t>
  </si>
  <si>
    <t>پتو 220*175 ماونتن دو رویه 31</t>
  </si>
  <si>
    <t>9900160037</t>
  </si>
  <si>
    <t>پتو 220*185 ریور طرح دار 37</t>
  </si>
  <si>
    <t>9900160040</t>
  </si>
  <si>
    <t>پتو 220*160 اسکای دو لایه 40</t>
  </si>
  <si>
    <t>پتو</t>
  </si>
  <si>
    <t>نرخ 1</t>
  </si>
  <si>
    <t>نرخ 2</t>
  </si>
  <si>
    <t>پارچه</t>
  </si>
  <si>
    <t>21200601</t>
  </si>
  <si>
    <t>21200602</t>
  </si>
  <si>
    <t>21200603</t>
  </si>
  <si>
    <t>21200604</t>
  </si>
  <si>
    <t>21200606</t>
  </si>
  <si>
    <t>21200607</t>
  </si>
  <si>
    <t>21301203</t>
  </si>
  <si>
    <t>21301204</t>
  </si>
  <si>
    <t>21301205</t>
  </si>
  <si>
    <t>21301206</t>
  </si>
  <si>
    <t>21301208</t>
  </si>
  <si>
    <t>21301209</t>
  </si>
  <si>
    <t>21301225</t>
  </si>
  <si>
    <t>2140040400</t>
  </si>
  <si>
    <t>2140040200</t>
  </si>
  <si>
    <t>2150030700</t>
  </si>
  <si>
    <t>2150020200</t>
  </si>
  <si>
    <t>کد مجازی</t>
  </si>
  <si>
    <t>2110050100</t>
  </si>
  <si>
    <t>مبل پاندو (با پارچه)</t>
  </si>
  <si>
    <t xml:space="preserve">  کاناپه سه نفره ساپن ( 5 عددکوسن )</t>
  </si>
  <si>
    <t xml:space="preserve">  کاناپه دو نفره ساپن ( 4 عدد کوسن )</t>
  </si>
  <si>
    <t xml:space="preserve">  مبل یک نفره ساپن ( 1 عدد کوسن )</t>
  </si>
  <si>
    <t xml:space="preserve">  کاناپه سه نفره سیپو ( 2 عدد کوسن )</t>
  </si>
  <si>
    <t xml:space="preserve">کاناپه دو نفره سیپو ( 2عدد کوسن ) </t>
  </si>
  <si>
    <t xml:space="preserve">  کاناپه سه نفره کاتیوو  ( 5 عدد کوسن )</t>
  </si>
  <si>
    <t xml:space="preserve">  کاناپه دو نفره کاتیوو   ( 4 عدد کوسن )</t>
  </si>
  <si>
    <t xml:space="preserve">  کاناپه سه نفره ماپا (5 عدد کوسن )</t>
  </si>
  <si>
    <t xml:space="preserve">  کاناپه دو نفره ماپا ( 4 عدد کوسن )</t>
  </si>
  <si>
    <t xml:space="preserve">  مبل یک نفره ماپا ( 1 عدد کوسن )</t>
  </si>
  <si>
    <t xml:space="preserve">   کاناپه سه نفره پاندو ( 2 عدد کوسن )</t>
  </si>
  <si>
    <t xml:space="preserve">  کاناپه دو نفره پاندو ( 2عدد کوسن ) </t>
  </si>
  <si>
    <t xml:space="preserve">  کاناپه سه نفره پیناس ( 5 عدد کوسن)</t>
  </si>
  <si>
    <t xml:space="preserve">  کاناپه دو نفره پیناس (5 عدد کوسن )</t>
  </si>
  <si>
    <t xml:space="preserve">  مبل یک نفره پیناس کلاسیک (1 عدد کوسن )</t>
  </si>
  <si>
    <t xml:space="preserve">  مبل یک نفره پیناس مدرن (1 عدد کوسن )</t>
  </si>
  <si>
    <t xml:space="preserve">  متراژ پارچه هفت نفره ( فریم 22 متر + تشک 8 متر + کوسن 5 متر)</t>
  </si>
  <si>
    <t xml:space="preserve">  متراژ پارچه سه نفره ( فریم 7 متر + تشک 3 متر + کوسن 2 متر )</t>
  </si>
  <si>
    <t xml:space="preserve">  متراژ پارچه دو نفره   (فریم 6 متر + تشک 2 متر+ کوسن 2 متر )</t>
  </si>
  <si>
    <t xml:space="preserve">  مبل هفت نفره داگلاس  ( یکعدد سه  نفره + یکعدد دو نفره + دو عدد یک نفره )</t>
  </si>
  <si>
    <t xml:space="preserve">  کاناپه سه نفره داگلاس ( 4عدد کوسن )</t>
  </si>
  <si>
    <t xml:space="preserve"> کاناپه دو نفره داگلاس ( 2 عدد کوسن )</t>
  </si>
  <si>
    <t xml:space="preserve"> مبل یک نفره داگلاس ( بدون کوسن )</t>
  </si>
  <si>
    <t xml:space="preserve">  مبل هفت نفره سالیکس ( یکعدد سه  نفره + یکعدد دو نفره + دو عدد یک نفره )</t>
  </si>
  <si>
    <t xml:space="preserve">محصولات حذف شده از سری تولید و لیست قیمت                                                                                                    </t>
  </si>
  <si>
    <t xml:space="preserve"> متراژ پارچه سه نفره   ( فریم و کف 12/5متر + کوسن 2/5 متر )</t>
  </si>
  <si>
    <t xml:space="preserve"> متراژ پارچه دو نفره  ( فریم و کف 9/5 متر + کوسن 2 متر ) </t>
  </si>
  <si>
    <r>
      <t xml:space="preserve">قیمت </t>
    </r>
    <r>
      <rPr>
        <b/>
        <sz val="18"/>
        <color indexed="9"/>
        <rFont val="B Nazanin"/>
        <charset val="178"/>
      </rPr>
      <t>(ریال)</t>
    </r>
  </si>
  <si>
    <t xml:space="preserve">  مبل یک نفره کاتیوو  (1 عدد کوسن )</t>
  </si>
  <si>
    <t>تخت خواب / 160 مرانتی</t>
  </si>
  <si>
    <t>دراور میز آرایش اصلی مرانتی</t>
  </si>
  <si>
    <t>قاب آینه اصلی مرانتی</t>
  </si>
  <si>
    <t>صندلی میز آرایش مرانتی</t>
  </si>
  <si>
    <t>پاتختی مرانتی</t>
  </si>
  <si>
    <t>دراور شش کشو مرانتی</t>
  </si>
  <si>
    <t>لاوست دسته‌دار مرانتی</t>
  </si>
  <si>
    <t>فریم قاب پرده مرانتی / 160</t>
  </si>
  <si>
    <t>نگه‌دارنده قاب آینه اصلی مرانتی</t>
  </si>
  <si>
    <t xml:space="preserve"> پرده تخت مرانتی</t>
  </si>
  <si>
    <t>متراژ پارچه صندلی میز آرایش مرانتی</t>
  </si>
  <si>
    <t>متراژ پارچه لاوست دسته‌دار مرانتی</t>
  </si>
  <si>
    <t>0.7 متر</t>
  </si>
  <si>
    <t>1.5 متر</t>
  </si>
  <si>
    <t xml:space="preserve">نکته مهم : تخت خواب مرانتی با سرتخت حلقه ای می باشد </t>
  </si>
  <si>
    <t>سرویس خواب / 160 مرانتی فریم قاب و پرده</t>
  </si>
  <si>
    <t>سرویس خواب / 160 مرانتی</t>
  </si>
  <si>
    <t>سرویس خواب / 180 مرانتی فریم قاب و پرده</t>
  </si>
  <si>
    <t>سرویس خواب / 180 مرانتی</t>
  </si>
  <si>
    <t>طول (سانتی متر)</t>
  </si>
  <si>
    <t>عرض (سانتی متر)</t>
  </si>
  <si>
    <t>ارتفاع (سانتی متر)</t>
  </si>
  <si>
    <t>وزن (کیلوگرم)</t>
  </si>
  <si>
    <t>قیمت  (ریال)</t>
  </si>
  <si>
    <t>آباژور رومیزی</t>
  </si>
  <si>
    <t xml:space="preserve">آباژور رومیزی چوبی طوسی TL-W001 </t>
  </si>
  <si>
    <t>آباژور رومیزی چوبی مشکی طلایی TL-W002</t>
  </si>
  <si>
    <t>آباژور رومیزی چوبی مشکیTL-W003</t>
  </si>
  <si>
    <t>آباژور رومیزی چوبی کرم TL-W004</t>
  </si>
  <si>
    <t>درصد افزایش 1</t>
  </si>
  <si>
    <t xml:space="preserve">آباژور رومیزی چوبی طوسی TL-W005 </t>
  </si>
  <si>
    <t>درصد افزایش 2</t>
  </si>
  <si>
    <t>آباژور رومیزی چوبی قهوه ای TL-W006</t>
  </si>
  <si>
    <t>آباژور رومیزی چوبی مشکی TL-W007</t>
  </si>
  <si>
    <t>آباژور رومیزی چوبی سفید TL-W008</t>
  </si>
  <si>
    <t>آباژور رومیزی چوبی مشکی TL-W009</t>
  </si>
  <si>
    <t>آباژور رومیزی سنگی TL-S010</t>
  </si>
  <si>
    <t>آباژور رومیزی چوبی کرم طلایی TL-W011</t>
  </si>
  <si>
    <t>آباژور رومیزی چوبی مارون TL-W012</t>
  </si>
  <si>
    <t>آباژور رومیزی چوبی گردوییTL-W013</t>
  </si>
  <si>
    <t>آباژور رومیزی سرامیکی کرم TL-CR019</t>
  </si>
  <si>
    <t>آباژور رومیزی استیل طلایی TL-ST020</t>
  </si>
  <si>
    <t>آباژور رومیزی استیل نقره ای TL-ST021</t>
  </si>
  <si>
    <t>آباژور رومیزی سفالی فیلی TL-C024</t>
  </si>
  <si>
    <t>آباژور رومیزی سفالی طوسی TL-C025</t>
  </si>
  <si>
    <t>آباژور رومیزی سفالی قهوه ای TL-C026</t>
  </si>
  <si>
    <t>آباژور رومیزی سرامیکی آبی TL-C027</t>
  </si>
  <si>
    <t>آباژور رومیزی سرامیکی آبی TL-CR029</t>
  </si>
  <si>
    <t>آباژور رومیزی سنگی مشکی TL-S030</t>
  </si>
  <si>
    <t>آباژور رومیزی استیل نقره ای TL-ST031</t>
  </si>
  <si>
    <t>آباژور رومیزی استیل طلاییTL-ST032</t>
  </si>
  <si>
    <t>آباژور رومیزی چوبی خودرنگ TL-W075</t>
  </si>
  <si>
    <t>آباژور رومیزی چوبی خودرنگ TL-W076</t>
  </si>
  <si>
    <t>آباژور رومیزی چوبی خودرنگ TL-W077</t>
  </si>
  <si>
    <t>آباژور رومیزی چوبی خودرنگ TL-W084</t>
  </si>
  <si>
    <t>آباژور رومیزی چوبی خودرنگ TL-W085</t>
  </si>
  <si>
    <t>آباژور رومیزی چوبی خودرنگ TL-W086</t>
  </si>
  <si>
    <t>آباژور رومیزی چوبی خودرنگ TL-W087</t>
  </si>
  <si>
    <t>آباژور رومیزی چوبی خودرنگ TL-W088</t>
  </si>
  <si>
    <t>آباژور رومیزی چوبی خودرنگ TL-W089</t>
  </si>
  <si>
    <t>آباژور رومیزی چوبی خودرنگ TL-W090</t>
  </si>
  <si>
    <t>آباژور رومیزی چوبی خودرنگ TL-W091</t>
  </si>
  <si>
    <t>آباژور رومیزی چوبی خودرنگ TL-W092</t>
  </si>
  <si>
    <t>آباژور رومیزی سرامیکی مشکیTL-CR093</t>
  </si>
  <si>
    <t>آباژور رومیزی سرامیکی سفید TL-CR094</t>
  </si>
  <si>
    <t>آباژور رومیزی سفالی سفید TL-C095</t>
  </si>
  <si>
    <t>آباژور رومیزی سفالی سفید TL-C096</t>
  </si>
  <si>
    <t>آباژور رومیزی سفالی سفید TL-C097</t>
  </si>
  <si>
    <t>آباژور رومیزی چوبی خودرنگ TL-W098</t>
  </si>
  <si>
    <t>آباژور رومیزی چوبی خودرنگ TL-W099</t>
  </si>
  <si>
    <t>آباژور رومیزی چوبی خودرنگ TL-W100</t>
  </si>
  <si>
    <t>آباژور رومیزی سنگ سفید TL-S120</t>
  </si>
  <si>
    <t>آباژور رومیزی چوبی خودرنگ TL-W135</t>
  </si>
  <si>
    <t>آباژور رومیزی چوبی نسکافه ای TL-W137</t>
  </si>
  <si>
    <t>آباژور رومیزی چوبی مشکی TL-W138</t>
  </si>
  <si>
    <t>آباژور رومیزی چوبی سبز TL-W139</t>
  </si>
  <si>
    <t>آباژور رومیزی سفالی طوسی TL-C142</t>
  </si>
  <si>
    <t>آباژور رومیزی فلزی مشکی TL-M151</t>
  </si>
  <si>
    <t>آباژور رومیزی سفالی نسکافه ای TL-C176</t>
  </si>
  <si>
    <t>آباژور رومیزی سنگ سفید TL-S177</t>
  </si>
  <si>
    <t>آباژور رومیزی سفال سفید TL-C187</t>
  </si>
  <si>
    <t>آباژور رومیزی سنگ مشکیTL-S193</t>
  </si>
  <si>
    <t>آباژور رومیزی فلز  خم طلایی TL-M200</t>
  </si>
  <si>
    <t>آباژور رومیزی فلز/چوب طلایی TL-M/W201</t>
  </si>
  <si>
    <t>آباژور رومیزی سفالی کرم خاکیTL-C210</t>
  </si>
  <si>
    <t>آباژور ایستاده</t>
  </si>
  <si>
    <t xml:space="preserve">آباژور ایستاده چوبی FL-W068 </t>
  </si>
  <si>
    <t>آباژور ایستاده چوبی FL-W070</t>
  </si>
  <si>
    <t>آباژور ایستاده چوبی کرم FL-W140</t>
  </si>
  <si>
    <t>آباژور ایستاده چوبی خود رنگ FL-W159</t>
  </si>
  <si>
    <t>آ باژور زمینی شیشه ای  پلاتینی بزرگFL-G214</t>
  </si>
  <si>
    <t>آ باژور زمینی شیشه ای  پلاتینی کوچکFL-G215</t>
  </si>
  <si>
    <t>آ باژور زمینی شیشه ای دودی بزرگFL-G216</t>
  </si>
  <si>
    <t>آ باژور زمینی شیشه ای دودی کوچکFL-G217</t>
  </si>
  <si>
    <t>لوستر</t>
  </si>
  <si>
    <t>لوستر روشنایی فلزی آنتیک CL-M156</t>
  </si>
  <si>
    <t>لوستر روشنایی فلزی آنتیک CL-M158</t>
  </si>
  <si>
    <t>لوستر روشنایی فلز طلایی CL-M160</t>
  </si>
  <si>
    <t>لوستر روشنایی فلزی مشکی CL-M161</t>
  </si>
  <si>
    <t>آویز</t>
  </si>
  <si>
    <t xml:space="preserve"> آویز روشنایی چوبی PL-W033</t>
  </si>
  <si>
    <t xml:space="preserve"> آویز روشنایی چوبی PL-W034</t>
  </si>
  <si>
    <t xml:space="preserve"> آویز روشنایی چوبی PL-W035</t>
  </si>
  <si>
    <t xml:space="preserve"> آویز روشنایی چوبی PL-W036</t>
  </si>
  <si>
    <t>لاینر روشنایی چوبی LL-W072</t>
  </si>
  <si>
    <t>لاینر روشنایی چوبی LL-W073</t>
  </si>
  <si>
    <t xml:space="preserve"> آویز روشنایی چوبی PL-W074</t>
  </si>
  <si>
    <t>دیوار کوب</t>
  </si>
  <si>
    <t>روشنایی دیواری شیشه ای کوچک WL-G219</t>
  </si>
  <si>
    <t>مبلمان فضای باز</t>
  </si>
  <si>
    <t>مبل تک نفره فضای باز ترمو وود فنلاندی با پارچه ضد آبDF-W386</t>
  </si>
  <si>
    <t>پاف جلو مبلی فضای باز ترمو وود فنلاندیDT-W387</t>
  </si>
  <si>
    <t xml:space="preserve">میز </t>
  </si>
  <si>
    <t>میز دکوراتیو سرو صبحانه چوبی پتینه وایت واش DT-W409</t>
  </si>
  <si>
    <t>میز دکوراتیو سرو صبحانه چوبی مشکی DT-W412</t>
  </si>
  <si>
    <t>شال مبل</t>
  </si>
  <si>
    <t>شال مبل ساتن ST-S006</t>
  </si>
  <si>
    <t>شال مبل ساتن ST-S012</t>
  </si>
  <si>
    <t>شال مبل ساتن طوسی کرم ST-S023</t>
  </si>
  <si>
    <t>شال مبل طوسی ST-T035</t>
  </si>
  <si>
    <t>شال مبل آبیST-T036</t>
  </si>
  <si>
    <t>شال مبل قهوه ای شکلاتی ST-T037</t>
  </si>
  <si>
    <t>شال مبل قهوه ای ST-T039</t>
  </si>
  <si>
    <t>شال مبل خز قهوه ای ST-F056</t>
  </si>
  <si>
    <t>شال مبل قهوه ای ST-T090</t>
  </si>
  <si>
    <t>شال مبل سبز طوسی ST-T091</t>
  </si>
  <si>
    <t>شال مبل ST-C110</t>
  </si>
  <si>
    <t>170*110</t>
  </si>
  <si>
    <t>رانر</t>
  </si>
  <si>
    <t>رانر کتان /RT-C041</t>
  </si>
  <si>
    <t>140cm</t>
  </si>
  <si>
    <t>رانر کتان/RT-C042</t>
  </si>
  <si>
    <t>رانر کتان/RT-C044</t>
  </si>
  <si>
    <t>رانر کتان/RT-C045</t>
  </si>
  <si>
    <t>220cm</t>
  </si>
  <si>
    <t>رانر کتان/RT-C046</t>
  </si>
  <si>
    <t>160cm</t>
  </si>
  <si>
    <t>رانر کتان/RT-C047</t>
  </si>
  <si>
    <t>رانر کتان/RT-C049</t>
  </si>
  <si>
    <t>رانر کتان/RT-C050</t>
  </si>
  <si>
    <t>240cm</t>
  </si>
  <si>
    <t>رانر کتان/RT-C070</t>
  </si>
  <si>
    <t>180cm</t>
  </si>
  <si>
    <t>رانر کتان/RT-C071</t>
  </si>
  <si>
    <t>رانر کتان/RT-C072</t>
  </si>
  <si>
    <t>رانر کتان/RT-C073</t>
  </si>
  <si>
    <t>رانر کتان/RT-C075</t>
  </si>
  <si>
    <t>رانر کتان/RT-C077</t>
  </si>
  <si>
    <t>رانر کتان/RT-C078</t>
  </si>
  <si>
    <t>رانر کتان/RT-C079</t>
  </si>
  <si>
    <t>دستمال سفره</t>
  </si>
  <si>
    <t>دستمال سفره کتان NT-C051</t>
  </si>
  <si>
    <t>دستمال سفره کتان NT-C052</t>
  </si>
  <si>
    <t>دستمال سفره کتان NT-C054</t>
  </si>
  <si>
    <t>دستمال سفره کتان NT-C080</t>
  </si>
  <si>
    <t>دستمال سفره کتان NT-C081</t>
  </si>
  <si>
    <t>دستمال سفره کتان NT-C082</t>
  </si>
  <si>
    <t>کوسن</t>
  </si>
  <si>
    <t>کوسن ساتن کرم طلایی اورسایز CT-S004</t>
  </si>
  <si>
    <t>کوسن ساتن کرم CT-S005</t>
  </si>
  <si>
    <t>کوسن ساتن اورسایز ST-S007</t>
  </si>
  <si>
    <t>کوسن ساتن آجری کرم CT-S008</t>
  </si>
  <si>
    <t>کوسن ساتن اورسایز CT-S010</t>
  </si>
  <si>
    <t>کوسن ساتن آجری کرم CT-S011</t>
  </si>
  <si>
    <t>کوسن ساتن اور سایز CT-S013</t>
  </si>
  <si>
    <t>کوسن ساتن کرم CT-S014</t>
  </si>
  <si>
    <t>کوسن مخمل گلدوزی بنفش ارغوانی CT-V015</t>
  </si>
  <si>
    <t>کوسن مخمل گلدوزی کرم CT-V016</t>
  </si>
  <si>
    <t>کوسن مخمل گلدوزی آبی CT-V017</t>
  </si>
  <si>
    <t>کوسن مخمل گلدوزی یاسی CT-V019</t>
  </si>
  <si>
    <t>کوسن ساتن طوسی کرم CT-S021</t>
  </si>
  <si>
    <t>کوسن ساتن طوسی کرم اور سایز CT-S022</t>
  </si>
  <si>
    <t>کوسن خز گرگی کرم CT-F024</t>
  </si>
  <si>
    <t>کوسن ساتن کرم CT-S026</t>
  </si>
  <si>
    <t>کوسن مخمل گلدوزی ارغوانی CT-V028</t>
  </si>
  <si>
    <t>کوسن مخمل گلدوزی مشکی CT-V029</t>
  </si>
  <si>
    <t>کوسن مخمل گلدوزی سرخابی CT-V030</t>
  </si>
  <si>
    <t>کوسن مخمل گلدوزی مشکی CT-V031</t>
  </si>
  <si>
    <t>کوسن مخمل گلدوزی کرم طلایی</t>
  </si>
  <si>
    <t>کوسن مخمل گلدوزی قهوه ای روشن CT-V033</t>
  </si>
  <si>
    <t>کوسن مخمل گلدوزی کرم طلایی CT-V059</t>
  </si>
  <si>
    <t>کوسن خز قهوه ای CT-F060</t>
  </si>
  <si>
    <t>کوسن مخمل گلدوزی کرم طلایی CT-V062</t>
  </si>
  <si>
    <t>کوسن مخمل گلدوزی سفید CT-V063</t>
  </si>
  <si>
    <t>کوسن مخمل گلدوزی سرخ آبی CT-V064</t>
  </si>
  <si>
    <t>کوسن مخمل گلدوزی کالباسی CT-V065</t>
  </si>
  <si>
    <t>کوسن مخمل گلدوزی سبز CT-V067</t>
  </si>
  <si>
    <t>کوسن مخمل گلدوزی مشکی CT-V083</t>
  </si>
  <si>
    <t>کوسن پرز کوتاه سفید بند چرمی CT-F087</t>
  </si>
  <si>
    <t>ظرف پذیرایی</t>
  </si>
  <si>
    <t>ظرف پذيرايي آلومنیومی نقره ای DP-A020</t>
  </si>
  <si>
    <t>ظرف پذيرايي آلومنیومی نقره ای DP-A023</t>
  </si>
  <si>
    <t>پیش دستی سرامیکی لعاب طلا DP-CR028</t>
  </si>
  <si>
    <t>بشقاب سرامیکی لعاب طلا DP-CR029</t>
  </si>
  <si>
    <t>کاسه سرامیکی کوچک لعاب طلا DP-CR030</t>
  </si>
  <si>
    <t>لیوان سرامیکی لعاب طلا DP-CR031</t>
  </si>
  <si>
    <t>کاسه سرامیکی بزرگ لعاب طلا DP-CR032</t>
  </si>
  <si>
    <t>پیش دستی سرامیکی لعاب طلا DP-CR033</t>
  </si>
  <si>
    <t>بشقاب سرامیکی لعاب طلا DP-CR034</t>
  </si>
  <si>
    <t>کاسه سرامیکی کوچک لعاب طلا DP-CR035</t>
  </si>
  <si>
    <t>لیوان سرامیکی لعاب طلا DP-CR036</t>
  </si>
  <si>
    <t>کاسه سرامیکی بزرگ لعاب طلا DP-CR037</t>
  </si>
  <si>
    <t>پیش دستی سرامیکی لعاب طلا DP-CR038</t>
  </si>
  <si>
    <t>بشقاب سرامیکی لعاب طلا DP-CR039</t>
  </si>
  <si>
    <t>کاسه سرامیکی کوچک لعاب طلا DP-CR040</t>
  </si>
  <si>
    <t>لیوان سرامیکی لعاب طلا DP-CR041</t>
  </si>
  <si>
    <t>کاسه سرامیکی بزرگ لعاب طلا DP-CR042</t>
  </si>
  <si>
    <t>کاسه سنگی مشکی DP-S062</t>
  </si>
  <si>
    <t>پیش دستی سنگی مشکی DP-S063</t>
  </si>
  <si>
    <t>ظرف پذيرايي آلومنیومی دوسایز طلایی DP-A306</t>
  </si>
  <si>
    <t>کارد صبحانه فلزی DK-M317</t>
  </si>
  <si>
    <t>کارد صبحانه فلزی DK-M318</t>
  </si>
  <si>
    <t>گوشت کوب چوبی DM-W321</t>
  </si>
  <si>
    <t>سینی چوبی دسته چرمی DP-W/L327</t>
  </si>
  <si>
    <t>تخته سرو چوبی آکاژو سایز کوچک DP-W432</t>
  </si>
  <si>
    <t>15*30</t>
  </si>
  <si>
    <t>تخته سرو چوبی آکاژو سایز بزرگ DP-W433</t>
  </si>
  <si>
    <t>30*50</t>
  </si>
  <si>
    <t>گل مصنوعی</t>
  </si>
  <si>
    <t>شاخه گل فومی AF-F001</t>
  </si>
  <si>
    <t>شاخه گل فومی AF-F002</t>
  </si>
  <si>
    <t>شاخه گل فومی AF-F003</t>
  </si>
  <si>
    <t>شاخه گل فومی AF-F004</t>
  </si>
  <si>
    <t>شاخه گل فومی AF-F005</t>
  </si>
  <si>
    <t xml:space="preserve"> شاخه برگ فومی AF-L006</t>
  </si>
  <si>
    <t>گلدان</t>
  </si>
  <si>
    <t>گلدان آلومنیومی نقره ای DV-A006</t>
  </si>
  <si>
    <t>گلدان آلومنیومی بزرگ نقره ای DV-A007</t>
  </si>
  <si>
    <t>گلدان آلومنیومی کوچک نقره ای DV-A008</t>
  </si>
  <si>
    <t>گلدان آلومنیومی نقره ای DV-A011</t>
  </si>
  <si>
    <t>گلدان سنگی بزرگ DV-S018</t>
  </si>
  <si>
    <t>گلدان سنگی کوچک DV-S019</t>
  </si>
  <si>
    <t>گلدان آلومنیومی بزرگ نقره ای DV-A026</t>
  </si>
  <si>
    <t>گلدان آلومنیومی کوچک نقره ای DV-A027</t>
  </si>
  <si>
    <t>گلدان سفالی بزرگ DV-C043</t>
  </si>
  <si>
    <t>گلدان سرامیکی سفید DV-CR180</t>
  </si>
  <si>
    <t>گلدان سفالی سفید DV-C236</t>
  </si>
  <si>
    <t>گلدان سفالی مشکی DV-C238</t>
  </si>
  <si>
    <t>گلدان بلوری سبز دودی DV-G280</t>
  </si>
  <si>
    <t>گلدان بلوری عسلی DV-G281</t>
  </si>
  <si>
    <t>گلدان بلوری بنفش DV-G282</t>
  </si>
  <si>
    <t>گلدان بلوری سبز دودیDV-G283</t>
  </si>
  <si>
    <t>گلدان بلوری عسلی DV-G284</t>
  </si>
  <si>
    <t>گلدان بلوری بنفش DV-G285</t>
  </si>
  <si>
    <t>گلدان بلوری سبز دودی DV-G286</t>
  </si>
  <si>
    <t>گلدان بلوری عسلی DV-G287</t>
  </si>
  <si>
    <t>گلدان بلوری بنفش DV-G288</t>
  </si>
  <si>
    <t>گلدان بلوری سبز دودی DV-G289</t>
  </si>
  <si>
    <t>گلدان بلوری عسلی DV-G290</t>
  </si>
  <si>
    <t>گلدان بلوری بنفش DV-G291</t>
  </si>
  <si>
    <t>گلدان بلوری سبز دودی DV-G292</t>
  </si>
  <si>
    <t>گلدان بلوری عسلی DV-G293</t>
  </si>
  <si>
    <t>گلدان بلوری بنفش DV-G294</t>
  </si>
  <si>
    <t>22*22*35</t>
  </si>
  <si>
    <t>گلدان سفالی کرم بزرگ DV-C315</t>
  </si>
  <si>
    <t>26*26*45</t>
  </si>
  <si>
    <t>گلدان سفالی کرم کوچک DV-C316</t>
  </si>
  <si>
    <t>گلدان سفالی شیری DV-C448</t>
  </si>
  <si>
    <t>گلدان سفالی طوسی DV-C449</t>
  </si>
  <si>
    <t>گلدان سفالی مشکی DV-C450</t>
  </si>
  <si>
    <t>عطر خانگی</t>
  </si>
  <si>
    <t>عطرخانگیHP-N001</t>
  </si>
  <si>
    <t>7/5*7/5*8</t>
  </si>
  <si>
    <t>عطرخانگیHP-N002</t>
  </si>
  <si>
    <t>عطرخانگیHP-N003</t>
  </si>
  <si>
    <t>عطرخانگیHP-N004</t>
  </si>
  <si>
    <t>6/5*6/5*15</t>
  </si>
  <si>
    <t>عطرخانگیHP-N005</t>
  </si>
  <si>
    <t>شمعدان</t>
  </si>
  <si>
    <t>جاشمعی سفالی کرم DC-C177</t>
  </si>
  <si>
    <t>جاشمعی سفالی سفید DC-C189</t>
  </si>
  <si>
    <t>شمعدان سنگی سفید مشکی DC-S211</t>
  </si>
  <si>
    <t>جاشمعی دوسایز چوبی مشکی DC-W395</t>
  </si>
  <si>
    <t>40*30*12</t>
  </si>
  <si>
    <t>ست جاشمعی سه عددی چوبی بادامی DC-W396</t>
  </si>
  <si>
    <t>25*10*5</t>
  </si>
  <si>
    <t>ست جاشمعی سه عددی چوبی دودی DC-W397</t>
  </si>
  <si>
    <t>ست سه سایز جاشمعی (U) چوبی پتینه وایت واش DC-W413</t>
  </si>
  <si>
    <t>44*27*7</t>
  </si>
  <si>
    <t>ست سه سایز جاشمعی (U) چوبی بادامی DC-W414</t>
  </si>
  <si>
    <t>ست جاشمعی سنگ مشکی DC-S440</t>
  </si>
  <si>
    <t>عودسوز</t>
  </si>
  <si>
    <t>عودسوز چوبی بزرگ خودرنگ DC-W239</t>
  </si>
  <si>
    <t>عودسوز چوبی بزرگ خودرنگ DC-W240</t>
  </si>
  <si>
    <t>عودسوز و جاشمعی فلزی DC-M322</t>
  </si>
  <si>
    <t>تابلو</t>
  </si>
  <si>
    <t>تابلو دکوراتیو دو تکه TD-P001</t>
  </si>
  <si>
    <t>100*100</t>
  </si>
  <si>
    <t>تابلو دکوراتیو TD-P002</t>
  </si>
  <si>
    <t>80*60</t>
  </si>
  <si>
    <t>تابلو دکوراتیو TD-P003</t>
  </si>
  <si>
    <t>100*70</t>
  </si>
  <si>
    <t>تابلو دکوراتیو دو تکه TD-W015</t>
  </si>
  <si>
    <t>80*80</t>
  </si>
  <si>
    <t>ساعت</t>
  </si>
  <si>
    <t>ساعت دیواری چوبی خودرنگ WC-W006</t>
  </si>
  <si>
    <t>28*28*3/5</t>
  </si>
  <si>
    <t>آینه</t>
  </si>
  <si>
    <t>آینه استیل  طلایی DM-ST250</t>
  </si>
  <si>
    <t>آینه فلزی مشکی DM-ST251</t>
  </si>
  <si>
    <t>آینه سه تکه استیل رز گلدDM-ST426</t>
  </si>
  <si>
    <t>آینه قدی دفرمه فلزی طلایی DM-M438</t>
  </si>
  <si>
    <t>دکوراتیو</t>
  </si>
  <si>
    <t>استند درخت آلومنیومی نقره ای DS-A021</t>
  </si>
  <si>
    <t>استند فلزی مشکی DS-M199</t>
  </si>
  <si>
    <t>استند اسب چوبی صدفیDS-W202</t>
  </si>
  <si>
    <t>استند روزنامه</t>
  </si>
  <si>
    <t>استند روزنامه DS-PL200</t>
  </si>
  <si>
    <t>استند جامجله ای(U) چوبی پتینه وایت واش DS-W402</t>
  </si>
  <si>
    <t>26*55*45</t>
  </si>
  <si>
    <t>استند جامجله ای(U) چوبی بادامی DS-W403</t>
  </si>
  <si>
    <t>نگهدارنده کتاب</t>
  </si>
  <si>
    <t>ست هلدر کتاب استیل طلایی DS-ST196</t>
  </si>
  <si>
    <t>ست هلدر کتاب پتینه وایت واش DS-W406</t>
  </si>
  <si>
    <t>29*20*60</t>
  </si>
  <si>
    <t>ست هلدر کتاب بادامی DS-W407</t>
  </si>
  <si>
    <t>ست هلدر کتاب چوبی DS-W324</t>
  </si>
  <si>
    <t>آشیانه حیوانات</t>
  </si>
  <si>
    <t>آشیانه حیوانات خانگی بادامیDP-W478</t>
  </si>
  <si>
    <t>آشیانه حیوانات خانگی گردویی دودیDP-W479</t>
  </si>
  <si>
    <t>آشیانه حیوانات خانگی مشکیDP-W480</t>
  </si>
  <si>
    <t>سرویس روتختی دو نفره یازده تکه ماری گلد 22</t>
  </si>
  <si>
    <t>سرویس روتختی و کاور کینگ ده تکه دکوماریا 25</t>
  </si>
  <si>
    <t>کاناپه بالزا (با پارچه)</t>
  </si>
  <si>
    <t xml:space="preserve">کاناپه سه نفره بالز ا (5عدد کوسن) </t>
  </si>
  <si>
    <t xml:space="preserve"> فریم و کف 14 متر + کوسن 2/5 متر</t>
  </si>
  <si>
    <t>16.5 متر</t>
  </si>
  <si>
    <t>کاناپه بالزا (بدون پارچه)</t>
  </si>
  <si>
    <t xml:space="preserve">میز جلومبلی بیضی کاتیوو  </t>
  </si>
  <si>
    <t>ماپا (با پارچه )</t>
  </si>
  <si>
    <t>صندلی غذاخوری دسته‌دار ماپا</t>
  </si>
  <si>
    <t>متراژ پارچه یک عدد صندلی</t>
  </si>
  <si>
    <t>ماپا (بدون پارچه )</t>
  </si>
  <si>
    <t>2130050900</t>
  </si>
  <si>
    <t xml:space="preserve">  لاوست سلتیس</t>
  </si>
  <si>
    <t>2130052100</t>
  </si>
  <si>
    <t xml:space="preserve">  تخت خواب / 90 سلتیس</t>
  </si>
  <si>
    <t>میز تلویزیون ساپلی / 180</t>
  </si>
  <si>
    <t>بالش طبی مموری ترکیبی</t>
  </si>
  <si>
    <t>بالش مون سیلک</t>
  </si>
  <si>
    <t>بالش توین رست</t>
  </si>
  <si>
    <t>ویترین فولیا تمام نما</t>
  </si>
  <si>
    <t>2150030500</t>
  </si>
  <si>
    <t>تاریخ لیست قیمت</t>
  </si>
  <si>
    <t>فهرست</t>
  </si>
  <si>
    <t>دسته محصولات</t>
  </si>
  <si>
    <t>صفحه</t>
  </si>
  <si>
    <t>مبل ساپلی (با پارچه)</t>
  </si>
  <si>
    <t>مبل ساپلی (بدون پارچه)</t>
  </si>
  <si>
    <t>سرویس خواب ساپلی</t>
  </si>
  <si>
    <t>سرویس خواب ساپن</t>
  </si>
  <si>
    <t>سرویس خواب فولیا</t>
  </si>
  <si>
    <t>سرویس خواب سلتیس</t>
  </si>
  <si>
    <t>کد کاتالوگ</t>
  </si>
  <si>
    <t>لیست قیمت مبلمان حذف از تولید</t>
  </si>
  <si>
    <t>مبل پاندو (بدون پارچه)</t>
  </si>
  <si>
    <t>مبل پیناس (با پارچه )</t>
  </si>
  <si>
    <t>مبل بالزا (با پارچه)</t>
  </si>
  <si>
    <t>مبل بالزا (بدون پارچه)</t>
  </si>
  <si>
    <t>غذاخوری آکومه (با پارچه)</t>
  </si>
  <si>
    <t>غذاخوری آکومه (بدون پارچه)</t>
  </si>
  <si>
    <t>غذاخوری ساپن (با پارچه)</t>
  </si>
  <si>
    <t>غذاخوری ساپن (بدون پارچه)</t>
  </si>
  <si>
    <t>غذاخوری کاتیوو (با پارچه)</t>
  </si>
  <si>
    <t>غذاخوری کاتیوو (بدون پارچه)</t>
  </si>
  <si>
    <t>غذاخوری ماپا (با پارچه)</t>
  </si>
  <si>
    <t>غذاخوری ماپا (بدون پارچه)</t>
  </si>
  <si>
    <t xml:space="preserve">صندلی کانتر </t>
  </si>
  <si>
    <t>غذاخوری نوئل (با پارچه)</t>
  </si>
  <si>
    <t>غذاخوری نوئل (بدون پارچه)</t>
  </si>
  <si>
    <t>غذاخوری میپل (با پارچه)</t>
  </si>
  <si>
    <t>غذاخوری میپل (بدون پارچه)</t>
  </si>
  <si>
    <t>سرویس خواب ایلکس</t>
  </si>
  <si>
    <t>سرویس خواب مرانتی</t>
  </si>
  <si>
    <t>سرویس خواب واوونا</t>
  </si>
  <si>
    <t>سرویس خواب پارانا</t>
  </si>
  <si>
    <t>سرویس خواب آمارانت</t>
  </si>
  <si>
    <t>سرویس خواب جیوا</t>
  </si>
  <si>
    <t>ویترین، بوفه ویترین و استند</t>
  </si>
  <si>
    <t>مبل تیلیا ( با پارچه)</t>
  </si>
  <si>
    <t>مبل تیلیا ( بدون پارچه)</t>
  </si>
  <si>
    <t>شلف باکس 210 دو طرفه</t>
  </si>
  <si>
    <t>شلف باکس 210 یک طرفه</t>
  </si>
  <si>
    <t xml:space="preserve">شلف استند 210 </t>
  </si>
  <si>
    <t>شلف باکس 120 دو طرفه</t>
  </si>
  <si>
    <t>شلف باکس 120 یک طرفه</t>
  </si>
  <si>
    <t xml:space="preserve">شلف استند 120 </t>
  </si>
  <si>
    <t xml:space="preserve">لیست قیمت کالای خواب حذف از تولید </t>
  </si>
  <si>
    <t>3-4</t>
  </si>
  <si>
    <t>دیوارکوب</t>
  </si>
  <si>
    <t>میز</t>
  </si>
  <si>
    <t>دستمال سفره و زیربشقابی</t>
  </si>
  <si>
    <t>آّباژور رومیزی</t>
  </si>
  <si>
    <t>طول
(cm)</t>
  </si>
  <si>
    <t>عرض
(cm)</t>
  </si>
  <si>
    <t>ارتفاع
(cm)</t>
  </si>
  <si>
    <t>دستمال سفره و زیر بشقابی</t>
  </si>
  <si>
    <t>عود سوز</t>
  </si>
  <si>
    <t xml:space="preserve">لیست قیمت اکسسوری حذف از تولید </t>
  </si>
  <si>
    <t>20</t>
  </si>
  <si>
    <t>لیست قیمت کالای خواب  حذف از تولید ( 1405/02/01)</t>
  </si>
  <si>
    <t>لیست قیمت اکسسوری اردیبهشت ماه 1405</t>
  </si>
  <si>
    <t>1405/02/01</t>
  </si>
  <si>
    <t>(1405/02/01)</t>
  </si>
  <si>
    <t>تشک آریل</t>
  </si>
  <si>
    <t>ساختار</t>
  </si>
  <si>
    <t>ارتفاع تشک</t>
  </si>
  <si>
    <t>خدمات تعویض (ماه)</t>
  </si>
  <si>
    <t>خدمات بدون هزینه (ماه)</t>
  </si>
  <si>
    <t>خدمات با هزینه (ماه)</t>
  </si>
  <si>
    <t>تشک 90*200 آریل</t>
  </si>
  <si>
    <t>فنر متصل</t>
  </si>
  <si>
    <t>تشک 120*200 آریل</t>
  </si>
  <si>
    <t>تشک 140*200 آریل</t>
  </si>
  <si>
    <t>تشک 160*200 آریل</t>
  </si>
  <si>
    <t>تشک 180*200 آریل</t>
  </si>
  <si>
    <t>زیر سیگاری</t>
  </si>
  <si>
    <t>زیر سیگاری فلزی DA-M323</t>
  </si>
  <si>
    <t>شمع دکوراتیو</t>
  </si>
  <si>
    <t>شمع دکوراتیو سفیدCD-P020</t>
  </si>
  <si>
    <t>6*15</t>
  </si>
  <si>
    <t>شمع دکوراتیو قهوه ای CD-P023</t>
  </si>
  <si>
    <t>16*12</t>
  </si>
  <si>
    <t>شمع دکوراتیو سفیدCD-P028</t>
  </si>
  <si>
    <t>7*10</t>
  </si>
  <si>
    <t>شمع دکوراتیو شیریCD-P030</t>
  </si>
  <si>
    <t>شمع دکوراتیو قهوه ایCD-P031</t>
  </si>
  <si>
    <t>10*10</t>
  </si>
  <si>
    <t>شمع دکوراتیو سفید CD-P036</t>
  </si>
  <si>
    <t>12*12</t>
  </si>
  <si>
    <t>شمع دکوراتیو شیری CD-P038</t>
  </si>
  <si>
    <t>شمع دکوراتیو سفید CD-P042</t>
  </si>
  <si>
    <t>6*20</t>
  </si>
  <si>
    <t>شمع دکوراتیو قهوه ای CD-P045</t>
  </si>
  <si>
    <t>8*12</t>
  </si>
  <si>
    <t>شمع دکوراتیو نسکافه ای CD-P051</t>
  </si>
  <si>
    <t>ست شمع دکوراتیو قهوه ای CD-P052</t>
  </si>
  <si>
    <t xml:space="preserve"> شمع دکوراتیو قهوه ای CD-P053</t>
  </si>
  <si>
    <t>شمع دکوراتیو سفید CD-P057</t>
  </si>
  <si>
    <t>جالباسی</t>
  </si>
  <si>
    <t>آویز کت چوب و استیل -دودی DH-W439</t>
  </si>
  <si>
    <t>جا لباسی چوبی بادامی DH-W398</t>
  </si>
  <si>
    <t>160*60*60</t>
  </si>
  <si>
    <t>جا لباسی چوبی مشکی DH-W401</t>
  </si>
  <si>
    <t>فرش</t>
  </si>
  <si>
    <t>فرش ماشینی BC-M001</t>
  </si>
  <si>
    <t>230*160</t>
  </si>
  <si>
    <t>فرش ماشینی BC-M003</t>
  </si>
  <si>
    <t>فرش ماشینی BC-M004</t>
  </si>
  <si>
    <t>فرش گلیم خردلی KC-R005</t>
  </si>
  <si>
    <t>فرش گلیم خردلی KC-R006</t>
  </si>
  <si>
    <t>200*300</t>
  </si>
  <si>
    <t>فرش ماشینی BC-M007</t>
  </si>
  <si>
    <t>فرش گلیم  کرم KC-R008</t>
  </si>
  <si>
    <t>فرش گلیم  کرم KC-R009</t>
  </si>
  <si>
    <t>فرش گلیم  کرم KC-R010</t>
  </si>
  <si>
    <t>فرش گلیم  کرم KC-R011</t>
  </si>
  <si>
    <t>فرش دست بافت AC-R012</t>
  </si>
  <si>
    <t>فرش دست بافت AC-R013</t>
  </si>
  <si>
    <t>230*240</t>
  </si>
  <si>
    <t>فرش دست بافت AC-R014</t>
  </si>
  <si>
    <t>فرش دست بافت AC-R015</t>
  </si>
  <si>
    <t>190*130</t>
  </si>
  <si>
    <t>فرش دست بافت AC-R016</t>
  </si>
  <si>
    <t>فرش ماشینی BC-M017</t>
  </si>
  <si>
    <t>240*340</t>
  </si>
  <si>
    <t>فرش ماشینی BC-M018</t>
  </si>
  <si>
    <t>فرش ماشینی BC-M019</t>
  </si>
  <si>
    <t>فرش ماشینی BC-M020</t>
  </si>
  <si>
    <t>300*200</t>
  </si>
  <si>
    <t>فرش ماشینی BC-M021</t>
  </si>
  <si>
    <t>فرش گلیم  کرم KC-R022</t>
  </si>
  <si>
    <t>340*240</t>
  </si>
  <si>
    <t>فرش گلیم  کرم KC-R023</t>
  </si>
  <si>
    <t>فرش ماشینیBC-M0024</t>
  </si>
  <si>
    <t>فرش ماشینی TMC-M025</t>
  </si>
  <si>
    <t>فرش ماشینی BC-M026</t>
  </si>
  <si>
    <t>فرش گلیم BC-R027</t>
  </si>
  <si>
    <t>فرش گلیم BC-R028</t>
  </si>
  <si>
    <t>فرش گلیم  BC-R030</t>
  </si>
  <si>
    <t>فرش گلیم BC-R031</t>
  </si>
  <si>
    <t>180*120</t>
  </si>
  <si>
    <t>فرش ماشینی BC-M032</t>
  </si>
  <si>
    <t>فرش ماشینی BC-M033</t>
  </si>
  <si>
    <t>فرش ماشینی BC-M034</t>
  </si>
  <si>
    <t>فرش ماشینی  آبی TC-M035</t>
  </si>
  <si>
    <t>فرش گلیم  ذغالی KC-M036</t>
  </si>
  <si>
    <t>فرش گلیم  ذغالی KC-M037</t>
  </si>
  <si>
    <t>140*200</t>
  </si>
  <si>
    <t>فرش گلیم BC-R038</t>
  </si>
  <si>
    <t>فرش ماشینی BC-M039</t>
  </si>
  <si>
    <t>فرش ماشینی طلایی خاکستری IRC-M040</t>
  </si>
  <si>
    <t>225*150</t>
  </si>
  <si>
    <t>فرش گلیم BC-R041</t>
  </si>
  <si>
    <t>فرش ماشینی BC-M042</t>
  </si>
  <si>
    <t>فرش ماشینی BC-M043</t>
  </si>
  <si>
    <t>170*120</t>
  </si>
  <si>
    <t>فرش ماشینی BC-M044</t>
  </si>
  <si>
    <t>فرش ماشینی BC-M045</t>
  </si>
  <si>
    <t>گلیم دست بافت  خاکستری CC-R046</t>
  </si>
  <si>
    <t>گلیم دست بافت  مشکی CC-R047</t>
  </si>
  <si>
    <t>فرش دست بافت AC-R048</t>
  </si>
  <si>
    <t>فرش ماشینی BC-M050</t>
  </si>
  <si>
    <t>فرش ماشینی BC-M051</t>
  </si>
  <si>
    <t>فرش گلیم BC-M052</t>
  </si>
  <si>
    <t>فرش ماشینی  مشکی TC-M053</t>
  </si>
  <si>
    <t>گلیم دست بافت خاکستری CC-R054</t>
  </si>
  <si>
    <t>گلیم دست بافت  مشکی CC-R055</t>
  </si>
  <si>
    <t>گلیم دست بافت AC-R056</t>
  </si>
  <si>
    <t>فرش ماشینی  BC-M057</t>
  </si>
  <si>
    <t>فرش ماشینی BC-M058</t>
  </si>
  <si>
    <t>فرش ماشینی BC-M002(200*300)</t>
  </si>
  <si>
    <t>فرش گلیم BC-R060</t>
  </si>
  <si>
    <t>فرش گلیم BC-R061</t>
  </si>
  <si>
    <t>فرش گلیم BC-R062</t>
  </si>
  <si>
    <t>فرش گلیم BC-R064</t>
  </si>
  <si>
    <t>گلیم دست بافت خاکستری CC-R065</t>
  </si>
  <si>
    <t>گلیم دست بافت  مشکی CC-R066</t>
  </si>
  <si>
    <t xml:space="preserve">گلیم دست بافت هندی AC-R067 </t>
  </si>
  <si>
    <t>فرش ماشینی  BC-M068</t>
  </si>
  <si>
    <t>فرش گلیم BC-R069</t>
  </si>
  <si>
    <t>فرش گلیم BC-R070</t>
  </si>
  <si>
    <t>فرش گلیم BC-R071</t>
  </si>
  <si>
    <t>فرش ماشینی مشکی TC-M072</t>
  </si>
  <si>
    <t>فرش گلیم کرم KC-R073</t>
  </si>
  <si>
    <t xml:space="preserve">فرش گلیم  کرم KC-R074 </t>
  </si>
  <si>
    <t>فرش ماشينی BC-M075</t>
  </si>
  <si>
    <t>120*170</t>
  </si>
  <si>
    <t>فرش ماشینی BC-M076</t>
  </si>
  <si>
    <t>فرش ماشینی BC-M077</t>
  </si>
  <si>
    <t>160*230</t>
  </si>
  <si>
    <t>گلیم دستبافت طرح برجسته هندی نسکافه ای(60*90)AC-R117</t>
  </si>
  <si>
    <t>گلیم دستبافت هندی کرم(200*300)AC-R124</t>
  </si>
  <si>
    <t>گلیم دستبافت هندی کرم ذغالی(200*300)AC-R124</t>
  </si>
  <si>
    <t>انبر سالاد چوبیDS-W496</t>
  </si>
  <si>
    <t>قاشق و چنگال  سالادچوبیDS-W497</t>
  </si>
  <si>
    <t>ست سرو سالادچوبیDS-W498</t>
  </si>
  <si>
    <t>کفگیر کیک چوبیDG-W499</t>
  </si>
  <si>
    <t>کارد کیک چوبیDG-W500</t>
  </si>
  <si>
    <t>کارد چوبیDB-W501</t>
  </si>
  <si>
    <t>چنگال چوبیDC-W502</t>
  </si>
  <si>
    <t>کارد دیپ چوبیDB-W503</t>
  </si>
  <si>
    <t>آباژور رومیزی شیشه ای مشکی TL-G014</t>
  </si>
  <si>
    <t>آباژور رومیزی شیشه ای مشکی TL-G015</t>
  </si>
  <si>
    <t>آباژور رومیزی سنگی سفید TL-S016</t>
  </si>
  <si>
    <t>35*35</t>
  </si>
  <si>
    <t>آباژور رومیزی سرامیکی کرم TL-CR018</t>
  </si>
  <si>
    <t>30*30</t>
  </si>
  <si>
    <t>آباژور رومیزی سفالی کرم TL-C022</t>
  </si>
  <si>
    <t>آباژور رومیزی سفالی خاکی TL-C023</t>
  </si>
  <si>
    <t>آباژور رومیزی چوبی مشکی TL-W121</t>
  </si>
  <si>
    <t>آباژور رومیزی سفالی TL-C169</t>
  </si>
  <si>
    <t>آباژور رومیزی عصایی سنگ مشکی TL-S191</t>
  </si>
  <si>
    <t>آباژور رومیزی چوبی TL-W196</t>
  </si>
  <si>
    <t>آباژور رومیزی سنگی مشکی استوانه TL-S198</t>
  </si>
  <si>
    <t>آباژور ایستاده چوبی FL-W069</t>
  </si>
  <si>
    <t>آباژور ایستاده فلزی طلاییFL-M117</t>
  </si>
  <si>
    <t>آباژور کنار سالنی عصایی سنگ مشکی FL-S192</t>
  </si>
  <si>
    <t>آباژور ایستاده سنگی مشکیFL-S218</t>
  </si>
  <si>
    <t>لوستر روشنایی فلز رزگلد CL-M111</t>
  </si>
  <si>
    <t>لوستر روشنایی فلز طلاییCL-M113</t>
  </si>
  <si>
    <t>90*73</t>
  </si>
  <si>
    <t>لوستر روشنایی فلز طلاییCL-M114</t>
  </si>
  <si>
    <t>لوستر روشنایی فلز مشکی CL-M116</t>
  </si>
  <si>
    <t>لوستر روشنایی چوب و فلز آنتیک CL-MW143</t>
  </si>
  <si>
    <t>لوستر روشنایی فلز مشکی LL-M149</t>
  </si>
  <si>
    <t>90*35</t>
  </si>
  <si>
    <t>لوستر روشنایی فلز مشکی LL-M150</t>
  </si>
  <si>
    <t>120*35</t>
  </si>
  <si>
    <t xml:space="preserve">لوستر روشنایی فلز مشکی CL-M155 </t>
  </si>
  <si>
    <t>لوستر روشنایی  فلزی مشکی CL-M157</t>
  </si>
  <si>
    <t xml:space="preserve">لوستر روشنایی فلزی ذغالیCL-M163 </t>
  </si>
  <si>
    <t>قطر 80</t>
  </si>
  <si>
    <t>لوستر روشنایی فلزی مشکی CL-M164</t>
  </si>
  <si>
    <t>قطر 60</t>
  </si>
  <si>
    <t>لوستر روشنایی فلزی گرد مشکی CL-M168 (15 عددی)</t>
  </si>
  <si>
    <t>لوستر روشنايي فلزي طلايی CL-M179 (16 شعله)</t>
  </si>
  <si>
    <t>لوستر روشنایی چوب و فلز ذغالسنگی CL-W181</t>
  </si>
  <si>
    <t>لوستر گرد فلزی فریم مشکیCL-M194</t>
  </si>
  <si>
    <t>75*75</t>
  </si>
  <si>
    <t>لوستر روشنایی فلزی طلایی CL-M195</t>
  </si>
  <si>
    <t>60*60</t>
  </si>
  <si>
    <t>لوستر روشنایی فلزی مشکی CL-M212 (قطر 50)</t>
  </si>
  <si>
    <t>بیسموت</t>
  </si>
  <si>
    <t xml:space="preserve"> آویز روشنایی سرامیکی سفید PL-CR102</t>
  </si>
  <si>
    <t>18*126</t>
  </si>
  <si>
    <t xml:space="preserve"> آویز روشنایی چرم عسلی تیره PL-L105</t>
  </si>
  <si>
    <t>26*149</t>
  </si>
  <si>
    <t>لاینر روشنایی فلز مشکی LL-M110</t>
  </si>
  <si>
    <t>لاینر روشنایی فلزی مشکیLL-M167 (33 عددی)</t>
  </si>
  <si>
    <t xml:space="preserve"> روشنایی دیواری فلزی طلاییWL-M166</t>
  </si>
  <si>
    <t>چراغ دیواری آکاردئونی استیل دودی WL-ST220</t>
  </si>
  <si>
    <t>روشنایی دیواری شیشه ای رنگی بزرگ WL-G222</t>
  </si>
  <si>
    <t>روشنایی دیواری شیشه ای رنگی بزرگ WL-G223</t>
  </si>
  <si>
    <t>روشنایی دیواری شیشه ای بی رنگ بزرگ WL-G224</t>
  </si>
  <si>
    <t>نیمکت پلای وود خودرنگ DF-W363</t>
  </si>
  <si>
    <t>میز کنارمبلی پلای وود گردویی تیرهDT-W469</t>
  </si>
  <si>
    <t>میز کنار مبلی آلومنیومی نقره ای DT-A003</t>
  </si>
  <si>
    <t>میز دکوراتیو سرو صبحانه چوبی بادامی DT-W410</t>
  </si>
  <si>
    <t>میز دکوراتیو سرو صبحانه چوبی دودی DT-W411</t>
  </si>
  <si>
    <t>جا مجله ای / میز دکواتیو چوبی بادامی DT-W455</t>
  </si>
  <si>
    <t>جا مجله ای / میز دکواتیو چوبی مشکی DT-W458</t>
  </si>
  <si>
    <t>شال مبل ساتن ST-S009</t>
  </si>
  <si>
    <t>شال مبل سبز طوسی ST-T034</t>
  </si>
  <si>
    <t>شال مبل کرم ST-T040</t>
  </si>
  <si>
    <t>شال مبل خز ببری کرم ST-F057</t>
  </si>
  <si>
    <t>شال مبل کرم ST-T089</t>
  </si>
  <si>
    <t>شال مبل دستبافت طوسیST-T112</t>
  </si>
  <si>
    <t>شال مبل دستبافت کرمST-T113</t>
  </si>
  <si>
    <t>رانر کتان/RT-C074</t>
  </si>
  <si>
    <t>رانر کتان/RT-C076</t>
  </si>
  <si>
    <t>رانر لینن سبز RT-C102</t>
  </si>
  <si>
    <t>رانر لینن طوسی RT-C104</t>
  </si>
  <si>
    <t>رانر لینن طوسی RT-C105</t>
  </si>
  <si>
    <t>رانر الیاف طبیعی RT-F107</t>
  </si>
  <si>
    <t>رانر الیاف طبیعی  RT-F108</t>
  </si>
  <si>
    <t>رانر لینن قهوه ای(140)RT-F133</t>
  </si>
  <si>
    <t>رانر لینن قهوه ای(180)RT-C134</t>
  </si>
  <si>
    <t>رانر لینن سرمه ای(140)RT-C136</t>
  </si>
  <si>
    <t>رانر لینن سرمه ای(180)RT-C137</t>
  </si>
  <si>
    <t>دستمال سفره کتان NT-C055</t>
  </si>
  <si>
    <t>حلقه دستمال نقره ای DR-M057</t>
  </si>
  <si>
    <t>دستمال سفره لینن طوسیNT-C106</t>
  </si>
  <si>
    <t>زیر بشقابی</t>
  </si>
  <si>
    <t>زیر بشقابی الیاف طبیعی NT-F109</t>
  </si>
  <si>
    <t>40*30</t>
  </si>
  <si>
    <t>دستمال سفره لینن قهوه ایRT-C135</t>
  </si>
  <si>
    <t>حلقه دستمال چرم طبیعیDR-L543</t>
  </si>
  <si>
    <t>کوسن ساتن سفید CT-S018</t>
  </si>
  <si>
    <t>کوسن مخمل گلدوزی سبز آبی CT-V020</t>
  </si>
  <si>
    <t>کوسن مخمل گلدوزی مشکی CT-V025</t>
  </si>
  <si>
    <t>کوسن خز روباهی CT-F061</t>
  </si>
  <si>
    <t>کوسن مخمل گلدوزی سبز CT-V066</t>
  </si>
  <si>
    <t>کوسن خز گرگی نسکافه ای CT-F084</t>
  </si>
  <si>
    <t>کوسن پارچه و چرم کرم CT-T086</t>
  </si>
  <si>
    <t>کوسن چرم و خز قهوه ای CT-LF088</t>
  </si>
  <si>
    <t>ظرف پذيرايي آلومنیومی نقره ای DP-A002</t>
  </si>
  <si>
    <t>کندی آلومنیومی دو سایز نقره ای DP-A013</t>
  </si>
  <si>
    <t>ظرف پذيرايي آلومنیومی نقره ای DP-A025</t>
  </si>
  <si>
    <t>ظرف پذيرايي سنگی مشکی DP-S060</t>
  </si>
  <si>
    <t>ظرف پذيرايي سنگی مشکی DP-S061</t>
  </si>
  <si>
    <t>ظرف پذيرايي چوبی آکاژو DP-W128 قطر35</t>
  </si>
  <si>
    <t>35*35*10</t>
  </si>
  <si>
    <t>ظرف پذيرايي چوبی آکاژو DP-W129 قطر25</t>
  </si>
  <si>
    <t>25*25*10</t>
  </si>
  <si>
    <t>ظرف پذيرايي چوبی آکاژو DP-W132 قطر12</t>
  </si>
  <si>
    <t>12*12*10</t>
  </si>
  <si>
    <t>کاسه بزرگ سرامیکی طوسی DP-CR160</t>
  </si>
  <si>
    <t>15*15*5/5</t>
  </si>
  <si>
    <t>بشقاب سرامیکی طوسی DP-CR164</t>
  </si>
  <si>
    <t>26*26</t>
  </si>
  <si>
    <t>پیش دستی سرامیکی کرم DP-CR165</t>
  </si>
  <si>
    <t>21*21</t>
  </si>
  <si>
    <t>پیش دستی سرامیکی سبز DP-CR166</t>
  </si>
  <si>
    <t>پیش دستی سرامیکی طوسی DP-CR167</t>
  </si>
  <si>
    <t>کاسه کوچک سرامیکی طوسی DP-CR171</t>
  </si>
  <si>
    <t>10*10*5/5</t>
  </si>
  <si>
    <t>ماگ سرامیکی نسکافه ای DP-CR203</t>
  </si>
  <si>
    <t>پیش دستی مثلثی سرامیکی نسکافه ای DP-CR207</t>
  </si>
  <si>
    <t>پیش دستی مثلثی سرامیکی کرم DP-CR212</t>
  </si>
  <si>
    <t>پیش دستی بیضی سرامیکی کرم DP-CR213</t>
  </si>
  <si>
    <t>ماگ سرامیکی کرمDP-CR216</t>
  </si>
  <si>
    <t>فنجان نعلبکی سرامیکی نسکافه ای DP-CR241</t>
  </si>
  <si>
    <t>ماگ سرامیکی کرم DP-CR244</t>
  </si>
  <si>
    <t>کاسه بزرگ سرامیکی ذغالی DP-CR245</t>
  </si>
  <si>
    <t>ظرف پذيرايي آلومنیومی کوچک نقره ای DP-A297</t>
  </si>
  <si>
    <t>23*15*12</t>
  </si>
  <si>
    <t>اردو خوری آلومنیومی نقره ایDP-A303</t>
  </si>
  <si>
    <t>43*9/5*6/5</t>
  </si>
  <si>
    <t>ظرف پذيرايي آلومنیومی دوسایز نقره ای DP-A305</t>
  </si>
  <si>
    <t>سینی آلومنیومی نقره ای DP-A309</t>
  </si>
  <si>
    <t>40*37*3</t>
  </si>
  <si>
    <t>ظرف پذيرايي آلومنیومی متوسط نقره ای DP-A311</t>
  </si>
  <si>
    <t>55*14*29</t>
  </si>
  <si>
    <t>قاشق عسل فلزی DS-M319</t>
  </si>
  <si>
    <t>ظرف سرو سرامیکی سفید لعاب طلا DP-CR354</t>
  </si>
  <si>
    <t>کاسه چوبی DP-W358</t>
  </si>
  <si>
    <t>25*25</t>
  </si>
  <si>
    <t>کاسه بزرگ سرامیکی سبز DP-CR429</t>
  </si>
  <si>
    <t>کاسه بزرگ سرامیکی طوسی DP-CR430</t>
  </si>
  <si>
    <t>کاسه بزرگ سرامیکی کرم DP-CR431</t>
  </si>
  <si>
    <t>ظرف پذیرایی لبه بلندسنگی گردان DP-S451</t>
  </si>
  <si>
    <t>30*30*12</t>
  </si>
  <si>
    <t>ظرف پذیرایی لبه کوتاه سنگی گردان DP-S452</t>
  </si>
  <si>
    <t>30*30*3</t>
  </si>
  <si>
    <t>کاپ سرامیکی مشکی کرمDP-CR462</t>
  </si>
  <si>
    <t xml:space="preserve"> شاخه گل فومی AF-F007</t>
  </si>
  <si>
    <t>پامپاس طلایی AF-L008</t>
  </si>
  <si>
    <t>شاخه برگ AF-L009</t>
  </si>
  <si>
    <t>شاخه گل ليسينتوس AF-F013</t>
  </si>
  <si>
    <t>شاخه گل سوسن AF-F014</t>
  </si>
  <si>
    <t>شاخه گل پئونی AF-F015</t>
  </si>
  <si>
    <t>شاخه بری سبز ماتAF-L017</t>
  </si>
  <si>
    <t>شاخه تزئینیAF-L018</t>
  </si>
  <si>
    <t>شاخه رز یاسی AF-F020</t>
  </si>
  <si>
    <t>شاخه پامپاس جاروییAF-L021</t>
  </si>
  <si>
    <t>شاخه برگ جز رنگیAF-L024</t>
  </si>
  <si>
    <t>شاخه رز ژولیت نسکافه ایAF-F025</t>
  </si>
  <si>
    <t>شاخه برگ کرم AF-L028</t>
  </si>
  <si>
    <t>درختچه بزرگ مصنوعی</t>
  </si>
  <si>
    <t>درختچه متوسط مصنوعی کد 5028</t>
  </si>
  <si>
    <t>گلدان سفالی کوچک DV-C046</t>
  </si>
  <si>
    <t>گلدان سفالی کوچک DV-C047</t>
  </si>
  <si>
    <t>گلدان سفالی کوچک DV-C048</t>
  </si>
  <si>
    <t>گلدان سفالی کوچک DV-C049</t>
  </si>
  <si>
    <t>گلدان سفالی کوچک DV-C050</t>
  </si>
  <si>
    <t>گلدان آلومنیومی نقره ای DV-A055</t>
  </si>
  <si>
    <t>گلدان آلومنیومی نقره ای DV-A056</t>
  </si>
  <si>
    <t>گلدان سنگی کوچک مشکی DV-S064</t>
  </si>
  <si>
    <t>گلدان سنگی بزرگ مشکی DV-S065</t>
  </si>
  <si>
    <t>گلدان سرامیکی مشکی DV-CR175</t>
  </si>
  <si>
    <t xml:space="preserve"> ست گلدان سفالی کرم DV-C178</t>
  </si>
  <si>
    <t xml:space="preserve"> ست گلدان سفالی سفید DV-C179</t>
  </si>
  <si>
    <t>گلدان سفالی کرم DV-C237</t>
  </si>
  <si>
    <t>گلدان سفالی طوسی DV-C261</t>
  </si>
  <si>
    <t>گلدان سفالی طوسی DV-C262</t>
  </si>
  <si>
    <t>گلدان سه سایز آلومنیومی نقره ای DV-A295</t>
  </si>
  <si>
    <t>گلدان سه سایز آلومنیومی طلایی DV-A296</t>
  </si>
  <si>
    <t>گلدان آلومنیومی نقره ای DV-A308</t>
  </si>
  <si>
    <t>25*25*42/5</t>
  </si>
  <si>
    <t>گلدان سنگی گردان DV-S454</t>
  </si>
  <si>
    <t>15*15*25</t>
  </si>
  <si>
    <t>گلدان خمره ای چهار دسته بزرگ کرم خاکیDV-C466</t>
  </si>
  <si>
    <t>ارتفاع 90</t>
  </si>
  <si>
    <t>گلدان شیاردار آلومنیومی نقره ای DV-A471</t>
  </si>
  <si>
    <t>شمعدان  5 شعله آلومنیومی نقره ای DC-A012</t>
  </si>
  <si>
    <t>شمعدان 3 شعله آلومنیومی طلایی DC-A051</t>
  </si>
  <si>
    <t>شمعدان آلومنیومی کوچک نقره ای DC-A053</t>
  </si>
  <si>
    <t>جاشمعی سفالی سفید DC-CR176</t>
  </si>
  <si>
    <t>جاشمعی سفالی سفید DC-C183</t>
  </si>
  <si>
    <t>جاشمعی سفالی کرم DC-C186</t>
  </si>
  <si>
    <t>جاشمعی سفالی سفید DC-C187</t>
  </si>
  <si>
    <t>جاشمعی سفالی کرم DC-C188</t>
  </si>
  <si>
    <t>جاشمعی سفالی کرم DC-C190</t>
  </si>
  <si>
    <t>جاشمعی سفالی مشکی DC-C191</t>
  </si>
  <si>
    <t>شمعدان سنگی مشکی DP-CR208</t>
  </si>
  <si>
    <t>شمعدان سنگی مشکی DC-S209</t>
  </si>
  <si>
    <t>شمعدان سنگی سفید مشکی DC-S210</t>
  </si>
  <si>
    <t>ست سه سایز جاشمعی (U) چوبی مشکی DC-W415</t>
  </si>
  <si>
    <t>ست جاشمعی سنگی DC-S447</t>
  </si>
  <si>
    <t>شمعدان ایستاده کنارسالنی چوبی80خودرنگ سندبلاستDC-W493</t>
  </si>
  <si>
    <t>شمعدان ایستاده کنارسالنی چوبی70خودرنگ سند بلاستDC-W494</t>
  </si>
  <si>
    <t>شمعدان ایستاده کنار سالنی چوبی60خودرنگ سند بلاستDC-W495</t>
  </si>
  <si>
    <t>عودسوز چوبی خودرنگDC-W137</t>
  </si>
  <si>
    <t>عودسوز چوبی متوسط خودرنگ DC-W138</t>
  </si>
  <si>
    <t>عودسوز چوبی کوچک خودرنگ DC-W139</t>
  </si>
  <si>
    <t>عودسوز فلزی DC-M320</t>
  </si>
  <si>
    <t>تابلو نقاشی دکوراتیو(120*150)TD-P019</t>
  </si>
  <si>
    <t>تابلو نقاشی دکوراتیو(100*150)TD-P020</t>
  </si>
  <si>
    <t>تابلو نقاشی دکوراتیو(130*180)TD-P021</t>
  </si>
  <si>
    <t>تابلو نقاشی دکوراتیو(150*150)TD-P022</t>
  </si>
  <si>
    <t xml:space="preserve"> تابلو پاپیه ماشه دکوراتیو (150*150)TD-P024</t>
  </si>
  <si>
    <t xml:space="preserve"> تابلو پاپیه ماشه دکوراتیو (150*100)TD-P025</t>
  </si>
  <si>
    <t xml:space="preserve"> تابلو پاپیه ماشه دکوراتیو (150*200)TD-P026</t>
  </si>
  <si>
    <t>ساعت دیواری چوبی سبز آبی WC-W002</t>
  </si>
  <si>
    <t>30*30*3/5</t>
  </si>
  <si>
    <t>ساعت رومیزی چوبی سبز آبی TC-W004</t>
  </si>
  <si>
    <t>13/5*13/5*3/5</t>
  </si>
  <si>
    <t>ساعت رومیزی چوبی خود رنگ TC-W008</t>
  </si>
  <si>
    <t>13*13*3/5</t>
  </si>
  <si>
    <t>آینه قدی مستطیل چوبی پتینه وایت واشDM-W391</t>
  </si>
  <si>
    <t>169*55*57</t>
  </si>
  <si>
    <t>آینه قدی مستطیل چوبی دودی DM-W393</t>
  </si>
  <si>
    <t>آینه قدی مستطیل چوبی مشکی DM-W394</t>
  </si>
  <si>
    <t>آینه قدی بیضی چوبی پتینه وایت واشDM-W434</t>
  </si>
  <si>
    <t>آینه قدی بیضی چوبی مشکی DM-W437</t>
  </si>
  <si>
    <t>استند اسب DS-R014</t>
  </si>
  <si>
    <t>استند زِئوس DS-R015</t>
  </si>
  <si>
    <t>استند کوین بزرگ DS-R016</t>
  </si>
  <si>
    <t>استند کوین کوچک DS-R017</t>
  </si>
  <si>
    <t>استند فلزی مشکی DS-M195</t>
  </si>
  <si>
    <t>استند فلزی مشکی DS-M197</t>
  </si>
  <si>
    <t>استند فلزی طلایی DS-M198</t>
  </si>
  <si>
    <t>استند اسب چوبی مشکی DS-W201</t>
  </si>
  <si>
    <t>استند دکوراتیو چوبی DS-W263</t>
  </si>
  <si>
    <t>استند ستاره دریایی DS-N263</t>
  </si>
  <si>
    <t>استند روزنامه فلز و چرم قهوه ای DS-L/M325</t>
  </si>
  <si>
    <t>استند جامجله ای(U) چوبی دودی DS-W404</t>
  </si>
  <si>
    <t>ست هلدر کتاب دودی DS-W408</t>
  </si>
  <si>
    <t>آشیانه حیوانات پلای وود مشکیDP-W489</t>
  </si>
  <si>
    <t>کارد و چنگال</t>
  </si>
  <si>
    <t>1405/02/23</t>
  </si>
  <si>
    <t>3-6</t>
  </si>
  <si>
    <t>8</t>
  </si>
  <si>
    <t>13-14</t>
  </si>
  <si>
    <t>15-16</t>
  </si>
  <si>
    <t>17-19</t>
  </si>
  <si>
    <t>21-23</t>
  </si>
  <si>
    <t>24</t>
  </si>
  <si>
    <t>25-26</t>
  </si>
  <si>
    <t>26</t>
  </si>
  <si>
    <t>31-34</t>
  </si>
  <si>
    <t>(1405/02/23)</t>
  </si>
  <si>
    <t>لیست قیمت تشک حذف از تولید</t>
  </si>
  <si>
    <t>مبل ویلو (بدون پارچه)</t>
  </si>
  <si>
    <t>مبل ویلو (با پارچه)</t>
  </si>
  <si>
    <t>مبلمان پازلی ویلو (یک عدد دو نفره سمت راست/چپ +یک عدد دو نفره بدون دسته+ یک عدد شزلون +یک عدد پاف+ یک عدد میز کنار مبلی)</t>
  </si>
  <si>
    <t>کاناپه دونفره سمت راست ویلو (2 عدد کوسن)</t>
  </si>
  <si>
    <t>کاناپه دونفره سمت چپ ویلو  (2 عدد کوسن)</t>
  </si>
  <si>
    <t>کاناپه دونفره بدون دسته ویلو (1 عدد کوسن)</t>
  </si>
  <si>
    <t>مبل تک‌نفره ویلو</t>
  </si>
  <si>
    <t>مبل کنج ویلو (1 عدد کوسن)</t>
  </si>
  <si>
    <t>شزلون ویلو سمت راست (1 عدد کوسن)</t>
  </si>
  <si>
    <t>شزلون ویلو سمت چپ (1 عدد کوسن)</t>
  </si>
  <si>
    <t>پاف ویلو</t>
  </si>
  <si>
    <t>میز کنارمبلی مستطیل ویلو</t>
  </si>
  <si>
    <t>میز کنارمبلی مربع ویلو</t>
  </si>
  <si>
    <t>متراژ پارچه کاناپه دونفره سمت راست / چپ (فریم و کف 8 متر + کوسن 1 متر)</t>
  </si>
  <si>
    <t>متراژ پارچه کاناپه دونفره بدون دسته (فریم و کف 7 متر + کوسن 0.5 متر)</t>
  </si>
  <si>
    <t>متراژ پارچه مبل تک‌نفره (فریم و کف 3.5 متر)</t>
  </si>
  <si>
    <t>متراژ پارچه مبل کنج (فریم و کف 6 متر + کوسن 0.5 متر)</t>
  </si>
  <si>
    <t>متراژ پارچه شزلون سمت راست / چپ (فریم و کف 7 متر + کوسن 0.5 متر)</t>
  </si>
  <si>
    <t>متراژ پارچه پاف (2 متر)</t>
  </si>
  <si>
    <t>7.5 متر</t>
  </si>
  <si>
    <t>متراژ پارچه کاناپه دونفره بدون دسته (فریم و کف 7 متر + کوسن  0.5 متر)</t>
  </si>
  <si>
    <t>2110120900</t>
  </si>
  <si>
    <t xml:space="preserve">  میز جلومبلی مستطیل بدون کشو پیناس</t>
  </si>
  <si>
    <t>2110120800</t>
  </si>
  <si>
    <t xml:space="preserve">  میز جلومبلی مربع بدون کشو پیناس</t>
  </si>
  <si>
    <t>مبلمان سولو (با پارچه)</t>
  </si>
  <si>
    <t>ترولی سولو</t>
  </si>
  <si>
    <t>2110090500</t>
  </si>
  <si>
    <t>میز جلو مبلی مستطیل مورا</t>
  </si>
  <si>
    <t>2110170400</t>
  </si>
  <si>
    <t xml:space="preserve">میز جلومبلی میپل </t>
  </si>
  <si>
    <t>2110170600</t>
  </si>
  <si>
    <t xml:space="preserve">میز کنارمبلی میپل </t>
  </si>
  <si>
    <t xml:space="preserve">  مبل هفت نفره میپل ( یکعدد سه  نفره + یکعدد دو نفره + دو عدد یک نفره + یک عدد میز جلو مبلی + یک عدد میز کنار مبلی )</t>
  </si>
  <si>
    <t>آلدر (با پارچه )</t>
  </si>
  <si>
    <t>آلدر (بدون پارچه )</t>
  </si>
  <si>
    <t>میز چهارنفره آلدر</t>
  </si>
  <si>
    <t>تخت خواب / 180 ساپن</t>
  </si>
  <si>
    <t>دراور شش کشو ساپن</t>
  </si>
  <si>
    <t>اختلاف قیمت سرتخت چوب ساپن / 160 و 180</t>
  </si>
  <si>
    <t>متراژ پارچه سرتخت ساپن / 160 و 180</t>
  </si>
  <si>
    <t>تخت خواب / 120 فولیا سرتخت چوبی</t>
  </si>
  <si>
    <t>تخت خواب / 120 فولیا سرتخت پارچه</t>
  </si>
  <si>
    <t>2130052500</t>
  </si>
  <si>
    <t>2130052400</t>
  </si>
  <si>
    <t xml:space="preserve">  تخت خواب / 180 سلتیس</t>
  </si>
  <si>
    <t xml:space="preserve">  تخت خواب / 160 سلتیس</t>
  </si>
  <si>
    <t>2130050100</t>
  </si>
  <si>
    <t xml:space="preserve">  دراور میز آرایش اصلی سلتیس</t>
  </si>
  <si>
    <t>2130050600</t>
  </si>
  <si>
    <t xml:space="preserve">   قاب آینه اصلی سلتیس</t>
  </si>
  <si>
    <t>2130050800</t>
  </si>
  <si>
    <t xml:space="preserve">  صندلی میز آرایش سلتیس</t>
  </si>
  <si>
    <t>2130050400</t>
  </si>
  <si>
    <t xml:space="preserve">  پاتختی سلتیس</t>
  </si>
  <si>
    <t>2130054500</t>
  </si>
  <si>
    <t xml:space="preserve">  نگه‌دارنده قاب آینه دراور میز آرایش اصلی سلتیس</t>
  </si>
  <si>
    <t>0.6 متر</t>
  </si>
  <si>
    <t>لوان</t>
  </si>
  <si>
    <t>تخت خواب / 180 لوآن</t>
  </si>
  <si>
    <t>دراور میز آرایش اصلی لوآن</t>
  </si>
  <si>
    <t>قاب آینه اصلی لوآن</t>
  </si>
  <si>
    <t>صندلی میز آرایش لوآن</t>
  </si>
  <si>
    <t>پاتختی لوآن</t>
  </si>
  <si>
    <t>دراور شش کشو لوآن</t>
  </si>
  <si>
    <t>لاوست لوآن</t>
  </si>
  <si>
    <t>نگه‌دارنده  قاب آینه دراور میز آرایش اصلی لوآن</t>
  </si>
  <si>
    <t>متراژ پارچه سرتخت لوآن / 180</t>
  </si>
  <si>
    <t>متراژ پارچه لاوست لوآن</t>
  </si>
  <si>
    <t>متراژ پارچه صندلی میز آرایش لوآن</t>
  </si>
  <si>
    <t>4 متر</t>
  </si>
  <si>
    <t>آمارانت</t>
  </si>
  <si>
    <t>آلدر</t>
  </si>
  <si>
    <t>تخت خواب / 140 آلدر</t>
  </si>
  <si>
    <t>متراژ پارچه سرتخت آلدر 140</t>
  </si>
  <si>
    <t>میز تلویزیون آلدر / 168</t>
  </si>
  <si>
    <t>سرویس ملحفه دو نفره شش تکه لیاتریس</t>
  </si>
  <si>
    <t>تشک پاندورا</t>
  </si>
  <si>
    <t>تشک 90*200 پاندورا</t>
  </si>
  <si>
    <t>هیبرید</t>
  </si>
  <si>
    <t>تشک 120*200 پاندورا</t>
  </si>
  <si>
    <t>تشک 140*200 پاندورا</t>
  </si>
  <si>
    <t>تشک 160*200 پاندورا</t>
  </si>
  <si>
    <t>تشک 180*200 پاندورا</t>
  </si>
  <si>
    <t>پتو یک نفره رینبو سبز روشن</t>
  </si>
  <si>
    <t>پتو یک نفره رینبو آبی</t>
  </si>
  <si>
    <t>پتو یک نفره رینبو بژ</t>
  </si>
  <si>
    <t xml:space="preserve"> مبل یک نفره سیپو ( بدون کوسن )</t>
  </si>
  <si>
    <t>21101207000000</t>
  </si>
  <si>
    <t>2110191800</t>
  </si>
  <si>
    <t xml:space="preserve">  دراور میز آرایش اصلی جیوا </t>
  </si>
  <si>
    <t>2130090800</t>
  </si>
  <si>
    <t>2130090500</t>
  </si>
  <si>
    <t>2130090900</t>
  </si>
  <si>
    <t>شلف باکس / 210 دو طرفه ( شامل دو عدد باکس اصلی210 + شلف اصلی طبقه بالا و پایین 118 + دو عدد باکس داخلی75 + دو عدد باکس داخلی 55 + سه عدد شلف طبقه 90 + یک عدد شلف طبقه 60 )</t>
  </si>
  <si>
    <t>شلف باکس / 210 یک طرفه ( شامل یک عدد باکس اصلی210 + شلف اصلی طبقه بالا و پایین 118 + یک عدد باکس داخلی75 + یک عدد باکس داخلی 55 + سه عدد شلف طبقه 90 + یک عدد شلف طبقه 60 + یک عدد ستون 210 )</t>
  </si>
  <si>
    <t>شلف استند /  210( شامل شلف اصلی طبقه بالا و پایین 118 + سه عدد شلف طبقه 90 + یک عدد شلف طبقه 60 + دو عدد ستون 210 )</t>
  </si>
  <si>
    <t>شلف باکس / 120 دو طرفه ( شامل دو عدد باکس اصلی120 + شلف اصلی طبقه بالا و پایین 118 + دو عدد باکس داخلی62 + یک عدد شلف طبقه 90  )</t>
  </si>
  <si>
    <t>شلف باکس / 120 یک طرفه  ( شامل یک عدد باکس اصلی120 + شلف اصلی طبقه بالا و پایین 118 + یک عدد باکس داخلی62 + یک عدد شلف طبقه 90 + یک عدد ستون 120  )</t>
  </si>
  <si>
    <t>شلف استند / 120 ( شامل شلف اصلی طبقه بالا و پایین 118 + یک عدد شلف طبقه 90 + یک عدد شلف طبقه 60 + دو عدد ستون 120  )</t>
  </si>
  <si>
    <t>تاریخ:1405/06/14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</si>
</sst>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\ #,##0_);_(\ \(#,##0\);_(\ &quot;-&quot;??_);_(@_)"/>
    <numFmt numFmtId="165" formatCode="_(\ #,##0_);_(\ \(#,##0\);_(&quot;-&quot;??_);_(@_)"/>
    <numFmt numFmtId="166" formatCode="_(* #,##0_);_(* \(#,##0\);_(* &quot;-&quot;??_);_(@_)"/>
  </numFmts>
  <fonts count="4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w_Nian"/>
    </font>
    <font>
      <b/>
      <sz val="11"/>
      <color theme="0"/>
      <name val="w_Nian"/>
    </font>
    <font>
      <sz val="11"/>
      <name val="w_Nian"/>
    </font>
    <font>
      <sz val="11"/>
      <color theme="1"/>
      <name val="w_Nian"/>
    </font>
    <font>
      <sz val="11"/>
      <color theme="1"/>
      <name val="Calibri"/>
      <family val="2"/>
      <scheme val="minor"/>
    </font>
    <font>
      <b/>
      <sz val="14"/>
      <color theme="0"/>
      <name val="w_Nian"/>
    </font>
    <font>
      <sz val="14"/>
      <color theme="1"/>
      <name val="w_Nian"/>
    </font>
    <font>
      <sz val="14"/>
      <color theme="1"/>
      <name val="Calibri"/>
      <family val="2"/>
      <scheme val="minor"/>
    </font>
    <font>
      <b/>
      <sz val="65"/>
      <color theme="1"/>
      <name val="B Nazanin"/>
      <charset val="178"/>
    </font>
    <font>
      <sz val="65"/>
      <color theme="3" tint="-0.499984740745262"/>
      <name val="B Nazanin"/>
      <charset val="178"/>
    </font>
    <font>
      <b/>
      <sz val="65"/>
      <color theme="3" tint="-0.499984740745262"/>
      <name val="B Nazanin"/>
      <charset val="178"/>
    </font>
    <font>
      <b/>
      <sz val="22"/>
      <color theme="1"/>
      <name val="B Nazanin"/>
      <charset val="178"/>
    </font>
    <font>
      <b/>
      <sz val="22"/>
      <color theme="0"/>
      <name val="B Nazanin"/>
      <charset val="178"/>
    </font>
    <font>
      <b/>
      <sz val="22"/>
      <color theme="3" tint="-0.499984740745262"/>
      <name val="B Nazanin"/>
      <charset val="178"/>
    </font>
    <font>
      <sz val="22"/>
      <color theme="3" tint="-0.499984740745262"/>
      <name val="B Nazanin"/>
      <charset val="178"/>
    </font>
    <font>
      <b/>
      <sz val="18"/>
      <color theme="1"/>
      <name val="B Nazanin"/>
      <charset val="178"/>
    </font>
    <font>
      <b/>
      <sz val="18"/>
      <color theme="0"/>
      <name val="B Nazanin"/>
      <charset val="178"/>
    </font>
    <font>
      <b/>
      <sz val="18"/>
      <color indexed="9"/>
      <name val="B Nazanin"/>
      <charset val="178"/>
    </font>
    <font>
      <b/>
      <sz val="18"/>
      <color theme="3" tint="-0.499984740745262"/>
      <name val="B Nazanin"/>
      <charset val="178"/>
    </font>
    <font>
      <sz val="18"/>
      <color theme="3" tint="-0.499984740745262"/>
      <name val="B Nazanin"/>
      <charset val="178"/>
    </font>
    <font>
      <sz val="11"/>
      <color theme="1"/>
      <name val="B Nazanin"/>
      <charset val="178"/>
    </font>
    <font>
      <sz val="18"/>
      <color theme="1"/>
      <name val="Calibri"/>
      <family val="2"/>
      <scheme val="minor"/>
    </font>
    <font>
      <sz val="18"/>
      <color theme="1"/>
      <name val="B Nazanin"/>
      <charset val="178"/>
    </font>
    <font>
      <b/>
      <sz val="20"/>
      <color theme="1"/>
      <name val="B Nazanin"/>
      <charset val="178"/>
    </font>
    <font>
      <b/>
      <sz val="16"/>
      <color theme="1"/>
      <name val="B Nazanin"/>
      <charset val="178"/>
    </font>
    <font>
      <b/>
      <sz val="12"/>
      <color theme="1"/>
      <name val="B Nazanin"/>
      <charset val="178"/>
    </font>
    <font>
      <sz val="16"/>
      <color theme="1"/>
      <name val="Calibri"/>
      <family val="2"/>
      <scheme val="minor"/>
    </font>
    <font>
      <b/>
      <sz val="36"/>
      <color theme="1"/>
      <name val="B Nazanin"/>
      <charset val="178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  <font>
      <sz val="16"/>
      <color theme="1"/>
      <name val="B Nazanin"/>
      <charset val="178"/>
    </font>
    <font>
      <b/>
      <sz val="42"/>
      <color theme="1"/>
      <name val="B Nazanin"/>
      <charset val="178"/>
    </font>
    <font>
      <b/>
      <sz val="24"/>
      <color theme="1"/>
      <name val="B Nazanin"/>
      <charset val="178"/>
    </font>
    <font>
      <b/>
      <sz val="26"/>
      <color theme="1"/>
      <name val="B Nazanin"/>
      <charset val="178"/>
    </font>
    <font>
      <sz val="20"/>
      <color theme="1"/>
      <name val="B Nazanin"/>
      <charset val="178"/>
    </font>
    <font>
      <b/>
      <sz val="11"/>
      <color theme="1"/>
      <name val="B Nazanin"/>
      <charset val="178"/>
    </font>
    <font>
      <b/>
      <sz val="34"/>
      <color theme="1"/>
      <name val="B Nazanin"/>
      <charset val="178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w_Nian"/>
    </font>
    <font>
      <b/>
      <sz val="12"/>
      <color theme="0"/>
      <name val="w_Nian"/>
    </font>
    <font>
      <b/>
      <sz val="48"/>
      <color theme="1"/>
      <name val="B Nazanin"/>
      <charset val="178"/>
    </font>
  </fonts>
  <fills count="11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235D35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theme="5" tint="0.59999389629810485"/>
      </right>
      <top/>
      <bottom/>
      <diagonal/>
    </border>
    <border>
      <left style="thick">
        <color theme="5" tint="0.59999389629810485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79">
    <xf numFmtId="0" fontId="0" fillId="0" borderId="0" xfId="0"/>
    <xf numFmtId="0" fontId="3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/>
    </xf>
    <xf numFmtId="0" fontId="21" fillId="0" borderId="1" xfId="0" applyFont="1" applyBorder="1"/>
    <xf numFmtId="3" fontId="17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8" fillId="2" borderId="1" xfId="0" applyFont="1" applyFill="1" applyBorder="1" applyAlignment="1">
      <alignment horizontal="right" vertical="center" wrapText="1"/>
    </xf>
    <xf numFmtId="0" fontId="18" fillId="2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right" vertical="center" wrapText="1"/>
    </xf>
    <xf numFmtId="3" fontId="17" fillId="0" borderId="4" xfId="0" applyNumberFormat="1" applyFont="1" applyBorder="1" applyAlignment="1">
      <alignment horizontal="center" vertical="center"/>
    </xf>
    <xf numFmtId="3" fontId="17" fillId="3" borderId="0" xfId="0" applyNumberFormat="1" applyFont="1" applyFill="1" applyAlignment="1">
      <alignment horizontal="center" vertical="center"/>
    </xf>
    <xf numFmtId="0" fontId="21" fillId="0" borderId="1" xfId="0" applyFont="1" applyBorder="1" applyAlignment="1">
      <alignment horizontal="right" wrapText="1"/>
    </xf>
    <xf numFmtId="0" fontId="20" fillId="0" borderId="1" xfId="0" applyFont="1" applyBorder="1"/>
    <xf numFmtId="0" fontId="21" fillId="0" borderId="0" xfId="0" applyFont="1"/>
    <xf numFmtId="0" fontId="17" fillId="0" borderId="1" xfId="0" applyFont="1" applyBorder="1" applyAlignment="1">
      <alignment horizontal="right" vertical="center" wrapText="1"/>
    </xf>
    <xf numFmtId="3" fontId="17" fillId="0" borderId="0" xfId="0" applyNumberFormat="1" applyFont="1" applyAlignment="1">
      <alignment horizontal="center" vertical="center"/>
    </xf>
    <xf numFmtId="3" fontId="17" fillId="3" borderId="1" xfId="0" applyNumberFormat="1" applyFont="1" applyFill="1" applyBorder="1" applyAlignment="1">
      <alignment horizontal="right" vertical="center" wrapText="1"/>
    </xf>
    <xf numFmtId="0" fontId="20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right" vertical="center" wrapText="1"/>
    </xf>
    <xf numFmtId="0" fontId="13" fillId="3" borderId="0" xfId="0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49" fontId="5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22" fillId="7" borderId="0" xfId="0" applyFont="1" applyFill="1"/>
    <xf numFmtId="0" fontId="22" fillId="7" borderId="13" xfId="0" applyFont="1" applyFill="1" applyBorder="1"/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2" fillId="7" borderId="0" xfId="0" applyFont="1" applyFill="1" applyAlignment="1">
      <alignment wrapText="1"/>
    </xf>
    <xf numFmtId="0" fontId="22" fillId="7" borderId="13" xfId="0" applyFont="1" applyFill="1" applyBorder="1" applyAlignment="1">
      <alignment wrapText="1"/>
    </xf>
    <xf numFmtId="0" fontId="22" fillId="0" borderId="0" xfId="0" applyFont="1" applyAlignment="1">
      <alignment wrapText="1"/>
    </xf>
    <xf numFmtId="0" fontId="22" fillId="0" borderId="17" xfId="0" applyFont="1" applyBorder="1" applyAlignment="1">
      <alignment horizontal="center" vertical="center" wrapText="1"/>
    </xf>
    <xf numFmtId="164" fontId="22" fillId="0" borderId="0" xfId="1" applyNumberFormat="1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14" xfId="0" applyFont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30" fillId="0" borderId="0" xfId="0" applyFont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164" fontId="30" fillId="0" borderId="0" xfId="1" applyNumberFormat="1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17" xfId="0" applyFont="1" applyBorder="1" applyAlignment="1">
      <alignment horizontal="center" vertical="center" wrapText="1"/>
    </xf>
    <xf numFmtId="164" fontId="32" fillId="0" borderId="0" xfId="1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164" fontId="35" fillId="0" borderId="0" xfId="1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right" vertical="center"/>
    </xf>
    <xf numFmtId="49" fontId="35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9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64" fontId="42" fillId="0" borderId="1" xfId="1" applyNumberFormat="1" applyFont="1" applyBorder="1" applyAlignment="1">
      <alignment horizontal="center" vertical="center"/>
    </xf>
    <xf numFmtId="9" fontId="42" fillId="0" borderId="1" xfId="2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9" fontId="42" fillId="0" borderId="0" xfId="2" applyFont="1" applyAlignment="1">
      <alignment horizontal="center" vertical="center"/>
    </xf>
    <xf numFmtId="165" fontId="42" fillId="0" borderId="1" xfId="1" applyNumberFormat="1" applyFont="1" applyBorder="1" applyAlignment="1">
      <alignment horizontal="center" vertical="center"/>
    </xf>
    <xf numFmtId="0" fontId="9" fillId="0" borderId="1" xfId="0" applyFont="1" applyBorder="1"/>
    <xf numFmtId="9" fontId="9" fillId="0" borderId="1" xfId="2" applyFont="1" applyBorder="1" applyAlignment="1">
      <alignment horizontal="center" vertical="center"/>
    </xf>
    <xf numFmtId="0" fontId="9" fillId="0" borderId="9" xfId="0" applyFont="1" applyBorder="1"/>
    <xf numFmtId="9" fontId="9" fillId="0" borderId="10" xfId="2" applyFont="1" applyBorder="1" applyAlignment="1">
      <alignment horizontal="center" vertical="center"/>
    </xf>
    <xf numFmtId="0" fontId="9" fillId="0" borderId="11" xfId="0" applyFont="1" applyBorder="1"/>
    <xf numFmtId="9" fontId="9" fillId="0" borderId="12" xfId="2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43" fillId="0" borderId="0" xfId="2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64" fontId="24" fillId="0" borderId="0" xfId="1" applyNumberFormat="1" applyFont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1" fontId="4" fillId="8" borderId="19" xfId="0" applyNumberFormat="1" applyFont="1" applyFill="1" applyBorder="1" applyAlignment="1">
      <alignment horizontal="center"/>
    </xf>
    <xf numFmtId="1" fontId="5" fillId="8" borderId="20" xfId="0" applyNumberFormat="1" applyFont="1" applyFill="1" applyBorder="1" applyAlignment="1">
      <alignment horizontal="center" vertical="top"/>
    </xf>
    <xf numFmtId="0" fontId="5" fillId="8" borderId="20" xfId="0" applyFont="1" applyFill="1" applyBorder="1" applyAlignment="1">
      <alignment horizontal="center"/>
    </xf>
    <xf numFmtId="49" fontId="4" fillId="8" borderId="20" xfId="0" applyNumberFormat="1" applyFont="1" applyFill="1" applyBorder="1" applyAlignment="1">
      <alignment horizontal="center"/>
    </xf>
    <xf numFmtId="1" fontId="5" fillId="8" borderId="20" xfId="0" applyNumberFormat="1" applyFont="1" applyFill="1" applyBorder="1" applyAlignment="1">
      <alignment horizontal="center"/>
    </xf>
    <xf numFmtId="3" fontId="4" fillId="8" borderId="21" xfId="0" applyNumberFormat="1" applyFont="1" applyFill="1" applyBorder="1" applyAlignment="1">
      <alignment horizontal="center"/>
    </xf>
    <xf numFmtId="1" fontId="4" fillId="9" borderId="19" xfId="0" applyNumberFormat="1" applyFont="1" applyFill="1" applyBorder="1" applyAlignment="1">
      <alignment horizontal="center"/>
    </xf>
    <xf numFmtId="1" fontId="5" fillId="9" borderId="20" xfId="0" applyNumberFormat="1" applyFont="1" applyFill="1" applyBorder="1" applyAlignment="1">
      <alignment horizontal="center" vertical="top"/>
    </xf>
    <xf numFmtId="0" fontId="5" fillId="9" borderId="20" xfId="0" applyFont="1" applyFill="1" applyBorder="1" applyAlignment="1">
      <alignment horizontal="center"/>
    </xf>
    <xf numFmtId="49" fontId="4" fillId="9" borderId="20" xfId="0" applyNumberFormat="1" applyFont="1" applyFill="1" applyBorder="1" applyAlignment="1">
      <alignment horizontal="center"/>
    </xf>
    <xf numFmtId="1" fontId="5" fillId="9" borderId="20" xfId="0" applyNumberFormat="1" applyFont="1" applyFill="1" applyBorder="1" applyAlignment="1">
      <alignment horizontal="center"/>
    </xf>
    <xf numFmtId="3" fontId="4" fillId="9" borderId="2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30" fillId="0" borderId="17" xfId="0" applyFont="1" applyBorder="1" applyAlignment="1">
      <alignment vertical="center" wrapText="1"/>
    </xf>
    <xf numFmtId="164" fontId="30" fillId="0" borderId="18" xfId="1" applyNumberFormat="1" applyFont="1" applyBorder="1" applyAlignment="1">
      <alignment horizontal="center" vertical="center" wrapText="1"/>
    </xf>
    <xf numFmtId="9" fontId="9" fillId="0" borderId="0" xfId="2" applyFont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3" fontId="3" fillId="5" borderId="22" xfId="0" applyNumberFormat="1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3" fontId="5" fillId="6" borderId="23" xfId="0" applyNumberFormat="1" applyFont="1" applyFill="1" applyBorder="1" applyAlignment="1">
      <alignment horizontal="center" vertical="center"/>
    </xf>
    <xf numFmtId="3" fontId="5" fillId="9" borderId="23" xfId="0" applyNumberFormat="1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3" fontId="5" fillId="0" borderId="23" xfId="0" applyNumberFormat="1" applyFont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3" fontId="3" fillId="5" borderId="27" xfId="0" applyNumberFormat="1" applyFont="1" applyFill="1" applyBorder="1" applyAlignment="1">
      <alignment horizontal="center" vertical="center"/>
    </xf>
    <xf numFmtId="3" fontId="3" fillId="5" borderId="28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6" fillId="0" borderId="0" xfId="0" applyFont="1" applyAlignment="1">
      <alignment vertical="center"/>
    </xf>
    <xf numFmtId="0" fontId="17" fillId="3" borderId="1" xfId="0" applyFont="1" applyFill="1" applyBorder="1" applyAlignment="1">
      <alignment horizontal="center" vertical="center" wrapText="1"/>
    </xf>
    <xf numFmtId="9" fontId="42" fillId="0" borderId="0" xfId="2" applyFont="1" applyBorder="1" applyAlignment="1">
      <alignment horizontal="center" vertical="center"/>
    </xf>
    <xf numFmtId="166" fontId="3" fillId="5" borderId="0" xfId="1" applyNumberFormat="1" applyFont="1" applyFill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166" fontId="0" fillId="0" borderId="0" xfId="1" applyNumberFormat="1" applyFont="1"/>
    <xf numFmtId="166" fontId="3" fillId="5" borderId="28" xfId="1" applyNumberFormat="1" applyFont="1" applyFill="1" applyBorder="1" applyAlignment="1">
      <alignment horizontal="center" vertical="center"/>
    </xf>
    <xf numFmtId="166" fontId="5" fillId="9" borderId="25" xfId="1" applyNumberFormat="1" applyFont="1" applyFill="1" applyBorder="1" applyAlignment="1">
      <alignment horizontal="center" vertical="center"/>
    </xf>
    <xf numFmtId="166" fontId="3" fillId="5" borderId="22" xfId="1" applyNumberFormat="1" applyFont="1" applyFill="1" applyBorder="1" applyAlignment="1">
      <alignment horizontal="center" vertical="center"/>
    </xf>
    <xf numFmtId="166" fontId="5" fillId="9" borderId="23" xfId="1" applyNumberFormat="1" applyFont="1" applyFill="1" applyBorder="1" applyAlignment="1">
      <alignment horizontal="center" vertical="center"/>
    </xf>
    <xf numFmtId="166" fontId="3" fillId="5" borderId="27" xfId="1" applyNumberFormat="1" applyFont="1" applyFill="1" applyBorder="1" applyAlignment="1">
      <alignment horizontal="center" vertical="center"/>
    </xf>
    <xf numFmtId="166" fontId="5" fillId="6" borderId="29" xfId="1" applyNumberFormat="1" applyFon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right" vertical="center" wrapText="1"/>
    </xf>
    <xf numFmtId="3" fontId="23" fillId="0" borderId="0" xfId="0" applyNumberFormat="1" applyFont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2" fillId="0" borderId="16" xfId="0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32" fillId="0" borderId="1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6" fillId="0" borderId="1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32" fillId="0" borderId="15" xfId="0" applyFont="1" applyBorder="1" applyAlignment="1">
      <alignment horizontal="right" vertical="center"/>
    </xf>
    <xf numFmtId="0" fontId="32" fillId="0" borderId="15" xfId="0" applyFont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49" fontId="32" fillId="0" borderId="16" xfId="0" applyNumberFormat="1" applyFont="1" applyBorder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164" fontId="24" fillId="0" borderId="0" xfId="1" applyNumberFormat="1" applyFont="1" applyBorder="1" applyAlignment="1">
      <alignment horizontal="center" vertical="center" wrapText="1"/>
    </xf>
    <xf numFmtId="0" fontId="36" fillId="0" borderId="14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9" fillId="0" borderId="16" xfId="0" applyFont="1" applyBorder="1" applyAlignment="1">
      <alignment horizontal="right" vertical="center"/>
    </xf>
    <xf numFmtId="0" fontId="39" fillId="0" borderId="15" xfId="0" applyFont="1" applyBorder="1" applyAlignment="1">
      <alignment horizontal="right" vertical="center"/>
    </xf>
    <xf numFmtId="0" fontId="39" fillId="0" borderId="16" xfId="0" applyFont="1" applyBorder="1" applyAlignment="1">
      <alignment horizontal="center" vertical="center"/>
    </xf>
    <xf numFmtId="49" fontId="39" fillId="0" borderId="15" xfId="0" applyNumberFormat="1" applyFont="1" applyBorder="1" applyAlignment="1">
      <alignment horizontal="center" vertical="center"/>
    </xf>
    <xf numFmtId="0" fontId="39" fillId="0" borderId="0" xfId="0" applyFont="1" applyAlignment="1">
      <alignment horizontal="right" vertical="center"/>
    </xf>
    <xf numFmtId="49" fontId="3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49" fontId="39" fillId="0" borderId="16" xfId="0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164" fontId="39" fillId="0" borderId="0" xfId="1" applyNumberFormat="1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textRotation="90"/>
    </xf>
    <xf numFmtId="0" fontId="30" fillId="0" borderId="2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textRotation="90"/>
    </xf>
    <xf numFmtId="0" fontId="10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right"/>
    </xf>
    <xf numFmtId="0" fontId="17" fillId="3" borderId="1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5" fillId="10" borderId="18" xfId="0" applyFont="1" applyFill="1" applyBorder="1" applyAlignment="1">
      <alignment horizontal="center" vertical="top" textRotation="90"/>
    </xf>
    <xf numFmtId="0" fontId="45" fillId="10" borderId="0" xfId="0" applyFont="1" applyFill="1" applyAlignment="1">
      <alignment horizontal="center" vertical="top"/>
    </xf>
    <xf numFmtId="0" fontId="45" fillId="10" borderId="17" xfId="0" applyFont="1" applyFill="1" applyBorder="1" applyAlignment="1">
      <alignment horizontal="center" vertical="top"/>
    </xf>
    <xf numFmtId="0" fontId="45" fillId="10" borderId="18" xfId="0" applyFont="1" applyFill="1" applyBorder="1" applyAlignment="1">
      <alignment horizontal="center" vertical="top"/>
    </xf>
    <xf numFmtId="0" fontId="29" fillId="0" borderId="0" xfId="0" applyFont="1" applyAlignment="1">
      <alignment horizontal="center" vertical="center"/>
    </xf>
    <xf numFmtId="0" fontId="30" fillId="0" borderId="16" xfId="0" applyFont="1" applyBorder="1" applyAlignment="1">
      <alignment horizontal="right" vertical="center"/>
    </xf>
    <xf numFmtId="0" fontId="30" fillId="0" borderId="15" xfId="0" applyFont="1" applyBorder="1" applyAlignment="1">
      <alignment horizontal="right" vertical="center"/>
    </xf>
    <xf numFmtId="0" fontId="30" fillId="0" borderId="1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49" fontId="30" fillId="0" borderId="16" xfId="0" applyNumberFormat="1" applyFont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15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4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w_Ni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C6E0B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w_Nian"/>
        <scheme val="none"/>
      </font>
      <numFmt numFmtId="3" formatCode="#,##0"/>
      <fill>
        <patternFill patternType="none">
          <fgColor rgb="FFC6E0B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C6E0B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w_Ni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C6E0B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w_Ni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w_Nian"/>
        <scheme val="none"/>
      </font>
      <numFmt numFmtId="3" formatCode="#,##0"/>
      <fill>
        <patternFill patternType="none">
          <fgColor rgb="FFC6E0B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C6E0B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66" formatCode="_(* #,##0_);_(* \(#,##0\);_(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66" formatCode="_(* #,##0_);_(* \(#,##0\);_(* &quot;-&quot;??_);_(@_)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w_Nian"/>
        <scheme val="none"/>
      </font>
      <numFmt numFmtId="166" formatCode="_(* #,##0_);_(* \(#,##0\);_(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59999389629810485"/>
          <bgColor theme="9" tint="0.59999389629810485"/>
        </patternFill>
      </fill>
    </dxf>
    <dxf>
      <fill>
        <patternFill patternType="solid">
          <fgColor theme="9" tint="0.59999389629810485"/>
          <bgColor theme="9" tint="0.59999389629810485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42"/>
          <bgColor theme="9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Medium14 2" pivot="0" count="7" xr9:uid="{CD835223-3436-4D84-82C1-216931563AE3}">
      <tableStyleElement type="wholeTable" dxfId="413"/>
      <tableStyleElement type="headerRow" dxfId="412"/>
      <tableStyleElement type="totalRow" dxfId="411"/>
      <tableStyleElement type="firstColumn" dxfId="410"/>
      <tableStyleElement type="lastColumn" dxfId="409"/>
      <tableStyleElement type="firstRowStripe" dxfId="408"/>
      <tableStyleElement type="firstColumnStripe" dxfId="407"/>
    </tableStyle>
  </tableStyles>
  <colors>
    <mruColors>
      <color rgb="FF0033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1019175</xdr:colOff>
      <xdr:row>179</xdr:row>
      <xdr:rowOff>57150</xdr:rowOff>
    </xdr:from>
    <xdr:to>
      <xdr:col>9</xdr:col>
      <xdr:colOff>51132</xdr:colOff>
      <xdr:row>180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462D6-289C-4DE5-9C2B-6771F2C33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48993" y="35785425"/>
          <a:ext cx="1270332" cy="428626"/>
        </a:xfrm>
        <a:prstGeom prst="rect">
          <a:avLst/>
        </a:prstGeom>
      </xdr:spPr>
    </xdr:pic>
    <xdr:clientData/>
  </xdr:twoCellAnchor>
  <xdr:twoCellAnchor editAs="oneCell">
    <xdr:from>
      <xdr:col>6</xdr:col>
      <xdr:colOff>190626</xdr:colOff>
      <xdr:row>0</xdr:row>
      <xdr:rowOff>200025</xdr:rowOff>
    </xdr:from>
    <xdr:to>
      <xdr:col>9</xdr:col>
      <xdr:colOff>22959</xdr:colOff>
      <xdr:row>5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0345F1-D910-4E0F-AE1B-1C1CE3AC9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3186691" y="200025"/>
          <a:ext cx="2908908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990600</xdr:colOff>
      <xdr:row>132</xdr:row>
      <xdr:rowOff>38100</xdr:rowOff>
    </xdr:from>
    <xdr:to>
      <xdr:col>8</xdr:col>
      <xdr:colOff>1129182</xdr:colOff>
      <xdr:row>132</xdr:row>
      <xdr:rowOff>419100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D052D9-4E53-4370-AEEE-701DC1F59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8693" y="26289000"/>
          <a:ext cx="1129182" cy="381000"/>
        </a:xfrm>
        <a:prstGeom prst="rect">
          <a:avLst/>
        </a:prstGeom>
      </xdr:spPr>
    </xdr:pic>
    <xdr:clientData/>
  </xdr:twoCellAnchor>
  <xdr:twoCellAnchor editAs="oneCell">
    <xdr:from>
      <xdr:col>7</xdr:col>
      <xdr:colOff>971550</xdr:colOff>
      <xdr:row>85</xdr:row>
      <xdr:rowOff>28575</xdr:rowOff>
    </xdr:from>
    <xdr:to>
      <xdr:col>8</xdr:col>
      <xdr:colOff>1129182</xdr:colOff>
      <xdr:row>85</xdr:row>
      <xdr:rowOff>409575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D4C861-4FA1-40EC-BAFB-B88798B03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37743" y="17907000"/>
          <a:ext cx="1129182" cy="381000"/>
        </a:xfrm>
        <a:prstGeom prst="rect">
          <a:avLst/>
        </a:prstGeom>
      </xdr:spPr>
    </xdr:pic>
    <xdr:clientData/>
  </xdr:twoCellAnchor>
  <xdr:twoCellAnchor editAs="oneCell">
    <xdr:from>
      <xdr:col>7</xdr:col>
      <xdr:colOff>981075</xdr:colOff>
      <xdr:row>40</xdr:row>
      <xdr:rowOff>47625</xdr:rowOff>
    </xdr:from>
    <xdr:to>
      <xdr:col>8</xdr:col>
      <xdr:colOff>1129182</xdr:colOff>
      <xdr:row>41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1756E8-F814-48E5-8937-FB33649D2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8218" y="9115425"/>
          <a:ext cx="1129182" cy="381000"/>
        </a:xfrm>
        <a:prstGeom prst="rect">
          <a:avLst/>
        </a:prstGeom>
      </xdr:spPr>
    </xdr:pic>
    <xdr:clientData/>
  </xdr:twoCellAnchor>
  <xdr:oneCellAnchor>
    <xdr:from>
      <xdr:col>7</xdr:col>
      <xdr:colOff>866775</xdr:colOff>
      <xdr:row>199</xdr:row>
      <xdr:rowOff>57149</xdr:rowOff>
    </xdr:from>
    <xdr:ext cx="1270332" cy="428626"/>
    <xdr:pic>
      <xdr:nvPicPr>
        <xdr:cNvPr id="11" name="Picture 10">
          <a:extLst>
            <a:ext uri="{FF2B5EF4-FFF2-40B4-BE49-F238E27FC236}">
              <a16:creationId xmlns:a16="http://schemas.microsoft.com/office/drawing/2014/main" id="{BF0540E5-F19A-4590-B50F-6EE4410D6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440531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847725</xdr:colOff>
      <xdr:row>217</xdr:row>
      <xdr:rowOff>47624</xdr:rowOff>
    </xdr:from>
    <xdr:ext cx="1270332" cy="428626"/>
    <xdr:pic>
      <xdr:nvPicPr>
        <xdr:cNvPr id="12" name="Picture 11">
          <a:extLst>
            <a:ext uri="{FF2B5EF4-FFF2-40B4-BE49-F238E27FC236}">
              <a16:creationId xmlns:a16="http://schemas.microsoft.com/office/drawing/2014/main" id="{392EFE84-B10D-4488-A9C4-B6A4F1265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524351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242</xdr:row>
      <xdr:rowOff>47624</xdr:rowOff>
    </xdr:from>
    <xdr:ext cx="1270332" cy="428626"/>
    <xdr:pic>
      <xdr:nvPicPr>
        <xdr:cNvPr id="14" name="Picture 13">
          <a:extLst>
            <a:ext uri="{FF2B5EF4-FFF2-40B4-BE49-F238E27FC236}">
              <a16:creationId xmlns:a16="http://schemas.microsoft.com/office/drawing/2014/main" id="{D1F082F8-2F81-4379-9DB4-8DEE9AC05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682275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263</xdr:row>
      <xdr:rowOff>28574</xdr:rowOff>
    </xdr:from>
    <xdr:ext cx="1270332" cy="428626"/>
    <xdr:pic>
      <xdr:nvPicPr>
        <xdr:cNvPr id="15" name="Picture 14">
          <a:extLst>
            <a:ext uri="{FF2B5EF4-FFF2-40B4-BE49-F238E27FC236}">
              <a16:creationId xmlns:a16="http://schemas.microsoft.com/office/drawing/2014/main" id="{F59992A0-6D7C-4FAF-B1FD-EC7816589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747331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285</xdr:row>
      <xdr:rowOff>28574</xdr:rowOff>
    </xdr:from>
    <xdr:ext cx="1270332" cy="428626"/>
    <xdr:pic>
      <xdr:nvPicPr>
        <xdr:cNvPr id="16" name="Picture 15">
          <a:extLst>
            <a:ext uri="{FF2B5EF4-FFF2-40B4-BE49-F238E27FC236}">
              <a16:creationId xmlns:a16="http://schemas.microsoft.com/office/drawing/2014/main" id="{C070CA73-5C4D-42E2-8C5B-D10EBAE7D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091843" y="812577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303</xdr:row>
      <xdr:rowOff>38099</xdr:rowOff>
    </xdr:from>
    <xdr:ext cx="1270332" cy="428626"/>
    <xdr:pic>
      <xdr:nvPicPr>
        <xdr:cNvPr id="17" name="Picture 16">
          <a:extLst>
            <a:ext uri="{FF2B5EF4-FFF2-40B4-BE49-F238E27FC236}">
              <a16:creationId xmlns:a16="http://schemas.microsoft.com/office/drawing/2014/main" id="{6ED53A8E-3526-4D15-9B20-2A891C34E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875633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895350</xdr:colOff>
      <xdr:row>321</xdr:row>
      <xdr:rowOff>47624</xdr:rowOff>
    </xdr:from>
    <xdr:ext cx="1270332" cy="428626"/>
    <xdr:pic>
      <xdr:nvPicPr>
        <xdr:cNvPr id="18" name="Picture 17">
          <a:extLst>
            <a:ext uri="{FF2B5EF4-FFF2-40B4-BE49-F238E27FC236}">
              <a16:creationId xmlns:a16="http://schemas.microsoft.com/office/drawing/2014/main" id="{2F915F43-FDFA-4922-80C4-376C995AA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991266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885825</xdr:colOff>
      <xdr:row>339</xdr:row>
      <xdr:rowOff>47624</xdr:rowOff>
    </xdr:from>
    <xdr:ext cx="1270332" cy="428626"/>
    <xdr:pic>
      <xdr:nvPicPr>
        <xdr:cNvPr id="19" name="Picture 18">
          <a:extLst>
            <a:ext uri="{FF2B5EF4-FFF2-40B4-BE49-F238E27FC236}">
              <a16:creationId xmlns:a16="http://schemas.microsoft.com/office/drawing/2014/main" id="{9F0B0B3D-99BB-413C-926B-D4A67302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1080706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357</xdr:row>
      <xdr:rowOff>38099</xdr:rowOff>
    </xdr:from>
    <xdr:ext cx="1270332" cy="428626"/>
    <xdr:pic>
      <xdr:nvPicPr>
        <xdr:cNvPr id="20" name="Picture 19">
          <a:extLst>
            <a:ext uri="{FF2B5EF4-FFF2-40B4-BE49-F238E27FC236}">
              <a16:creationId xmlns:a16="http://schemas.microsoft.com/office/drawing/2014/main" id="{A9D179E9-EAA7-4E2F-9EC2-4CDA3697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9943" y="11719559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380</xdr:row>
      <xdr:rowOff>28574</xdr:rowOff>
    </xdr:from>
    <xdr:ext cx="1270332" cy="428626"/>
    <xdr:pic>
      <xdr:nvPicPr>
        <xdr:cNvPr id="22" name="Picture 21">
          <a:extLst>
            <a:ext uri="{FF2B5EF4-FFF2-40B4-BE49-F238E27FC236}">
              <a16:creationId xmlns:a16="http://schemas.microsoft.com/office/drawing/2014/main" id="{437EB0AE-B7FE-4F9E-8E85-42FF639BD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1219295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885825</xdr:colOff>
      <xdr:row>398</xdr:row>
      <xdr:rowOff>38099</xdr:rowOff>
    </xdr:from>
    <xdr:ext cx="1270332" cy="428626"/>
    <xdr:pic>
      <xdr:nvPicPr>
        <xdr:cNvPr id="23" name="Picture 22">
          <a:extLst>
            <a:ext uri="{FF2B5EF4-FFF2-40B4-BE49-F238E27FC236}">
              <a16:creationId xmlns:a16="http://schemas.microsoft.com/office/drawing/2014/main" id="{4EEE2A32-04BF-4DE2-B666-FBE01E766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1351978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417</xdr:row>
      <xdr:rowOff>28574</xdr:rowOff>
    </xdr:from>
    <xdr:ext cx="1270332" cy="428626"/>
    <xdr:pic>
      <xdr:nvPicPr>
        <xdr:cNvPr id="24" name="Picture 23">
          <a:extLst>
            <a:ext uri="{FF2B5EF4-FFF2-40B4-BE49-F238E27FC236}">
              <a16:creationId xmlns:a16="http://schemas.microsoft.com/office/drawing/2014/main" id="{B128F6EB-0140-4CAB-9D42-B5D57D3E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1400079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847725</xdr:colOff>
      <xdr:row>435</xdr:row>
      <xdr:rowOff>38099</xdr:rowOff>
    </xdr:from>
    <xdr:ext cx="1270332" cy="428626"/>
    <xdr:pic>
      <xdr:nvPicPr>
        <xdr:cNvPr id="25" name="Picture 24">
          <a:extLst>
            <a:ext uri="{FF2B5EF4-FFF2-40B4-BE49-F238E27FC236}">
              <a16:creationId xmlns:a16="http://schemas.microsoft.com/office/drawing/2014/main" id="{A8306274-C553-4167-9242-1AFACAA00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1474565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857250</xdr:colOff>
      <xdr:row>456</xdr:row>
      <xdr:rowOff>57149</xdr:rowOff>
    </xdr:from>
    <xdr:ext cx="1270332" cy="428626"/>
    <xdr:pic>
      <xdr:nvPicPr>
        <xdr:cNvPr id="26" name="Picture 25">
          <a:extLst>
            <a:ext uri="{FF2B5EF4-FFF2-40B4-BE49-F238E27FC236}">
              <a16:creationId xmlns:a16="http://schemas.microsoft.com/office/drawing/2014/main" id="{FA75904B-9721-42EC-931C-4C715C7C0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15491459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476</xdr:row>
      <xdr:rowOff>47624</xdr:rowOff>
    </xdr:from>
    <xdr:ext cx="1270332" cy="428626"/>
    <xdr:pic>
      <xdr:nvPicPr>
        <xdr:cNvPr id="27" name="Picture 26">
          <a:extLst>
            <a:ext uri="{FF2B5EF4-FFF2-40B4-BE49-F238E27FC236}">
              <a16:creationId xmlns:a16="http://schemas.microsoft.com/office/drawing/2014/main" id="{9454BEDC-9056-4010-952F-D0904510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16211549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496</xdr:row>
      <xdr:rowOff>57149</xdr:rowOff>
    </xdr:from>
    <xdr:ext cx="1270332" cy="428626"/>
    <xdr:pic>
      <xdr:nvPicPr>
        <xdr:cNvPr id="28" name="Picture 27">
          <a:extLst>
            <a:ext uri="{FF2B5EF4-FFF2-40B4-BE49-F238E27FC236}">
              <a16:creationId xmlns:a16="http://schemas.microsoft.com/office/drawing/2014/main" id="{CD5245FB-35C1-462F-B618-50909171E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1693354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514</xdr:row>
      <xdr:rowOff>57150</xdr:rowOff>
    </xdr:from>
    <xdr:ext cx="1270332" cy="428626"/>
    <xdr:pic>
      <xdr:nvPicPr>
        <xdr:cNvPr id="29" name="Picture 28">
          <a:extLst>
            <a:ext uri="{FF2B5EF4-FFF2-40B4-BE49-F238E27FC236}">
              <a16:creationId xmlns:a16="http://schemas.microsoft.com/office/drawing/2014/main" id="{82680D5B-E3F2-4B49-B9AC-05F6D0392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175402875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532</xdr:row>
      <xdr:rowOff>47625</xdr:rowOff>
    </xdr:from>
    <xdr:ext cx="1270332" cy="428626"/>
    <xdr:pic>
      <xdr:nvPicPr>
        <xdr:cNvPr id="31" name="Picture 30">
          <a:extLst>
            <a:ext uri="{FF2B5EF4-FFF2-40B4-BE49-F238E27FC236}">
              <a16:creationId xmlns:a16="http://schemas.microsoft.com/office/drawing/2014/main" id="{300861A6-F32A-40DD-8D6C-7EA244705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181689375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553</xdr:row>
      <xdr:rowOff>57149</xdr:rowOff>
    </xdr:from>
    <xdr:ext cx="1270332" cy="428626"/>
    <xdr:pic>
      <xdr:nvPicPr>
        <xdr:cNvPr id="32" name="Picture 31">
          <a:extLst>
            <a:ext uri="{FF2B5EF4-FFF2-40B4-BE49-F238E27FC236}">
              <a16:creationId xmlns:a16="http://schemas.microsoft.com/office/drawing/2014/main" id="{B3C8D5EA-942E-44A6-BA33-1E405564F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1889093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574</xdr:row>
      <xdr:rowOff>47624</xdr:rowOff>
    </xdr:from>
    <xdr:ext cx="1270332" cy="428626"/>
    <xdr:pic>
      <xdr:nvPicPr>
        <xdr:cNvPr id="33" name="Picture 32">
          <a:extLst>
            <a:ext uri="{FF2B5EF4-FFF2-40B4-BE49-F238E27FC236}">
              <a16:creationId xmlns:a16="http://schemas.microsoft.com/office/drawing/2014/main" id="{635F0D6B-7EB5-4D4F-A508-CDE590E4F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1961102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857250</xdr:colOff>
      <xdr:row>596</xdr:row>
      <xdr:rowOff>57149</xdr:rowOff>
    </xdr:from>
    <xdr:ext cx="1270332" cy="428626"/>
    <xdr:pic>
      <xdr:nvPicPr>
        <xdr:cNvPr id="34" name="Picture 33">
          <a:extLst>
            <a:ext uri="{FF2B5EF4-FFF2-40B4-BE49-F238E27FC236}">
              <a16:creationId xmlns:a16="http://schemas.microsoft.com/office/drawing/2014/main" id="{857E7D19-4F05-41FA-8493-B8DA315D5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2042445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857250</xdr:colOff>
      <xdr:row>617</xdr:row>
      <xdr:rowOff>47624</xdr:rowOff>
    </xdr:from>
    <xdr:ext cx="1270332" cy="428626"/>
    <xdr:pic>
      <xdr:nvPicPr>
        <xdr:cNvPr id="35" name="Picture 34">
          <a:extLst>
            <a:ext uri="{FF2B5EF4-FFF2-40B4-BE49-F238E27FC236}">
              <a16:creationId xmlns:a16="http://schemas.microsoft.com/office/drawing/2014/main" id="{19BE07CB-769F-4625-B1B3-170C1A9A5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2123598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637</xdr:row>
      <xdr:rowOff>47624</xdr:rowOff>
    </xdr:from>
    <xdr:ext cx="1270332" cy="428626"/>
    <xdr:pic>
      <xdr:nvPicPr>
        <xdr:cNvPr id="36" name="Picture 35">
          <a:extLst>
            <a:ext uri="{FF2B5EF4-FFF2-40B4-BE49-F238E27FC236}">
              <a16:creationId xmlns:a16="http://schemas.microsoft.com/office/drawing/2014/main" id="{BD1234BE-A118-4A8C-8006-27234C398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22139909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658</xdr:row>
      <xdr:rowOff>85724</xdr:rowOff>
    </xdr:from>
    <xdr:ext cx="1270332" cy="428626"/>
    <xdr:pic>
      <xdr:nvPicPr>
        <xdr:cNvPr id="37" name="Picture 36">
          <a:extLst>
            <a:ext uri="{FF2B5EF4-FFF2-40B4-BE49-F238E27FC236}">
              <a16:creationId xmlns:a16="http://schemas.microsoft.com/office/drawing/2014/main" id="{2ECA4485-6C4F-47D2-925A-440C9E62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2288762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681</xdr:row>
      <xdr:rowOff>38099</xdr:rowOff>
    </xdr:from>
    <xdr:ext cx="1270332" cy="428626"/>
    <xdr:pic>
      <xdr:nvPicPr>
        <xdr:cNvPr id="38" name="Picture 37">
          <a:extLst>
            <a:ext uri="{FF2B5EF4-FFF2-40B4-BE49-F238E27FC236}">
              <a16:creationId xmlns:a16="http://schemas.microsoft.com/office/drawing/2014/main" id="{B916DE88-BCE7-4546-9D8D-FC9667F29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2379821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752475</xdr:colOff>
      <xdr:row>704</xdr:row>
      <xdr:rowOff>66674</xdr:rowOff>
    </xdr:from>
    <xdr:ext cx="1270332" cy="428626"/>
    <xdr:pic>
      <xdr:nvPicPr>
        <xdr:cNvPr id="39" name="Picture 38">
          <a:extLst>
            <a:ext uri="{FF2B5EF4-FFF2-40B4-BE49-F238E27FC236}">
              <a16:creationId xmlns:a16="http://schemas.microsoft.com/office/drawing/2014/main" id="{CCE13975-AF8F-490C-83CA-2B818FA7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27165299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725</xdr:row>
      <xdr:rowOff>66674</xdr:rowOff>
    </xdr:from>
    <xdr:ext cx="1270332" cy="428626"/>
    <xdr:pic>
      <xdr:nvPicPr>
        <xdr:cNvPr id="40" name="Picture 39">
          <a:extLst>
            <a:ext uri="{FF2B5EF4-FFF2-40B4-BE49-F238E27FC236}">
              <a16:creationId xmlns:a16="http://schemas.microsoft.com/office/drawing/2014/main" id="{2448A84E-E8F7-4F89-AD95-7071724E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2553271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847725</xdr:colOff>
      <xdr:row>747</xdr:row>
      <xdr:rowOff>28574</xdr:rowOff>
    </xdr:from>
    <xdr:ext cx="1270332" cy="428626"/>
    <xdr:pic>
      <xdr:nvPicPr>
        <xdr:cNvPr id="41" name="Picture 40">
          <a:extLst>
            <a:ext uri="{FF2B5EF4-FFF2-40B4-BE49-F238E27FC236}">
              <a16:creationId xmlns:a16="http://schemas.microsoft.com/office/drawing/2014/main" id="{CA7B7BEC-A583-4963-8890-14C58AF2E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2636424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773</xdr:row>
      <xdr:rowOff>47624</xdr:rowOff>
    </xdr:from>
    <xdr:ext cx="1270332" cy="428626"/>
    <xdr:pic>
      <xdr:nvPicPr>
        <xdr:cNvPr id="43" name="Picture 42">
          <a:extLst>
            <a:ext uri="{FF2B5EF4-FFF2-40B4-BE49-F238E27FC236}">
              <a16:creationId xmlns:a16="http://schemas.microsoft.com/office/drawing/2014/main" id="{5EF03E12-4954-4578-BF3F-102F30333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2780823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790</xdr:row>
      <xdr:rowOff>38099</xdr:rowOff>
    </xdr:from>
    <xdr:ext cx="1270332" cy="428626"/>
    <xdr:pic>
      <xdr:nvPicPr>
        <xdr:cNvPr id="44" name="Picture 43">
          <a:extLst>
            <a:ext uri="{FF2B5EF4-FFF2-40B4-BE49-F238E27FC236}">
              <a16:creationId xmlns:a16="http://schemas.microsoft.com/office/drawing/2014/main" id="{CC33650F-3EFE-4007-BA02-C53FBF590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2857404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866775</xdr:colOff>
      <xdr:row>806</xdr:row>
      <xdr:rowOff>38099</xdr:rowOff>
    </xdr:from>
    <xdr:ext cx="1270332" cy="428626"/>
    <xdr:pic>
      <xdr:nvPicPr>
        <xdr:cNvPr id="45" name="Picture 44">
          <a:extLst>
            <a:ext uri="{FF2B5EF4-FFF2-40B4-BE49-F238E27FC236}">
              <a16:creationId xmlns:a16="http://schemas.microsoft.com/office/drawing/2014/main" id="{9C65E608-5CBC-4974-BD8D-A09BA9BE3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9943" y="3154870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831</xdr:row>
      <xdr:rowOff>57149</xdr:rowOff>
    </xdr:from>
    <xdr:ext cx="1270332" cy="428626"/>
    <xdr:pic>
      <xdr:nvPicPr>
        <xdr:cNvPr id="47" name="Picture 46">
          <a:extLst>
            <a:ext uri="{FF2B5EF4-FFF2-40B4-BE49-F238E27FC236}">
              <a16:creationId xmlns:a16="http://schemas.microsoft.com/office/drawing/2014/main" id="{3443ED59-07B0-4AE6-B34D-E9C7F7527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3246405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857250</xdr:colOff>
      <xdr:row>850</xdr:row>
      <xdr:rowOff>57149</xdr:rowOff>
    </xdr:from>
    <xdr:ext cx="1270332" cy="428626"/>
    <xdr:pic>
      <xdr:nvPicPr>
        <xdr:cNvPr id="49" name="Picture 48">
          <a:extLst>
            <a:ext uri="{FF2B5EF4-FFF2-40B4-BE49-F238E27FC236}">
              <a16:creationId xmlns:a16="http://schemas.microsoft.com/office/drawing/2014/main" id="{5DB4B098-2840-4634-AFC9-AE1987306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39468" y="3337845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872</xdr:row>
      <xdr:rowOff>47624</xdr:rowOff>
    </xdr:from>
    <xdr:ext cx="1270332" cy="428626"/>
    <xdr:pic>
      <xdr:nvPicPr>
        <xdr:cNvPr id="51" name="Picture 50">
          <a:extLst>
            <a:ext uri="{FF2B5EF4-FFF2-40B4-BE49-F238E27FC236}">
              <a16:creationId xmlns:a16="http://schemas.microsoft.com/office/drawing/2014/main" id="{C70A4D2E-6495-4C6E-98E2-91827B76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3429190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885825</xdr:colOff>
      <xdr:row>906</xdr:row>
      <xdr:rowOff>28574</xdr:rowOff>
    </xdr:from>
    <xdr:ext cx="1270332" cy="428626"/>
    <xdr:pic>
      <xdr:nvPicPr>
        <xdr:cNvPr id="52" name="Picture 51">
          <a:extLst>
            <a:ext uri="{FF2B5EF4-FFF2-40B4-BE49-F238E27FC236}">
              <a16:creationId xmlns:a16="http://schemas.microsoft.com/office/drawing/2014/main" id="{A21EBF7F-E5A2-4AA1-97C0-E01DB11F3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3519392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885825</xdr:colOff>
      <xdr:row>931</xdr:row>
      <xdr:rowOff>57149</xdr:rowOff>
    </xdr:from>
    <xdr:ext cx="1270332" cy="428626"/>
    <xdr:pic>
      <xdr:nvPicPr>
        <xdr:cNvPr id="54" name="Picture 53">
          <a:extLst>
            <a:ext uri="{FF2B5EF4-FFF2-40B4-BE49-F238E27FC236}">
              <a16:creationId xmlns:a16="http://schemas.microsoft.com/office/drawing/2014/main" id="{0E849895-78E0-4324-8FE6-01D1D40BA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3608927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950</xdr:row>
      <xdr:rowOff>57149</xdr:rowOff>
    </xdr:from>
    <xdr:ext cx="1270332" cy="428626"/>
    <xdr:pic>
      <xdr:nvPicPr>
        <xdr:cNvPr id="55" name="Picture 54">
          <a:extLst>
            <a:ext uri="{FF2B5EF4-FFF2-40B4-BE49-F238E27FC236}">
              <a16:creationId xmlns:a16="http://schemas.microsoft.com/office/drawing/2014/main" id="{05D07AFF-A19F-4A55-909D-423E756C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3699700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965</xdr:row>
      <xdr:rowOff>47624</xdr:rowOff>
    </xdr:from>
    <xdr:ext cx="1270332" cy="428626"/>
    <xdr:pic>
      <xdr:nvPicPr>
        <xdr:cNvPr id="56" name="Picture 55">
          <a:extLst>
            <a:ext uri="{FF2B5EF4-FFF2-40B4-BE49-F238E27FC236}">
              <a16:creationId xmlns:a16="http://schemas.microsoft.com/office/drawing/2014/main" id="{E877FA28-94D3-4590-8DA8-4B13C1669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3789997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895350</xdr:colOff>
      <xdr:row>984</xdr:row>
      <xdr:rowOff>47624</xdr:rowOff>
    </xdr:from>
    <xdr:ext cx="1270332" cy="428626"/>
    <xdr:pic>
      <xdr:nvPicPr>
        <xdr:cNvPr id="57" name="Picture 56">
          <a:extLst>
            <a:ext uri="{FF2B5EF4-FFF2-40B4-BE49-F238E27FC236}">
              <a16:creationId xmlns:a16="http://schemas.microsoft.com/office/drawing/2014/main" id="{A06F850B-5018-4224-8A68-92730987D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38801039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1010</xdr:row>
      <xdr:rowOff>57149</xdr:rowOff>
    </xdr:from>
    <xdr:ext cx="1270332" cy="428626"/>
    <xdr:pic>
      <xdr:nvPicPr>
        <xdr:cNvPr id="60" name="Picture 59">
          <a:extLst>
            <a:ext uri="{FF2B5EF4-FFF2-40B4-BE49-F238E27FC236}">
              <a16:creationId xmlns:a16="http://schemas.microsoft.com/office/drawing/2014/main" id="{7FBAF9A8-3272-404F-959E-09834BF6C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3970972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1027</xdr:row>
      <xdr:rowOff>57149</xdr:rowOff>
    </xdr:from>
    <xdr:ext cx="1270332" cy="428626"/>
    <xdr:pic>
      <xdr:nvPicPr>
        <xdr:cNvPr id="61" name="Picture 60">
          <a:extLst>
            <a:ext uri="{FF2B5EF4-FFF2-40B4-BE49-F238E27FC236}">
              <a16:creationId xmlns:a16="http://schemas.microsoft.com/office/drawing/2014/main" id="{409A04E7-CDBC-4465-953A-A61C272B7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40610789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885825</xdr:colOff>
      <xdr:row>1051</xdr:row>
      <xdr:rowOff>28574</xdr:rowOff>
    </xdr:from>
    <xdr:ext cx="1270332" cy="428626"/>
    <xdr:pic>
      <xdr:nvPicPr>
        <xdr:cNvPr id="62" name="Picture 61">
          <a:extLst>
            <a:ext uri="{FF2B5EF4-FFF2-40B4-BE49-F238E27FC236}">
              <a16:creationId xmlns:a16="http://schemas.microsoft.com/office/drawing/2014/main" id="{358D70F8-11EA-41E9-87DD-070875A4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4150709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895350</xdr:colOff>
      <xdr:row>1070</xdr:row>
      <xdr:rowOff>47624</xdr:rowOff>
    </xdr:from>
    <xdr:ext cx="1270332" cy="428626"/>
    <xdr:pic>
      <xdr:nvPicPr>
        <xdr:cNvPr id="63" name="Picture 62">
          <a:extLst>
            <a:ext uri="{FF2B5EF4-FFF2-40B4-BE49-F238E27FC236}">
              <a16:creationId xmlns:a16="http://schemas.microsoft.com/office/drawing/2014/main" id="{B4281D2A-0B33-48B7-90B6-E9BF34211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4240720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895350</xdr:colOff>
      <xdr:row>1088</xdr:row>
      <xdr:rowOff>66674</xdr:rowOff>
    </xdr:from>
    <xdr:ext cx="1270332" cy="428626"/>
    <xdr:pic>
      <xdr:nvPicPr>
        <xdr:cNvPr id="64" name="Picture 63">
          <a:extLst>
            <a:ext uri="{FF2B5EF4-FFF2-40B4-BE49-F238E27FC236}">
              <a16:creationId xmlns:a16="http://schemas.microsoft.com/office/drawing/2014/main" id="{D5688033-07A9-4739-965A-902F3076E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43309222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885825</xdr:colOff>
      <xdr:row>1109</xdr:row>
      <xdr:rowOff>47624</xdr:rowOff>
    </xdr:from>
    <xdr:ext cx="1270332" cy="428626"/>
    <xdr:pic>
      <xdr:nvPicPr>
        <xdr:cNvPr id="65" name="Picture 64">
          <a:extLst>
            <a:ext uri="{FF2B5EF4-FFF2-40B4-BE49-F238E27FC236}">
              <a16:creationId xmlns:a16="http://schemas.microsoft.com/office/drawing/2014/main" id="{B13D2ECC-B7AC-4E4F-BAD3-293E6E132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44203619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895350</xdr:colOff>
      <xdr:row>1130</xdr:row>
      <xdr:rowOff>38099</xdr:rowOff>
    </xdr:from>
    <xdr:ext cx="1270332" cy="428626"/>
    <xdr:pic>
      <xdr:nvPicPr>
        <xdr:cNvPr id="66" name="Picture 65">
          <a:extLst>
            <a:ext uri="{FF2B5EF4-FFF2-40B4-BE49-F238E27FC236}">
              <a16:creationId xmlns:a16="http://schemas.microsoft.com/office/drawing/2014/main" id="{8CB65231-6435-4B91-9B56-EEBE5E19F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4510944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1149</xdr:row>
      <xdr:rowOff>57149</xdr:rowOff>
    </xdr:from>
    <xdr:ext cx="1270332" cy="428626"/>
    <xdr:pic>
      <xdr:nvPicPr>
        <xdr:cNvPr id="67" name="Picture 66">
          <a:extLst>
            <a:ext uri="{FF2B5EF4-FFF2-40B4-BE49-F238E27FC236}">
              <a16:creationId xmlns:a16="http://schemas.microsoft.com/office/drawing/2014/main" id="{A8643EE6-29F6-4B98-B123-29727C682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4602384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895350</xdr:colOff>
      <xdr:row>1175</xdr:row>
      <xdr:rowOff>47624</xdr:rowOff>
    </xdr:from>
    <xdr:ext cx="1270332" cy="428626"/>
    <xdr:pic>
      <xdr:nvPicPr>
        <xdr:cNvPr id="68" name="Picture 67">
          <a:extLst>
            <a:ext uri="{FF2B5EF4-FFF2-40B4-BE49-F238E27FC236}">
              <a16:creationId xmlns:a16="http://schemas.microsoft.com/office/drawing/2014/main" id="{19255CE9-4982-43C4-95F3-4FD466E8B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4692586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885825</xdr:colOff>
      <xdr:row>1213</xdr:row>
      <xdr:rowOff>57149</xdr:rowOff>
    </xdr:from>
    <xdr:ext cx="1270332" cy="428626"/>
    <xdr:pic>
      <xdr:nvPicPr>
        <xdr:cNvPr id="69" name="Picture 68">
          <a:extLst>
            <a:ext uri="{FF2B5EF4-FFF2-40B4-BE49-F238E27FC236}">
              <a16:creationId xmlns:a16="http://schemas.microsoft.com/office/drawing/2014/main" id="{00099011-CC26-4BD3-A2BF-C170989F6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4852606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1251</xdr:row>
      <xdr:rowOff>47624</xdr:rowOff>
    </xdr:from>
    <xdr:ext cx="1270332" cy="428626"/>
    <xdr:pic>
      <xdr:nvPicPr>
        <xdr:cNvPr id="7" name="Picture 6">
          <a:extLst>
            <a:ext uri="{FF2B5EF4-FFF2-40B4-BE49-F238E27FC236}">
              <a16:creationId xmlns:a16="http://schemas.microsoft.com/office/drawing/2014/main" id="{58EC2B99-B469-4141-B507-6D04692F4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496433474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876300</xdr:colOff>
      <xdr:row>1272</xdr:row>
      <xdr:rowOff>28574</xdr:rowOff>
    </xdr:from>
    <xdr:ext cx="1270332" cy="428626"/>
    <xdr:pic>
      <xdr:nvPicPr>
        <xdr:cNvPr id="8" name="Picture 7">
          <a:extLst>
            <a:ext uri="{FF2B5EF4-FFF2-40B4-BE49-F238E27FC236}">
              <a16:creationId xmlns:a16="http://schemas.microsoft.com/office/drawing/2014/main" id="{6C85F2C9-A5AF-4249-9869-77590F144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0418" y="5066728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885825</xdr:colOff>
      <xdr:row>1300</xdr:row>
      <xdr:rowOff>47624</xdr:rowOff>
    </xdr:from>
    <xdr:ext cx="1270332" cy="428626"/>
    <xdr:pic>
      <xdr:nvPicPr>
        <xdr:cNvPr id="10" name="Picture 9">
          <a:extLst>
            <a:ext uri="{FF2B5EF4-FFF2-40B4-BE49-F238E27FC236}">
              <a16:creationId xmlns:a16="http://schemas.microsoft.com/office/drawing/2014/main" id="{5445A3FE-099C-45DB-B277-2A9484B1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10893" y="5144071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895350</xdr:colOff>
      <xdr:row>1193</xdr:row>
      <xdr:rowOff>47624</xdr:rowOff>
    </xdr:from>
    <xdr:ext cx="1270332" cy="428626"/>
    <xdr:pic>
      <xdr:nvPicPr>
        <xdr:cNvPr id="30" name="Picture 29">
          <a:extLst>
            <a:ext uri="{FF2B5EF4-FFF2-40B4-BE49-F238E27FC236}">
              <a16:creationId xmlns:a16="http://schemas.microsoft.com/office/drawing/2014/main" id="{E9740F72-2FDC-4B41-A48A-09D4D817D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01368" y="469258649"/>
          <a:ext cx="1270332" cy="428626"/>
        </a:xfrm>
        <a:prstGeom prst="rect">
          <a:avLst/>
        </a:prstGeom>
      </xdr:spPr>
    </xdr:pic>
    <xdr:clientData/>
  </xdr:oneCellAnchor>
  <xdr:oneCellAnchor>
    <xdr:from>
      <xdr:col>7</xdr:col>
      <xdr:colOff>742950</xdr:colOff>
      <xdr:row>1232</xdr:row>
      <xdr:rowOff>66674</xdr:rowOff>
    </xdr:from>
    <xdr:ext cx="1270332" cy="428626"/>
    <xdr:pic>
      <xdr:nvPicPr>
        <xdr:cNvPr id="71" name="Picture 70">
          <a:extLst>
            <a:ext uri="{FF2B5EF4-FFF2-40B4-BE49-F238E27FC236}">
              <a16:creationId xmlns:a16="http://schemas.microsoft.com/office/drawing/2014/main" id="{55B39A84-205F-4DA5-9BB5-97CC80F09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129943" y="496528724"/>
          <a:ext cx="1270332" cy="4286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515232</xdr:colOff>
      <xdr:row>0</xdr:row>
      <xdr:rowOff>142874</xdr:rowOff>
    </xdr:from>
    <xdr:to>
      <xdr:col>15</xdr:col>
      <xdr:colOff>13435</xdr:colOff>
      <xdr:row>5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1290A-6780-40F2-AA07-4A1A6D973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8528965" y="142874"/>
          <a:ext cx="3384403" cy="1152525"/>
        </a:xfrm>
        <a:prstGeom prst="rect">
          <a:avLst/>
        </a:prstGeom>
      </xdr:spPr>
    </xdr:pic>
    <xdr:clientData/>
  </xdr:twoCellAnchor>
  <xdr:twoCellAnchor editAs="oneCell">
    <xdr:from>
      <xdr:col>13</xdr:col>
      <xdr:colOff>781050</xdr:colOff>
      <xdr:row>91</xdr:row>
      <xdr:rowOff>38100</xdr:rowOff>
    </xdr:from>
    <xdr:to>
      <xdr:col>15</xdr:col>
      <xdr:colOff>41606</xdr:colOff>
      <xdr:row>93</xdr:row>
      <xdr:rowOff>57733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0AF5E5-3C72-4231-A6ED-8B3EBF2E6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00794" y="25346025"/>
          <a:ext cx="1413206" cy="476833"/>
        </a:xfrm>
        <a:prstGeom prst="rect">
          <a:avLst/>
        </a:prstGeom>
      </xdr:spPr>
    </xdr:pic>
    <xdr:clientData/>
  </xdr:twoCellAnchor>
  <xdr:oneCellAnchor>
    <xdr:from>
      <xdr:col>13</xdr:col>
      <xdr:colOff>970511</xdr:colOff>
      <xdr:row>112</xdr:row>
      <xdr:rowOff>38099</xdr:rowOff>
    </xdr:from>
    <xdr:ext cx="1185645" cy="400051"/>
    <xdr:pic>
      <xdr:nvPicPr>
        <xdr:cNvPr id="12" name="Picture 11">
          <a:extLst>
            <a:ext uri="{FF2B5EF4-FFF2-40B4-BE49-F238E27FC236}">
              <a16:creationId xmlns:a16="http://schemas.microsoft.com/office/drawing/2014/main" id="{E490F8A1-44F6-4170-AF37-463336FD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38894" y="38090474"/>
          <a:ext cx="1185645" cy="400051"/>
        </a:xfrm>
        <a:prstGeom prst="rect">
          <a:avLst/>
        </a:prstGeom>
      </xdr:spPr>
    </xdr:pic>
    <xdr:clientData/>
  </xdr:oneCellAnchor>
  <xdr:oneCellAnchor>
    <xdr:from>
      <xdr:col>13</xdr:col>
      <xdr:colOff>999086</xdr:colOff>
      <xdr:row>134</xdr:row>
      <xdr:rowOff>47624</xdr:rowOff>
    </xdr:from>
    <xdr:ext cx="1185645" cy="400051"/>
    <xdr:pic>
      <xdr:nvPicPr>
        <xdr:cNvPr id="13" name="Picture 12">
          <a:extLst>
            <a:ext uri="{FF2B5EF4-FFF2-40B4-BE49-F238E27FC236}">
              <a16:creationId xmlns:a16="http://schemas.microsoft.com/office/drawing/2014/main" id="{ECD5EB9B-69B8-474B-A2CA-419AE210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10319" y="151914224"/>
          <a:ext cx="1185645" cy="400051"/>
        </a:xfrm>
        <a:prstGeom prst="rect">
          <a:avLst/>
        </a:prstGeom>
      </xdr:spPr>
    </xdr:pic>
    <xdr:clientData/>
  </xdr:oneCellAnchor>
  <xdr:oneCellAnchor>
    <xdr:from>
      <xdr:col>13</xdr:col>
      <xdr:colOff>999086</xdr:colOff>
      <xdr:row>156</xdr:row>
      <xdr:rowOff>47624</xdr:rowOff>
    </xdr:from>
    <xdr:ext cx="1185645" cy="400051"/>
    <xdr:pic>
      <xdr:nvPicPr>
        <xdr:cNvPr id="14" name="Picture 13">
          <a:extLst>
            <a:ext uri="{FF2B5EF4-FFF2-40B4-BE49-F238E27FC236}">
              <a16:creationId xmlns:a16="http://schemas.microsoft.com/office/drawing/2014/main" id="{5E741BE1-066F-4C64-87C5-0149E2D5B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10319" y="164591999"/>
          <a:ext cx="1185645" cy="400051"/>
        </a:xfrm>
        <a:prstGeom prst="rect">
          <a:avLst/>
        </a:prstGeom>
      </xdr:spPr>
    </xdr:pic>
    <xdr:clientData/>
  </xdr:oneCellAnchor>
  <xdr:oneCellAnchor>
    <xdr:from>
      <xdr:col>13</xdr:col>
      <xdr:colOff>999086</xdr:colOff>
      <xdr:row>179</xdr:row>
      <xdr:rowOff>47624</xdr:rowOff>
    </xdr:from>
    <xdr:ext cx="1185645" cy="400051"/>
    <xdr:pic>
      <xdr:nvPicPr>
        <xdr:cNvPr id="15" name="Picture 14">
          <a:extLst>
            <a:ext uri="{FF2B5EF4-FFF2-40B4-BE49-F238E27FC236}">
              <a16:creationId xmlns:a16="http://schemas.microsoft.com/office/drawing/2014/main" id="{CD908669-5A76-4F66-A431-16519509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10319" y="177365024"/>
          <a:ext cx="1185645" cy="400051"/>
        </a:xfrm>
        <a:prstGeom prst="rect">
          <a:avLst/>
        </a:prstGeom>
      </xdr:spPr>
    </xdr:pic>
    <xdr:clientData/>
  </xdr:oneCellAnchor>
  <xdr:twoCellAnchor editAs="oneCell">
    <xdr:from>
      <xdr:col>13</xdr:col>
      <xdr:colOff>586553</xdr:colOff>
      <xdr:row>55</xdr:row>
      <xdr:rowOff>57150</xdr:rowOff>
    </xdr:from>
    <xdr:to>
      <xdr:col>15</xdr:col>
      <xdr:colOff>14758</xdr:colOff>
      <xdr:row>56</xdr:row>
      <xdr:rowOff>28575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F726856-68D6-4201-93A2-53CAEA805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27642" y="12553950"/>
          <a:ext cx="1580855" cy="533400"/>
        </a:xfrm>
        <a:prstGeom prst="rect">
          <a:avLst/>
        </a:prstGeom>
      </xdr:spPr>
    </xdr:pic>
    <xdr:clientData/>
  </xdr:twoCellAnchor>
  <xdr:oneCellAnchor>
    <xdr:from>
      <xdr:col>13</xdr:col>
      <xdr:colOff>980036</xdr:colOff>
      <xdr:row>195</xdr:row>
      <xdr:rowOff>38099</xdr:rowOff>
    </xdr:from>
    <xdr:ext cx="1185645" cy="400051"/>
    <xdr:pic>
      <xdr:nvPicPr>
        <xdr:cNvPr id="19" name="Picture 18">
          <a:extLst>
            <a:ext uri="{FF2B5EF4-FFF2-40B4-BE49-F238E27FC236}">
              <a16:creationId xmlns:a16="http://schemas.microsoft.com/office/drawing/2014/main" id="{301A7BE1-6B26-452C-8044-DDB284F9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29369" y="88963499"/>
          <a:ext cx="1185645" cy="400051"/>
        </a:xfrm>
        <a:prstGeom prst="rect">
          <a:avLst/>
        </a:prstGeom>
      </xdr:spPr>
    </xdr:pic>
    <xdr:clientData/>
  </xdr:oneCellAnchor>
  <xdr:oneCellAnchor>
    <xdr:from>
      <xdr:col>13</xdr:col>
      <xdr:colOff>980036</xdr:colOff>
      <xdr:row>223</xdr:row>
      <xdr:rowOff>38099</xdr:rowOff>
    </xdr:from>
    <xdr:ext cx="1185645" cy="400051"/>
    <xdr:pic>
      <xdr:nvPicPr>
        <xdr:cNvPr id="4" name="Picture 3">
          <a:extLst>
            <a:ext uri="{FF2B5EF4-FFF2-40B4-BE49-F238E27FC236}">
              <a16:creationId xmlns:a16="http://schemas.microsoft.com/office/drawing/2014/main" id="{4A6C678D-66E9-4C66-95F4-857854860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29369" y="101726999"/>
          <a:ext cx="1185645" cy="40005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552576</xdr:colOff>
      <xdr:row>0</xdr:row>
      <xdr:rowOff>19050</xdr:rowOff>
    </xdr:from>
    <xdr:to>
      <xdr:col>15</xdr:col>
      <xdr:colOff>213459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47C645-F74E-45D6-A950-FE0F4B55D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9500516" y="19050"/>
          <a:ext cx="2908908" cy="990600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56</xdr:row>
      <xdr:rowOff>85725</xdr:rowOff>
    </xdr:from>
    <xdr:to>
      <xdr:col>15</xdr:col>
      <xdr:colOff>22556</xdr:colOff>
      <xdr:row>58</xdr:row>
      <xdr:rowOff>105358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8BD6C0-5218-4319-A4A5-9D250F584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19844" y="12811125"/>
          <a:ext cx="1413206" cy="4768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123</xdr:row>
      <xdr:rowOff>38100</xdr:rowOff>
    </xdr:from>
    <xdr:to>
      <xdr:col>10</xdr:col>
      <xdr:colOff>41607</xdr:colOff>
      <xdr:row>124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B7CFB-CD10-4053-BB73-6597CF489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86918" y="26860500"/>
          <a:ext cx="1270332" cy="428626"/>
        </a:xfrm>
        <a:prstGeom prst="rect">
          <a:avLst/>
        </a:prstGeom>
      </xdr:spPr>
    </xdr:pic>
    <xdr:clientData/>
  </xdr:twoCellAnchor>
  <xdr:twoCellAnchor editAs="oneCell">
    <xdr:from>
      <xdr:col>5</xdr:col>
      <xdr:colOff>1552701</xdr:colOff>
      <xdr:row>0</xdr:row>
      <xdr:rowOff>95250</xdr:rowOff>
    </xdr:from>
    <xdr:to>
      <xdr:col>9</xdr:col>
      <xdr:colOff>899259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6ACE9B-6C20-4F23-92B1-9DECBA4B5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1891291" y="95250"/>
          <a:ext cx="2908908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81</xdr:row>
      <xdr:rowOff>47625</xdr:rowOff>
    </xdr:from>
    <xdr:to>
      <xdr:col>9</xdr:col>
      <xdr:colOff>938682</xdr:colOff>
      <xdr:row>82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95A8AE-EE0E-4DA0-A2D4-C06CBD8C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51868" y="18249900"/>
          <a:ext cx="1129182" cy="381000"/>
        </a:xfrm>
        <a:prstGeom prst="rect">
          <a:avLst/>
        </a:prstGeom>
      </xdr:spPr>
    </xdr:pic>
    <xdr:clientData/>
  </xdr:twoCellAnchor>
  <xdr:twoCellAnchor editAs="oneCell">
    <xdr:from>
      <xdr:col>8</xdr:col>
      <xdr:colOff>257175</xdr:colOff>
      <xdr:row>40</xdr:row>
      <xdr:rowOff>38100</xdr:rowOff>
    </xdr:from>
    <xdr:to>
      <xdr:col>10</xdr:col>
      <xdr:colOff>5232</xdr:colOff>
      <xdr:row>40</xdr:row>
      <xdr:rowOff>419100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9597D2-9E30-4A02-AE69-A503D9F57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23293" y="9105900"/>
          <a:ext cx="1129182" cy="381000"/>
        </a:xfrm>
        <a:prstGeom prst="rect">
          <a:avLst/>
        </a:prstGeom>
      </xdr:spPr>
    </xdr:pic>
    <xdr:clientData/>
  </xdr:twoCellAnchor>
  <xdr:oneCellAnchor>
    <xdr:from>
      <xdr:col>8</xdr:col>
      <xdr:colOff>142875</xdr:colOff>
      <xdr:row>148</xdr:row>
      <xdr:rowOff>47624</xdr:rowOff>
    </xdr:from>
    <xdr:ext cx="1270332" cy="428626"/>
    <xdr:pic>
      <xdr:nvPicPr>
        <xdr:cNvPr id="6" name="Picture 5">
          <a:extLst>
            <a:ext uri="{FF2B5EF4-FFF2-40B4-BE49-F238E27FC236}">
              <a16:creationId xmlns:a16="http://schemas.microsoft.com/office/drawing/2014/main" id="{A818F81F-508A-4166-8297-2F3128187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35861624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173</xdr:row>
      <xdr:rowOff>38100</xdr:rowOff>
    </xdr:from>
    <xdr:ext cx="1270332" cy="428626"/>
    <xdr:pic>
      <xdr:nvPicPr>
        <xdr:cNvPr id="7" name="Picture 6">
          <a:extLst>
            <a:ext uri="{FF2B5EF4-FFF2-40B4-BE49-F238E27FC236}">
              <a16:creationId xmlns:a16="http://schemas.microsoft.com/office/drawing/2014/main" id="{BBD914DD-A172-4B43-B73E-C1181D713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448437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123825</xdr:colOff>
      <xdr:row>222</xdr:row>
      <xdr:rowOff>28575</xdr:rowOff>
    </xdr:from>
    <xdr:ext cx="1270332" cy="428626"/>
    <xdr:pic>
      <xdr:nvPicPr>
        <xdr:cNvPr id="8" name="Picture 7">
          <a:extLst>
            <a:ext uri="{FF2B5EF4-FFF2-40B4-BE49-F238E27FC236}">
              <a16:creationId xmlns:a16="http://schemas.microsoft.com/office/drawing/2014/main" id="{9A4D67F1-F0EA-46C8-B947-D37232943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15493" y="5396865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245</xdr:row>
      <xdr:rowOff>38100</xdr:rowOff>
    </xdr:from>
    <xdr:ext cx="1270332" cy="428626"/>
    <xdr:pic>
      <xdr:nvPicPr>
        <xdr:cNvPr id="9" name="Picture 8">
          <a:extLst>
            <a:ext uri="{FF2B5EF4-FFF2-40B4-BE49-F238E27FC236}">
              <a16:creationId xmlns:a16="http://schemas.microsoft.com/office/drawing/2014/main" id="{649AD827-7AA4-4796-8052-B7DD7EEE9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86918" y="630555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291</xdr:row>
      <xdr:rowOff>38100</xdr:rowOff>
    </xdr:from>
    <xdr:ext cx="1270332" cy="428626"/>
    <xdr:pic>
      <xdr:nvPicPr>
        <xdr:cNvPr id="11" name="Picture 10">
          <a:extLst>
            <a:ext uri="{FF2B5EF4-FFF2-40B4-BE49-F238E27FC236}">
              <a16:creationId xmlns:a16="http://schemas.microsoft.com/office/drawing/2014/main" id="{5E36D340-B8EA-40EE-B5DA-0B2A402B6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86918" y="812292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346</xdr:row>
      <xdr:rowOff>28575</xdr:rowOff>
    </xdr:from>
    <xdr:ext cx="1270332" cy="428626"/>
    <xdr:pic>
      <xdr:nvPicPr>
        <xdr:cNvPr id="16" name="Picture 15">
          <a:extLst>
            <a:ext uri="{FF2B5EF4-FFF2-40B4-BE49-F238E27FC236}">
              <a16:creationId xmlns:a16="http://schemas.microsoft.com/office/drawing/2014/main" id="{74292A67-3318-45FF-8691-F03965C40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86918" y="1265301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370</xdr:row>
      <xdr:rowOff>38100</xdr:rowOff>
    </xdr:from>
    <xdr:ext cx="1270332" cy="428626"/>
    <xdr:pic>
      <xdr:nvPicPr>
        <xdr:cNvPr id="17" name="Picture 16">
          <a:extLst>
            <a:ext uri="{FF2B5EF4-FFF2-40B4-BE49-F238E27FC236}">
              <a16:creationId xmlns:a16="http://schemas.microsoft.com/office/drawing/2014/main" id="{7D5DEF71-EC54-456E-9072-B4494A71B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86918" y="13558837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427</xdr:row>
      <xdr:rowOff>38100</xdr:rowOff>
    </xdr:from>
    <xdr:ext cx="1270332" cy="428626"/>
    <xdr:pic>
      <xdr:nvPicPr>
        <xdr:cNvPr id="20" name="Picture 19">
          <a:extLst>
            <a:ext uri="{FF2B5EF4-FFF2-40B4-BE49-F238E27FC236}">
              <a16:creationId xmlns:a16="http://schemas.microsoft.com/office/drawing/2014/main" id="{F5437E61-701F-4141-AE0E-8FA201AA8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16270605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114300</xdr:colOff>
      <xdr:row>452</xdr:row>
      <xdr:rowOff>28575</xdr:rowOff>
    </xdr:from>
    <xdr:ext cx="1270332" cy="428626"/>
    <xdr:pic>
      <xdr:nvPicPr>
        <xdr:cNvPr id="21" name="Picture 20">
          <a:extLst>
            <a:ext uri="{FF2B5EF4-FFF2-40B4-BE49-F238E27FC236}">
              <a16:creationId xmlns:a16="http://schemas.microsoft.com/office/drawing/2014/main" id="{0EF5B693-3BFA-4F62-A3DE-084333838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25018" y="17165002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133350</xdr:colOff>
      <xdr:row>478</xdr:row>
      <xdr:rowOff>38100</xdr:rowOff>
    </xdr:from>
    <xdr:ext cx="1270332" cy="428626"/>
    <xdr:pic>
      <xdr:nvPicPr>
        <xdr:cNvPr id="22" name="Picture 21">
          <a:extLst>
            <a:ext uri="{FF2B5EF4-FFF2-40B4-BE49-F238E27FC236}">
              <a16:creationId xmlns:a16="http://schemas.microsoft.com/office/drawing/2014/main" id="{7F589258-AB33-44FC-BD90-162C34F87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05968" y="18073687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503</xdr:row>
      <xdr:rowOff>38100</xdr:rowOff>
    </xdr:from>
    <xdr:ext cx="1270332" cy="428626"/>
    <xdr:pic>
      <xdr:nvPicPr>
        <xdr:cNvPr id="23" name="Picture 22">
          <a:extLst>
            <a:ext uri="{FF2B5EF4-FFF2-40B4-BE49-F238E27FC236}">
              <a16:creationId xmlns:a16="http://schemas.microsoft.com/office/drawing/2014/main" id="{2AD3F6B0-AFD5-4287-93B0-C87D2FC22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18970942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556</xdr:row>
      <xdr:rowOff>38100</xdr:rowOff>
    </xdr:from>
    <xdr:ext cx="1270332" cy="428626"/>
    <xdr:pic>
      <xdr:nvPicPr>
        <xdr:cNvPr id="24" name="Picture 23">
          <a:extLst>
            <a:ext uri="{FF2B5EF4-FFF2-40B4-BE49-F238E27FC236}">
              <a16:creationId xmlns:a16="http://schemas.microsoft.com/office/drawing/2014/main" id="{C6372B42-93CF-4A4C-BA02-97FB98295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14491335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583</xdr:row>
      <xdr:rowOff>57150</xdr:rowOff>
    </xdr:from>
    <xdr:ext cx="1270332" cy="428626"/>
    <xdr:pic>
      <xdr:nvPicPr>
        <xdr:cNvPr id="26" name="Picture 25">
          <a:extLst>
            <a:ext uri="{FF2B5EF4-FFF2-40B4-BE49-F238E27FC236}">
              <a16:creationId xmlns:a16="http://schemas.microsoft.com/office/drawing/2014/main" id="{38D6C9FE-4AAE-4E75-A922-F0E7AD812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15390495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133350</xdr:colOff>
      <xdr:row>633</xdr:row>
      <xdr:rowOff>47625</xdr:rowOff>
    </xdr:from>
    <xdr:ext cx="1270332" cy="428626"/>
    <xdr:pic>
      <xdr:nvPicPr>
        <xdr:cNvPr id="32" name="Picture 31">
          <a:extLst>
            <a:ext uri="{FF2B5EF4-FFF2-40B4-BE49-F238E27FC236}">
              <a16:creationId xmlns:a16="http://schemas.microsoft.com/office/drawing/2014/main" id="{10A959B3-BE33-42CE-B776-632D54BA8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05968" y="27086242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86074</xdr:colOff>
      <xdr:row>679</xdr:row>
      <xdr:rowOff>85725</xdr:rowOff>
    </xdr:from>
    <xdr:ext cx="1298559" cy="438150"/>
    <xdr:pic>
      <xdr:nvPicPr>
        <xdr:cNvPr id="33" name="Picture 32">
          <a:extLst>
            <a:ext uri="{FF2B5EF4-FFF2-40B4-BE49-F238E27FC236}">
              <a16:creationId xmlns:a16="http://schemas.microsoft.com/office/drawing/2014/main" id="{85093A10-C1FD-4458-996B-AFA4C0EFF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25017" y="226523550"/>
          <a:ext cx="1298559" cy="438150"/>
        </a:xfrm>
        <a:prstGeom prst="rect">
          <a:avLst/>
        </a:prstGeom>
      </xdr:spPr>
    </xdr:pic>
    <xdr:clientData/>
  </xdr:oneCellAnchor>
  <xdr:oneCellAnchor>
    <xdr:from>
      <xdr:col>8</xdr:col>
      <xdr:colOff>133350</xdr:colOff>
      <xdr:row>731</xdr:row>
      <xdr:rowOff>38100</xdr:rowOff>
    </xdr:from>
    <xdr:ext cx="1270332" cy="428626"/>
    <xdr:pic>
      <xdr:nvPicPr>
        <xdr:cNvPr id="38" name="Picture 37">
          <a:extLst>
            <a:ext uri="{FF2B5EF4-FFF2-40B4-BE49-F238E27FC236}">
              <a16:creationId xmlns:a16="http://schemas.microsoft.com/office/drawing/2014/main" id="{5ADE428C-EFAA-461F-8E5F-09F2CC26E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05968" y="19016662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923</xdr:row>
      <xdr:rowOff>47625</xdr:rowOff>
    </xdr:from>
    <xdr:ext cx="1270332" cy="428626"/>
    <xdr:pic>
      <xdr:nvPicPr>
        <xdr:cNvPr id="59" name="Picture 58">
          <a:extLst>
            <a:ext uri="{FF2B5EF4-FFF2-40B4-BE49-F238E27FC236}">
              <a16:creationId xmlns:a16="http://schemas.microsoft.com/office/drawing/2014/main" id="{A8BEB1D7-4C13-4973-8B93-12154AA5D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20808315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123825</xdr:colOff>
      <xdr:row>199</xdr:row>
      <xdr:rowOff>28575</xdr:rowOff>
    </xdr:from>
    <xdr:ext cx="1270332" cy="428626"/>
    <xdr:pic>
      <xdr:nvPicPr>
        <xdr:cNvPr id="10" name="Picture 9">
          <a:extLst>
            <a:ext uri="{FF2B5EF4-FFF2-40B4-BE49-F238E27FC236}">
              <a16:creationId xmlns:a16="http://schemas.microsoft.com/office/drawing/2014/main" id="{6F4FF651-6F6B-477E-8CBC-10067E8E8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15493" y="5961697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396</xdr:row>
      <xdr:rowOff>38100</xdr:rowOff>
    </xdr:from>
    <xdr:ext cx="1270332" cy="428626"/>
    <xdr:pic>
      <xdr:nvPicPr>
        <xdr:cNvPr id="13" name="Picture 12">
          <a:extLst>
            <a:ext uri="{FF2B5EF4-FFF2-40B4-BE49-F238E27FC236}">
              <a16:creationId xmlns:a16="http://schemas.microsoft.com/office/drawing/2014/main" id="{054425C4-534E-4E2E-BA78-BB090EA02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86918" y="11817667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529</xdr:row>
      <xdr:rowOff>38100</xdr:rowOff>
    </xdr:from>
    <xdr:ext cx="1270332" cy="428626"/>
    <xdr:pic>
      <xdr:nvPicPr>
        <xdr:cNvPr id="15" name="Picture 14">
          <a:extLst>
            <a:ext uri="{FF2B5EF4-FFF2-40B4-BE49-F238E27FC236}">
              <a16:creationId xmlns:a16="http://schemas.microsoft.com/office/drawing/2014/main" id="{EDA64983-2E5F-467A-8DAF-430DF3478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18336577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608</xdr:row>
      <xdr:rowOff>57150</xdr:rowOff>
    </xdr:from>
    <xdr:ext cx="1270332" cy="428626"/>
    <xdr:pic>
      <xdr:nvPicPr>
        <xdr:cNvPr id="28" name="Picture 27">
          <a:extLst>
            <a:ext uri="{FF2B5EF4-FFF2-40B4-BE49-F238E27FC236}">
              <a16:creationId xmlns:a16="http://schemas.microsoft.com/office/drawing/2014/main" id="{AFE82459-577D-4712-9D77-6B6125652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21268372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133350</xdr:colOff>
      <xdr:row>656</xdr:row>
      <xdr:rowOff>47625</xdr:rowOff>
    </xdr:from>
    <xdr:ext cx="1270332" cy="428626"/>
    <xdr:pic>
      <xdr:nvPicPr>
        <xdr:cNvPr id="29" name="Picture 28">
          <a:extLst>
            <a:ext uri="{FF2B5EF4-FFF2-40B4-BE49-F238E27FC236}">
              <a16:creationId xmlns:a16="http://schemas.microsoft.com/office/drawing/2014/main" id="{781BFA54-96E1-43D6-AA89-CA6EB54AD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05968" y="24036337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114300</xdr:colOff>
      <xdr:row>704</xdr:row>
      <xdr:rowOff>57150</xdr:rowOff>
    </xdr:from>
    <xdr:ext cx="1270332" cy="428626"/>
    <xdr:pic>
      <xdr:nvPicPr>
        <xdr:cNvPr id="30" name="Picture 29">
          <a:extLst>
            <a:ext uri="{FF2B5EF4-FFF2-40B4-BE49-F238E27FC236}">
              <a16:creationId xmlns:a16="http://schemas.microsoft.com/office/drawing/2014/main" id="{7B621981-E3C6-4262-AF8D-E491C8579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25018" y="23548657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123825</xdr:colOff>
      <xdr:row>824</xdr:row>
      <xdr:rowOff>38100</xdr:rowOff>
    </xdr:from>
    <xdr:ext cx="1270332" cy="428626"/>
    <xdr:pic>
      <xdr:nvPicPr>
        <xdr:cNvPr id="31" name="Picture 30">
          <a:extLst>
            <a:ext uri="{FF2B5EF4-FFF2-40B4-BE49-F238E27FC236}">
              <a16:creationId xmlns:a16="http://schemas.microsoft.com/office/drawing/2014/main" id="{DC4E0D89-E989-4742-9057-FFA25BFC8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15493" y="2992374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123825</xdr:colOff>
      <xdr:row>849</xdr:row>
      <xdr:rowOff>38100</xdr:rowOff>
    </xdr:from>
    <xdr:ext cx="1270332" cy="428626"/>
    <xdr:pic>
      <xdr:nvPicPr>
        <xdr:cNvPr id="34" name="Picture 33">
          <a:extLst>
            <a:ext uri="{FF2B5EF4-FFF2-40B4-BE49-F238E27FC236}">
              <a16:creationId xmlns:a16="http://schemas.microsoft.com/office/drawing/2014/main" id="{60F16EE5-89EF-47E5-A26E-D4EE54357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15493" y="3193923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123825</xdr:colOff>
      <xdr:row>874</xdr:row>
      <xdr:rowOff>38100</xdr:rowOff>
    </xdr:from>
    <xdr:ext cx="1270332" cy="428626"/>
    <xdr:pic>
      <xdr:nvPicPr>
        <xdr:cNvPr id="35" name="Picture 34">
          <a:extLst>
            <a:ext uri="{FF2B5EF4-FFF2-40B4-BE49-F238E27FC236}">
              <a16:creationId xmlns:a16="http://schemas.microsoft.com/office/drawing/2014/main" id="{11BB329D-38C8-4A89-A67E-F66EC6155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15493" y="3251073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123825</xdr:colOff>
      <xdr:row>899</xdr:row>
      <xdr:rowOff>38100</xdr:rowOff>
    </xdr:from>
    <xdr:ext cx="1270332" cy="428626"/>
    <xdr:pic>
      <xdr:nvPicPr>
        <xdr:cNvPr id="36" name="Picture 35">
          <a:extLst>
            <a:ext uri="{FF2B5EF4-FFF2-40B4-BE49-F238E27FC236}">
              <a16:creationId xmlns:a16="http://schemas.microsoft.com/office/drawing/2014/main" id="{F66CCD13-BEDC-4C5C-9949-3D9A06235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15493" y="3308223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123825</xdr:colOff>
      <xdr:row>802</xdr:row>
      <xdr:rowOff>38100</xdr:rowOff>
    </xdr:from>
    <xdr:ext cx="1270332" cy="428626"/>
    <xdr:pic>
      <xdr:nvPicPr>
        <xdr:cNvPr id="41" name="Picture 40">
          <a:extLst>
            <a:ext uri="{FF2B5EF4-FFF2-40B4-BE49-F238E27FC236}">
              <a16:creationId xmlns:a16="http://schemas.microsoft.com/office/drawing/2014/main" id="{AB82AE53-AEB4-405B-A4F9-F8640C2D8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15493" y="27947302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76200</xdr:colOff>
      <xdr:row>759</xdr:row>
      <xdr:rowOff>85725</xdr:rowOff>
    </xdr:from>
    <xdr:ext cx="1270332" cy="428626"/>
    <xdr:pic>
      <xdr:nvPicPr>
        <xdr:cNvPr id="43" name="Picture 42">
          <a:extLst>
            <a:ext uri="{FF2B5EF4-FFF2-40B4-BE49-F238E27FC236}">
              <a16:creationId xmlns:a16="http://schemas.microsoft.com/office/drawing/2014/main" id="{B3178156-A55B-46FA-98B5-6A5EC5601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63118" y="2531745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782</xdr:row>
      <xdr:rowOff>76200</xdr:rowOff>
    </xdr:from>
    <xdr:ext cx="1270332" cy="428626"/>
    <xdr:pic>
      <xdr:nvPicPr>
        <xdr:cNvPr id="44" name="Picture 43">
          <a:extLst>
            <a:ext uri="{FF2B5EF4-FFF2-40B4-BE49-F238E27FC236}">
              <a16:creationId xmlns:a16="http://schemas.microsoft.com/office/drawing/2014/main" id="{D80F1AD1-5742-4F2E-9E15-C6512993A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844068" y="262128000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312</xdr:row>
      <xdr:rowOff>38100</xdr:rowOff>
    </xdr:from>
    <xdr:ext cx="1270332" cy="428626"/>
    <xdr:pic>
      <xdr:nvPicPr>
        <xdr:cNvPr id="12" name="Picture 11">
          <a:extLst>
            <a:ext uri="{FF2B5EF4-FFF2-40B4-BE49-F238E27FC236}">
              <a16:creationId xmlns:a16="http://schemas.microsoft.com/office/drawing/2014/main" id="{354AF359-C55A-4039-8806-4AF44BBCA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86918" y="9038272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271</xdr:row>
      <xdr:rowOff>38100</xdr:rowOff>
    </xdr:from>
    <xdr:ext cx="1270332" cy="428626"/>
    <xdr:pic>
      <xdr:nvPicPr>
        <xdr:cNvPr id="14" name="Picture 13">
          <a:extLst>
            <a:ext uri="{FF2B5EF4-FFF2-40B4-BE49-F238E27FC236}">
              <a16:creationId xmlns:a16="http://schemas.microsoft.com/office/drawing/2014/main" id="{8CB0257E-59C9-4967-B574-D4709C6D2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86918" y="91068525"/>
          <a:ext cx="1270332" cy="428626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949</xdr:row>
      <xdr:rowOff>47625</xdr:rowOff>
    </xdr:from>
    <xdr:ext cx="1270332" cy="428626"/>
    <xdr:pic>
      <xdr:nvPicPr>
        <xdr:cNvPr id="19" name="Picture 18">
          <a:extLst>
            <a:ext uri="{FF2B5EF4-FFF2-40B4-BE49-F238E27FC236}">
              <a16:creationId xmlns:a16="http://schemas.microsoft.com/office/drawing/2014/main" id="{D92CF6CA-4A7A-4FF6-A596-F0BDA1B9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96443" y="316363350"/>
          <a:ext cx="1270332" cy="428626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3F06EC3-EBE5-4B91-99A0-7DE632DBD61B}" name="Table30" displayName="Table30" ref="A3:J72" totalsRowShown="0" headerRowDxfId="406" dataDxfId="405">
  <autoFilter ref="A3:J72" xr:uid="{05BD3A44-3FD7-47BC-A107-11512BF67446}"/>
  <tableColumns count="10">
    <tableColumn id="1" xr3:uid="{622FB8F3-E7A1-4B04-8D21-E476C62BDA72}" name="ردیف" dataDxfId="404"/>
    <tableColumn id="2" xr3:uid="{192CE718-76BD-4871-B845-CE87128FAA01}" name="دسته بندی" dataDxfId="403"/>
    <tableColumn id="3" xr3:uid="{08C15C80-BF0B-4041-BEAF-4737703663CE}" name="کد کالا" dataDxfId="402"/>
    <tableColumn id="4" xr3:uid="{101C41D8-4F92-4AD3-8122-7A066144B0D6}" name="شرح کالا" dataDxfId="401"/>
    <tableColumn id="5" xr3:uid="{DC896513-C8F2-4EB3-A148-9469BB384C9B}" name="طول (سانتی متر)" dataDxfId="400"/>
    <tableColumn id="6" xr3:uid="{E700F174-9523-4B41-9983-7C9737709B5B}" name="عرض (سانتی متر)" dataDxfId="399"/>
    <tableColumn id="7" xr3:uid="{5B130CF2-5696-42AA-9374-30476F8AF7AF}" name="ارتفاع (سانتی متر)" dataDxfId="398"/>
    <tableColumn id="8" xr3:uid="{E17E688D-62C9-43D5-A840-75FF9D46C0A5}" name="وزن (کیلوگرم)" dataDxfId="397"/>
    <tableColumn id="9" xr3:uid="{481B002E-60AA-451B-89C7-24587714C79B}" name="قیمت  (ریال)" dataDxfId="396"/>
    <tableColumn id="10" xr3:uid="{0246D24C-8295-4D0F-8EE5-5339258339D8}" name="قیمت جدید" dataDxfId="395" dataCellStyle="Comma">
      <calculatedColumnFormula>ROUND(((100%+$M$7)*Table30[[#This Row],[قیمت  (ریال)]])*(100%+$M$8),-6)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CF0E92B-234C-4891-A142-3335E8645534}" name="Table3331" displayName="Table3331" ref="A89:J101" totalsRowShown="0" headerRowDxfId="394" dataDxfId="393">
  <autoFilter ref="A89:J101" xr:uid="{482AC8E1-2EED-4235-A6CD-E4386BF220D4}"/>
  <sortState xmlns:xlrd2="http://schemas.microsoft.com/office/spreadsheetml/2017/richdata2" ref="A90:J97">
    <sortCondition ref="C89:C97"/>
  </sortState>
  <tableColumns count="10">
    <tableColumn id="1" xr3:uid="{9F0ED46D-E10E-46E0-BEF7-014E9A51F83D}" name="ردیف" dataDxfId="392"/>
    <tableColumn id="2" xr3:uid="{AABD1089-536B-48C9-86E5-79D7380D56AC}" name="دسته بندی" dataDxfId="391"/>
    <tableColumn id="3" xr3:uid="{A018A423-E637-4103-8F0C-AE26D4D4093C}" name="کد کالا" dataDxfId="390"/>
    <tableColumn id="4" xr3:uid="{0E07631A-25D7-4235-8290-694F6DEA5DAC}" name="شرح کالا" dataDxfId="389"/>
    <tableColumn id="5" xr3:uid="{3EA114D5-F0EC-49C0-914C-D5ADFC3186B3}" name="طول (سانتی متر)" dataDxfId="388"/>
    <tableColumn id="6" xr3:uid="{F5D74A8B-3BDB-4992-BD77-0AEB8FFBB04E}" name="عرض (سانتی متر)" dataDxfId="387"/>
    <tableColumn id="7" xr3:uid="{048FA7E3-A6AC-4CB9-AE90-8932196FF0E7}" name="ارتفاع (سانتی متر)" dataDxfId="386"/>
    <tableColumn id="8" xr3:uid="{1E5765BB-7BE1-4AAD-9E36-241BF454407F}" name="وزن (کیلوگرم)" dataDxfId="385"/>
    <tableColumn id="9" xr3:uid="{98D54A56-085A-468E-BAEE-E7BF5016B3B7}" name="قیمت (ریال)" dataDxfId="384"/>
    <tableColumn id="10" xr3:uid="{8D5167F5-02EF-444B-B443-57F0501DEBA1}" name="قیمت جدید" dataDxfId="383" dataCellStyle="Comma">
      <calculatedColumnFormula>ROUND(((100%+$M$88)*Table3331[[#This Row],[قیمت (ریال)]])*(100%+$M$89),-6)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5B00A5B-1856-4D17-A444-7BA7A32C1D14}" name="Table34" displayName="Table34" ref="A107:J128" totalsRowShown="0" headerRowDxfId="382" dataDxfId="381">
  <autoFilter ref="A107:J128" xr:uid="{F75AF3C1-A0BF-40A9-B771-B0F69748EECE}"/>
  <tableColumns count="10">
    <tableColumn id="1" xr3:uid="{14785774-1BF7-4CB2-B31D-9E35618725E7}" name="ردیف" dataDxfId="380"/>
    <tableColumn id="2" xr3:uid="{59036BC6-2B33-4092-92F5-E5F11C445CD9}" name="دسته بندی" dataDxfId="379"/>
    <tableColumn id="3" xr3:uid="{961D004B-1DA5-4577-B013-B835A929DCA8}" name="کد کالا" dataDxfId="378"/>
    <tableColumn id="4" xr3:uid="{49C0A889-6DFC-47EB-BCF6-ED135FE7556F}" name="شرح کالا" dataDxfId="377"/>
    <tableColumn id="5" xr3:uid="{E5A57D05-66CD-46AE-8340-F069CF4C0424}" name="طول (سانتی متر)" dataDxfId="376"/>
    <tableColumn id="6" xr3:uid="{6C386E3F-1883-4990-8C8B-A0EA05E08F95}" name="عرض (سانتی متر)" dataDxfId="375"/>
    <tableColumn id="7" xr3:uid="{D6993D49-50B3-4B73-8D9A-CDD010FFF2AB}" name="ارتفاع (سانتی متر)" dataDxfId="374"/>
    <tableColumn id="8" xr3:uid="{46A16EAA-EDB8-4AAC-A4B1-624182987B76}" name="وزن (کیلوگرم)" dataDxfId="373"/>
    <tableColumn id="9" xr3:uid="{6A426DBC-BD46-400A-980D-3C1EF8392A9E}" name="قیمت (ریال)" dataDxfId="372"/>
    <tableColumn id="10" xr3:uid="{2A6D5A24-E951-49AF-BE41-39CEE918B814}" name="قیمت جدید" dataDxfId="371" dataCellStyle="Comma">
      <calculatedColumnFormula>ROUND(((100%+$M$107)*Table34[[#This Row],[قیمت (ریال)]])*(100%+$M$108),-6)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7878117-3E6D-4703-8CF4-E06D36FBB678}" name="Table35" displayName="Table35" ref="A135:J146" totalsRowShown="0" headerRowDxfId="370" dataDxfId="369">
  <autoFilter ref="A135:J146" xr:uid="{D08C10B3-1B0E-4AF1-8831-4702AC94E212}"/>
  <tableColumns count="10">
    <tableColumn id="1" xr3:uid="{C0A3B3F5-D5AF-487B-8AAC-F9DE229740F5}" name="ردیف" dataDxfId="368"/>
    <tableColumn id="2" xr3:uid="{63631F16-AE1C-4601-B9CC-DADDC43202A4}" name="دسته بندی" dataDxfId="367"/>
    <tableColumn id="3" xr3:uid="{4C65DEF7-91C1-4DE0-81EB-5C2A60AEB4FB}" name="کد کالا" dataDxfId="366"/>
    <tableColumn id="4" xr3:uid="{6074B425-A3D9-41CE-A184-48FA40A409A3}" name="شرح کالا" dataDxfId="365"/>
    <tableColumn id="5" xr3:uid="{B8ECB559-F0C3-4CD5-841C-13A5384264CB}" name="طول (سانتی متر)" dataDxfId="364"/>
    <tableColumn id="6" xr3:uid="{16BA10CC-7A07-4AAC-B779-AD7797E70F6C}" name="عرض (سانتی متر)" dataDxfId="363"/>
    <tableColumn id="7" xr3:uid="{1F0EC9FE-E463-4BAE-88BD-71BE6B04230A}" name="ارتفاع (سانتی متر)" dataDxfId="362"/>
    <tableColumn id="8" xr3:uid="{25D716D8-0C30-4575-94D9-5DE7D00875CB}" name="وزن (کیلوگرم)" dataDxfId="361"/>
    <tableColumn id="9" xr3:uid="{D900FE72-2398-470F-90F4-6AF13CC49981}" name="قیمت (ریال)" dataDxfId="360"/>
    <tableColumn id="10" xr3:uid="{C1BE4674-0B17-4D1F-A94A-6B753A8D1158}" name="قیمت جدید" dataDxfId="359" dataCellStyle="Comma">
      <calculatedColumnFormula>ROUND(((100%+$M$135)*Table35[[#This Row],[قیمت (ریال)]])*(100%+$M$136),-6)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B9C93AB-2EDE-4CE1-ACE3-EB3ED8643816}" name="Table3636" displayName="Table3636" ref="A151:J157" totalsRowShown="0" headerRowDxfId="358" dataDxfId="357">
  <autoFilter ref="A151:J157" xr:uid="{8A5F8AF9-C845-4E66-A4E9-230D2B2BD229}"/>
  <tableColumns count="10">
    <tableColumn id="1" xr3:uid="{60676305-DA57-45B5-85EC-0CA6B1108EEA}" name="ردیف" dataDxfId="356"/>
    <tableColumn id="2" xr3:uid="{76A998E1-44F0-46DB-88B5-5A0BB50AC08A}" name="دسته بندی" dataDxfId="355"/>
    <tableColumn id="3" xr3:uid="{D9956A96-DF48-40C8-89BE-A6956A706152}" name="کد کالا" dataDxfId="354"/>
    <tableColumn id="4" xr3:uid="{979B8766-CF6D-4ABB-B5B6-5E8DB5D9FEF1}" name="شرح کالا" dataDxfId="353"/>
    <tableColumn id="5" xr3:uid="{8AC174C5-2302-438B-B7A6-4ECC9E6B34CC}" name="طول (سانتی متر)" dataDxfId="352"/>
    <tableColumn id="6" xr3:uid="{799DC907-9D2F-483E-AA27-949B405CEFC6}" name="عرض (سانتی متر)" dataDxfId="351"/>
    <tableColumn id="7" xr3:uid="{AB07E5A6-904F-448B-943F-0014D2913461}" name="ارتفاع (سانتی متر)" dataDxfId="350"/>
    <tableColumn id="8" xr3:uid="{B65E6D1E-B215-4438-AD24-D82417DE9CBF}" name="وزن (کیلوگرم)" dataDxfId="349"/>
    <tableColumn id="9" xr3:uid="{33EFDCAE-A430-462B-90B5-9EFB9FD2071B}" name="قیمت (ریال)" dataDxfId="348"/>
    <tableColumn id="10" xr3:uid="{684AE42D-3EE7-42C0-896E-F7CF9A5DF9A4}" name="قیمت جدید" dataDxfId="347" dataCellStyle="Comma">
      <calculatedColumnFormula>ROUND(((100%+$M$150)*Table3636[[#This Row],[قیمت (ریال)]])*(100%+$M$151),-6)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FE5BD1A-FDB5-4E1A-98B2-DE8E9DA9959E}" name="Table3743" displayName="Table3743" ref="A164:J168" totalsRowShown="0" headerRowDxfId="346" dataDxfId="345">
  <autoFilter ref="A164:J168" xr:uid="{8BFE29FA-2565-45EC-9A9A-14D0978FD02C}"/>
  <tableColumns count="10">
    <tableColumn id="1" xr3:uid="{F53FCE68-9C70-470F-B5AD-B7D121EED03B}" name="ردیف" dataDxfId="344"/>
    <tableColumn id="2" xr3:uid="{BC6A88C4-DEE4-407E-B20E-E2275B102A8A}" name="دسته بندی" dataDxfId="343"/>
    <tableColumn id="3" xr3:uid="{CD850E58-82F1-4905-9BDE-271F3B896DF2}" name="کد کالا" dataDxfId="342"/>
    <tableColumn id="4" xr3:uid="{C8996E4A-3589-4EE5-9A98-F1D6861F2A42}" name="شرح کالا" dataDxfId="341"/>
    <tableColumn id="5" xr3:uid="{2EEE169D-788E-49B9-A92A-60B86D3D3738}" name="طول (سانتی متر)" dataDxfId="340"/>
    <tableColumn id="6" xr3:uid="{20FF6395-9C93-41E9-B0CE-ED669E5B1B73}" name="عرض (سانتی متر)" dataDxfId="339"/>
    <tableColumn id="7" xr3:uid="{348B2906-EBE2-49A4-92E4-B35A8EEC1F18}" name="ارتفاع (سانتی متر)" dataDxfId="338"/>
    <tableColumn id="8" xr3:uid="{4C03398D-4144-4890-98F1-94FF38F1C8C8}" name="وزن (کیلوگرم)" dataDxfId="337"/>
    <tableColumn id="9" xr3:uid="{087BA997-CFC0-49B7-9003-9102B3A24283}" name="قیمت (ریال)" dataDxfId="336"/>
    <tableColumn id="10" xr3:uid="{7AA932B7-735A-451A-8BE1-5F2587D2A7DC}" name="قیمت جدید" dataDxfId="335" dataCellStyle="Comma">
      <calculatedColumnFormula>ROUND(((100%+$M$164)*Table3743[[#This Row],[قیمت (ریال)]])*(100%+$M$165),-6)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33E8E26-6405-4619-96F3-29E43D71AE06}" name="Table3945" displayName="Table3945" ref="A173:J180" totalsRowShown="0" headerRowDxfId="334" dataDxfId="333">
  <autoFilter ref="A173:J180" xr:uid="{60F90FCF-7007-4F60-9826-E3D7F5413FA4}"/>
  <tableColumns count="10">
    <tableColumn id="1" xr3:uid="{8F2E4778-24E8-4917-B15C-F0CA92538C9C}" name="ردیف" dataDxfId="332"/>
    <tableColumn id="2" xr3:uid="{E2309683-D323-4629-B7E9-6A99C2BE7A3A}" name="دسته بندی" dataDxfId="331"/>
    <tableColumn id="3" xr3:uid="{BAB807B4-094E-4A08-9DF6-6568762FE0D3}" name="کد کالا" dataDxfId="330"/>
    <tableColumn id="4" xr3:uid="{157FA41E-1FC3-411B-AB2D-6D0992E67A78}" name="شرح کالا" dataDxfId="329"/>
    <tableColumn id="5" xr3:uid="{7D14FDDB-DDB9-46B4-8C46-2A0B1D9C408A}" name="طول (سانتی متر)" dataDxfId="328"/>
    <tableColumn id="6" xr3:uid="{0374227C-12C4-4BAC-8DE3-F91DFCB6A542}" name="عرض (سانتی متر)" dataDxfId="327"/>
    <tableColumn id="7" xr3:uid="{F322C88B-8032-4C52-A160-F058790161AB}" name="ارتفاع (سانتی متر)" dataDxfId="326"/>
    <tableColumn id="8" xr3:uid="{4C5E087D-E29B-4B8D-AFB3-A27E01A00BD3}" name="وزن (کیلوگرم)" dataDxfId="325"/>
    <tableColumn id="9" xr3:uid="{A21AB16C-88B7-4FED-8A4D-C0336FE14169}" name="قیمت (ریال)" dataDxfId="324"/>
    <tableColumn id="10" xr3:uid="{98D236FF-5B60-47A5-8AAE-B2C6146F8FF5}" name="قیمت جدید" dataDxfId="323" dataCellStyle="Comma">
      <calculatedColumnFormula>ROUND(((100%+$M$173)*Table3945[[#This Row],[قیمت (ریال)]])*(100%+$M$174),-6)</calculatedColumnFormula>
    </tableColumn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951A572-0ED6-4438-91CF-5D9BEB5949CB}" name="Table4046" displayName="Table4046" ref="A185:J203" totalsRowShown="0" headerRowDxfId="322" dataDxfId="321">
  <autoFilter ref="A185:J203" xr:uid="{31F33213-89D1-43CC-8A28-DDA95D1F61DF}"/>
  <tableColumns count="10">
    <tableColumn id="1" xr3:uid="{6C226B71-9AEE-4FA5-8DF4-B0A003E7AE81}" name="ردیف" dataDxfId="320"/>
    <tableColumn id="2" xr3:uid="{F545721A-118E-4FD3-A67C-C519D5697589}" name="دسته بندی" dataDxfId="319"/>
    <tableColumn id="3" xr3:uid="{43019237-F01B-4033-9FF9-5B507FF9F403}" name="کد کالا" dataDxfId="318"/>
    <tableColumn id="4" xr3:uid="{47BDAFAB-8914-47D7-8189-CA21EF0FC4D3}" name="شرح کالا" dataDxfId="317"/>
    <tableColumn id="5" xr3:uid="{51CDBF3E-67B8-4770-8CD0-A53E1A52D0DE}" name="طول (سانتی متر)" dataDxfId="316"/>
    <tableColumn id="6" xr3:uid="{1BAF1953-19E4-4073-9424-9033B660DFFD}" name="عرض (سانتی متر)" dataDxfId="315"/>
    <tableColumn id="7" xr3:uid="{07C654BF-8510-4E7F-9573-24F89F11D3E3}" name="ارتفاع (سانتی متر)" dataDxfId="314"/>
    <tableColumn id="8" xr3:uid="{EB0B26B8-6980-47A0-A9A5-ACFCDC924C25}" name="وزن (کیلوگرم)" dataDxfId="313"/>
    <tableColumn id="9" xr3:uid="{0AC74A76-1481-490E-BEBD-B6500B819709}" name="قیمت (ریال)" dataDxfId="312"/>
    <tableColumn id="10" xr3:uid="{833EC82A-42FA-4348-9B4D-93D24696EEE9}" name="قیمت جدید" dataDxfId="311" dataCellStyle="Comma">
      <calculatedColumnFormula>ROUND(((100%+$M$185)*Table4046[[#This Row],[قیمت (ریال)]])*(100%+$M$186),-6)</calculatedColumnFormula>
    </tableColumn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CE41721-282A-4BD2-B662-659880849DA2}" name="Table4150" displayName="Table4150" ref="A210:J237" totalsRowShown="0" headerRowDxfId="310" dataDxfId="309">
  <autoFilter ref="A210:J237" xr:uid="{7E5AF337-51C9-4FCC-88E7-B20BCE14D2BA}"/>
  <sortState xmlns:xlrd2="http://schemas.microsoft.com/office/spreadsheetml/2017/richdata2" ref="A211:J226">
    <sortCondition ref="C210:C226"/>
  </sortState>
  <tableColumns count="10">
    <tableColumn id="1" xr3:uid="{5DF77709-0961-4428-8A73-B8C8277C98E0}" name="ردیف" dataDxfId="308"/>
    <tableColumn id="2" xr3:uid="{ADD9DD4E-8A02-447E-BE67-6CBF20890838}" name="دسته بندی" dataDxfId="307"/>
    <tableColumn id="3" xr3:uid="{D52976E1-E6D6-4E2E-8F02-CCC1FC11E696}" name="کد کالا" dataDxfId="306"/>
    <tableColumn id="4" xr3:uid="{15071416-1593-4276-B0D4-FA45D559454C}" name="شرح کالا" dataDxfId="305"/>
    <tableColumn id="5" xr3:uid="{69282480-8B84-436B-ACC5-67F5013BA6AB}" name="طول (سانتی متر)" dataDxfId="304"/>
    <tableColumn id="6" xr3:uid="{784AC273-634E-45FC-BAC9-BFE256496994}" name="عرض (سانتی متر)" dataDxfId="303"/>
    <tableColumn id="7" xr3:uid="{4B218344-A842-4CFB-B7D2-75FA7B18CBCA}" name="ارتفاع (سانتی متر)" dataDxfId="302"/>
    <tableColumn id="8" xr3:uid="{9500292A-307E-4556-A454-89FE71EF16E1}" name="وزن (کیلوگرم)" dataDxfId="301"/>
    <tableColumn id="9" xr3:uid="{72042F6D-A5FC-44B5-AD9D-392F2B4C516A}" name="قیمت (ریال)" dataDxfId="300"/>
    <tableColumn id="10" xr3:uid="{4CA86F4B-AED2-484D-B8F8-C45E8E34349C}" name="قیمت جدید" dataDxfId="299" dataCellStyle="Comma">
      <calculatedColumnFormula>ROUND(((100%+$M$210)*Table4150[[#This Row],[قیمت (ریال)]])*(100%+$M$211),-6)</calculatedColumnFormula>
    </tableColumn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501767D-42AE-4A5D-A2C8-F11FF56847FE}" name="Table42" displayName="Table42" ref="A242:J254" totalsRowShown="0" headerRowDxfId="298" dataDxfId="297">
  <autoFilter ref="A242:J254" xr:uid="{DD5405F1-63DB-48E7-9D74-92E1F22ABFEE}"/>
  <tableColumns count="10">
    <tableColumn id="1" xr3:uid="{F8095D5E-8D3D-4EE5-AF5A-71DA940F00A7}" name="ردیف" dataDxfId="296"/>
    <tableColumn id="2" xr3:uid="{F23455D6-557C-44FD-946B-D03C7D2CD6BD}" name="دسته بندی" dataDxfId="295"/>
    <tableColumn id="3" xr3:uid="{252C8CC1-F8CB-4FDD-8148-4C72D1A4A1FB}" name="کد کالا" dataDxfId="294"/>
    <tableColumn id="4" xr3:uid="{028FD68F-6BF1-44AC-A569-09B00E749F2D}" name="شرح کالا" dataDxfId="293"/>
    <tableColumn id="5" xr3:uid="{BD1794AD-AAA3-4052-9A76-F2C58F757643}" name="طول (سانتی متر)" dataDxfId="292"/>
    <tableColumn id="6" xr3:uid="{C9F76C38-DAE4-45F9-B525-5731E86E2E3B}" name="عرض (سانتی متر)" dataDxfId="291"/>
    <tableColumn id="7" xr3:uid="{31FAE531-9513-464E-B712-89D84E2D7FEF}" name="ارتفاع (سانتی متر)" dataDxfId="290"/>
    <tableColumn id="8" xr3:uid="{BDC5C0A6-9D49-499E-AC84-C2D797E6FFFA}" name="وزن (کیلوگرم)" dataDxfId="289"/>
    <tableColumn id="9" xr3:uid="{AE9049D5-33DF-4F0F-A88E-5E7F3BFC4744}" name="قیمت (ریال)" dataDxfId="288"/>
    <tableColumn id="10" xr3:uid="{1C7CAC03-AC16-4078-AC3B-59B05101D6EF}" name="قیمت جدید" dataDxfId="287" dataCellStyle="Comma">
      <calculatedColumnFormula>ROUND(((100%+$M$242)*Table42[[#This Row],[قیمت (ریال)]])*(100%+$M$243),-6)</calculatedColumnFormula>
    </tableColumn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1438863-AB62-4EF4-9B47-06E8307DE8F6}" name="Table43" displayName="Table43" ref="A259:J298" totalsRowShown="0" headerRowDxfId="286" dataDxfId="285">
  <autoFilter ref="A259:J298" xr:uid="{D9EC12F9-4444-4D6F-91FA-0E5BBC5ECB14}"/>
  <tableColumns count="10">
    <tableColumn id="1" xr3:uid="{8C3F64C1-4FCF-4C1C-8C24-5C5DD289FDF5}" name="ردیف" dataDxfId="284"/>
    <tableColumn id="2" xr3:uid="{3566D872-BB68-40E7-A900-58DF2A9B4E71}" name="دسته بندی" dataDxfId="283"/>
    <tableColumn id="3" xr3:uid="{8C1CD7A9-10B7-4BF8-8601-A364C2F42C82}" name="کد کالا" dataDxfId="282"/>
    <tableColumn id="4" xr3:uid="{18A7F399-1D13-4624-86BB-498F2B183992}" name="شرح کالا" dataDxfId="281"/>
    <tableColumn id="5" xr3:uid="{F6FDDCC8-36F6-4DA6-9D76-56CA2FEF0104}" name="طول (سانتی متر)" dataDxfId="280"/>
    <tableColumn id="6" xr3:uid="{7E8C6895-EA29-4923-B5E8-FAB419E38458}" name="عرض (سانتی متر)" dataDxfId="279"/>
    <tableColumn id="7" xr3:uid="{BBFECC97-AC54-4077-8D70-F300800FE869}" name="ارتفاع (سانتی متر)" dataDxfId="278"/>
    <tableColumn id="8" xr3:uid="{F97BACDC-1365-4505-B1BC-0D3DE691F103}" name="وزن (کیلوگرم)" dataDxfId="277"/>
    <tableColumn id="9" xr3:uid="{126CD235-DB93-452A-A4F1-B32608BCED4A}" name="قیمت (ریال)" dataDxfId="276"/>
    <tableColumn id="10" xr3:uid="{100A044B-B56C-4DCB-8DCA-B1E13CB2E329}" name="قیمت جدید" dataDxfId="275" dataCellStyle="Comma">
      <calculatedColumnFormula>ROUND(((100%+$M$259)*Table43[[#This Row],[قیمت (ریال)]])*(100%+$M$260),-6)</calculatedColumnFormula>
    </tableColumn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C415017-AAB9-482D-9EF8-8611327D0468}" name="Table44" displayName="Table44" ref="A304:J366" totalsRowShown="0" headerRowDxfId="274" dataDxfId="273">
  <autoFilter ref="A304:J366" xr:uid="{DCA72181-D3FC-49DC-9700-3AD6D68394CE}"/>
  <sortState xmlns:xlrd2="http://schemas.microsoft.com/office/spreadsheetml/2017/richdata2" ref="A305:J330">
    <sortCondition ref="C304:C330"/>
  </sortState>
  <tableColumns count="10">
    <tableColumn id="1" xr3:uid="{C54CC570-B31A-4943-8BF1-9441D4ADDA2D}" name="ردیف" dataDxfId="272"/>
    <tableColumn id="2" xr3:uid="{1B4FEB2B-C3BD-4778-A195-1530FE7BB1C4}" name="دسته بندی" dataDxfId="271"/>
    <tableColumn id="3" xr3:uid="{7CD524C6-DE5E-4E7C-87AE-1B3BF113F461}" name="کد کالا" dataDxfId="270"/>
    <tableColumn id="4" xr3:uid="{82844E36-1E35-4009-9773-79EDD3A1392C}" name="شرح کالا" dataDxfId="269"/>
    <tableColumn id="5" xr3:uid="{35A55784-5109-4385-A1D4-F53AE464D080}" name="طول (سانتی متر)" dataDxfId="268"/>
    <tableColumn id="6" xr3:uid="{C4C4CB9A-C065-4ABC-A099-C31A5BFEB565}" name="عرض (سانتی متر)" dataDxfId="267"/>
    <tableColumn id="7" xr3:uid="{518E7011-4126-4719-9EE3-7A7BE7223A1E}" name="ارتفاع (سانتی متر)" dataDxfId="266"/>
    <tableColumn id="8" xr3:uid="{FC2B818B-5492-4F21-9F64-0DC247F19A5F}" name="وزن (کیلوگرم)" dataDxfId="265"/>
    <tableColumn id="9" xr3:uid="{12C3BD53-42D2-46EE-AA8C-453A71864367}" name="قیمت (ریال)" dataDxfId="264"/>
    <tableColumn id="10" xr3:uid="{77C78083-3523-4157-A7D7-5488C470F7B4}" name="قیمت جدید" dataDxfId="263" dataCellStyle="Comma">
      <calculatedColumnFormula>ROUND(((100%+$M$304)*Table44[[#This Row],[قیمت (ریال)]])*(100%+$M$305),-6)</calculatedColumnFormula>
    </tableColumn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89D2979E-FCC2-4B5C-B15A-7AC71D93451A}" name="Table4657" displayName="Table4657" ref="A372:J393" totalsRowShown="0" headerRowDxfId="262" dataDxfId="261">
  <autoFilter ref="A372:J393" xr:uid="{8D3CFC74-1FBD-41F0-8B4B-ABFF84C49196}"/>
  <tableColumns count="10">
    <tableColumn id="1" xr3:uid="{7274211C-DC08-4265-9AFA-B19A8501FA10}" name="ردیف" dataDxfId="260"/>
    <tableColumn id="2" xr3:uid="{CEB9E61E-0E61-46D1-8306-6B551B87D04E}" name="دسته بندی" dataDxfId="259"/>
    <tableColumn id="3" xr3:uid="{F6BC6999-A0CE-4D96-A76D-5E3A5FD72C23}" name="کد کالا" dataDxfId="258"/>
    <tableColumn id="4" xr3:uid="{01F29286-1D7B-47B5-8975-C2B632A925E4}" name="شرح کالا" dataDxfId="257"/>
    <tableColumn id="5" xr3:uid="{FCA04338-F720-4E9E-93DE-A8D8AC46D7B7}" name="طول (سانتی متر)" dataDxfId="256"/>
    <tableColumn id="6" xr3:uid="{771F3B67-58B6-4B38-87F6-27BA77D065B1}" name="عرض (سانتی متر)" dataDxfId="255"/>
    <tableColumn id="7" xr3:uid="{70286A6A-3049-4B83-81FA-DF7F4FA167BC}" name="ارتفاع (سانتی متر)" dataDxfId="254"/>
    <tableColumn id="8" xr3:uid="{88C87CAE-DFA5-430D-9FCC-B631A8F081DB}" name="وزن (کیلوگرم)" dataDxfId="253"/>
    <tableColumn id="9" xr3:uid="{F61F19F6-F371-473D-9BAE-EAFB281DFB48}" name="قیمت (ریال)" dataDxfId="252"/>
    <tableColumn id="10" xr3:uid="{0C53F872-E636-4CCD-ACB5-6B3AC4AAAE95}" name="قیمت جدید" dataDxfId="251" dataCellStyle="Comma">
      <calculatedColumnFormula>ROUND(((100%+$M$372)*Table4657[[#This Row],[قیمت (ریال)]])*(100%+$M$373),-6)</calculatedColumnFormula>
    </tableColumn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C332A03-0C1A-454C-A03A-639EFF9F6101}" name="Table4758" displayName="Table4758" ref="A398:J451" totalsRowShown="0" headerRowDxfId="250" dataDxfId="249">
  <autoFilter ref="A398:J451" xr:uid="{FE1633CC-C557-4E70-ABEB-CFBDF36C2324}"/>
  <sortState xmlns:xlrd2="http://schemas.microsoft.com/office/spreadsheetml/2017/richdata2" ref="A399:J430">
    <sortCondition ref="C398:C430"/>
  </sortState>
  <tableColumns count="10">
    <tableColumn id="1" xr3:uid="{4ED6477E-3359-4CE3-9D68-D005DC28F195}" name="ردیف" dataDxfId="248"/>
    <tableColumn id="2" xr3:uid="{938E70AA-AE34-40FB-974D-F6C17691AD16}" name="دسته بندی" dataDxfId="247"/>
    <tableColumn id="3" xr3:uid="{860879A0-2C6E-497D-A4B5-7C65840C720B}" name="کد کالا" dataDxfId="246"/>
    <tableColumn id="4" xr3:uid="{ED48A5F4-10E5-4DA1-A95B-031B31057FF3}" name="شرح کالا" dataDxfId="245"/>
    <tableColumn id="5" xr3:uid="{E09F7AC6-269D-4104-A85D-C895F6107AC8}" name="طول (سانتی متر)" dataDxfId="244"/>
    <tableColumn id="6" xr3:uid="{B70D8456-33F6-483F-824A-0AA9CAA5778E}" name="عرض (سانتی متر)" dataDxfId="243"/>
    <tableColumn id="7" xr3:uid="{C230349B-A669-4030-9E8D-5F694495F50C}" name="ارتفاع (سانتی متر)" dataDxfId="242"/>
    <tableColumn id="8" xr3:uid="{3B8375E6-44F2-4077-B907-BD991191D4DA}" name="وزن (کیلوگرم)" dataDxfId="241"/>
    <tableColumn id="9" xr3:uid="{38D32C97-3026-4950-90D4-8FD9E2B2C445}" name="قیمت (ریال)" dataDxfId="240"/>
    <tableColumn id="10" xr3:uid="{980FBAF6-752F-4851-AFAF-86C05AC65CF5}" name="قیمت جدید" dataDxfId="239" dataCellStyle="Comma">
      <calculatedColumnFormula>ROUND(((100%+$M$398)*Table4758[[#This Row],[قیمت (ریال)]])*(100%+$M$399),-6)</calculatedColumnFormula>
    </tableColumn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1653F92-8187-4304-9CAA-4EDB527F4AD2}" name="Table4859" displayName="Table4859" ref="A513:J518" totalsRowShown="0" headerRowDxfId="238" dataDxfId="237">
  <autoFilter ref="A513:J518" xr:uid="{09BC2214-6E38-490D-9245-577279A34C92}"/>
  <sortState xmlns:xlrd2="http://schemas.microsoft.com/office/spreadsheetml/2017/richdata2" ref="A514:J518">
    <sortCondition ref="C513:C518"/>
  </sortState>
  <tableColumns count="10">
    <tableColumn id="1" xr3:uid="{DF34003E-FCB6-49A8-A85F-842CDD3DA739}" name="ردیف" dataDxfId="236"/>
    <tableColumn id="2" xr3:uid="{410C415B-EB3E-47D9-8822-E9F0FDE08801}" name="دسته بندی" dataDxfId="235"/>
    <tableColumn id="3" xr3:uid="{C61C19C7-CBDD-4301-B11C-F46ADE77D07C}" name="کد کالا" dataDxfId="234"/>
    <tableColumn id="4" xr3:uid="{775B4993-E578-455F-8A66-5C55DDAD288D}" name="شرح کالا" dataDxfId="233"/>
    <tableColumn id="5" xr3:uid="{C02D413E-6BA0-42C8-B849-F9BDE409E729}" name="طول (سانتی متر)" dataDxfId="232"/>
    <tableColumn id="6" xr3:uid="{49D981EA-5897-4638-A8CE-A82B752E029E}" name="عرض (سانتی متر)" dataDxfId="231"/>
    <tableColumn id="7" xr3:uid="{802FC694-EC38-40F9-81D2-3843528686B1}" name="ارتفاع (سانتی متر)" dataDxfId="230"/>
    <tableColumn id="8" xr3:uid="{EB6443B3-072C-4DAA-A445-319A409EE3F2}" name="وزن (کیلوگرم)" dataDxfId="229"/>
    <tableColumn id="9" xr3:uid="{53ED7BB8-C1AD-4970-BD14-E6561882A4D3}" name="قیمت (ریال)" dataDxfId="228"/>
    <tableColumn id="10" xr3:uid="{14B0368F-B114-4611-9C2F-605E83DF8E03}" name="قیمت جدید" dataDxfId="227" dataCellStyle="Comma">
      <calculatedColumnFormula>ROUND(((100%+$M$513)*Table4859[[#This Row],[قیمت (ریال)]])*(100%+$M$514),-6)</calculatedColumnFormula>
    </tableColumn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337A09-3D5D-4799-BB8C-E47E47F69EAD}" name="Table50" displayName="Table50" ref="A475:J502" totalsRowShown="0" headerRowDxfId="226" dataDxfId="225">
  <autoFilter ref="A475:J502" xr:uid="{6137062C-E46D-41F9-803B-1EB145D33FE0}"/>
  <sortState xmlns:xlrd2="http://schemas.microsoft.com/office/spreadsheetml/2017/richdata2" ref="A476:J484">
    <sortCondition ref="C475:C484"/>
  </sortState>
  <tableColumns count="10">
    <tableColumn id="1" xr3:uid="{2F4D21A1-1B21-413E-9120-8594B55986AC}" name="ردیف" dataDxfId="224"/>
    <tableColumn id="2" xr3:uid="{CC2A61DA-FB4C-4894-A643-CDA63331627C}" name="دسته بندی" dataDxfId="223"/>
    <tableColumn id="3" xr3:uid="{34256B8A-9984-4311-A295-C16AC5E95B04}" name="کد کالا" dataDxfId="222"/>
    <tableColumn id="4" xr3:uid="{C9B3A3C8-743C-475C-8313-8B9F043AA80F}" name="شرح کالا" dataDxfId="221"/>
    <tableColumn id="5" xr3:uid="{CE193A50-CB56-4FC6-90A3-5C769D117B11}" name="طول (سانتی متر)" dataDxfId="220"/>
    <tableColumn id="6" xr3:uid="{BC22CC69-D3FA-4EC1-9F16-CDEB1D78BCE6}" name="عرض (سانتی متر)" dataDxfId="219"/>
    <tableColumn id="7" xr3:uid="{273247AB-476C-4AB2-A869-8588CDC2E7EF}" name="ارتفاع (سانتی متر)" dataDxfId="218"/>
    <tableColumn id="8" xr3:uid="{85C0C5D5-CDE1-4451-957E-C98010BF61D7}" name="وزن (کیلوگرم)" dataDxfId="217"/>
    <tableColumn id="9" xr3:uid="{FB8E9CEF-56E4-40CD-82F8-D15EACC34638}" name="قیمت (ریال)" dataDxfId="216"/>
    <tableColumn id="10" xr3:uid="{0D0EAE32-64D2-47EA-8911-F8EEDAFBA129}" name="قیمت جدید" dataDxfId="215" dataCellStyle="Comma">
      <calculatedColumnFormula>ROUND(((100%+$M$476)*Table50[[#This Row],[قیمت (ریال)]])*(100%+$M$477),-6)</calculatedColumnFormula>
    </tableColumn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D9E5377-A225-4B41-8409-D581E5FFEABA}" name="Table5168" displayName="Table5168" ref="A523:J530" totalsRowShown="0" headerRowDxfId="214" dataDxfId="213">
  <autoFilter ref="A523:J530" xr:uid="{46F7E06D-A5BA-4D59-A7FD-05C8F9C7B206}"/>
  <sortState xmlns:xlrd2="http://schemas.microsoft.com/office/spreadsheetml/2017/richdata2" ref="A524:J526">
    <sortCondition ref="C523:C526"/>
  </sortState>
  <tableColumns count="10">
    <tableColumn id="1" xr3:uid="{7DC01858-34CB-486A-8D8F-7B093DF325B3}" name="ردیف" dataDxfId="212"/>
    <tableColumn id="2" xr3:uid="{A175EC2C-05F2-4680-B553-D73D6C0706FF}" name="دسته بندی" dataDxfId="211"/>
    <tableColumn id="3" xr3:uid="{CA04F6E6-99C8-4A88-B1AF-CF3E92B97384}" name="کد کالا" dataDxfId="210"/>
    <tableColumn id="4" xr3:uid="{56AF8FAD-87D6-4528-92A4-AC7A50491B47}" name="شرح کالا" dataDxfId="209"/>
    <tableColumn id="5" xr3:uid="{BEF13E9E-8AFC-4ABB-ACF4-4A8D80CA5FF1}" name="طول (سانتی متر)" dataDxfId="208"/>
    <tableColumn id="6" xr3:uid="{4ADE29A9-4358-4FD9-A248-AE344FEAA8DA}" name="عرض (سانتی متر)" dataDxfId="207"/>
    <tableColumn id="7" xr3:uid="{6E9B3A1B-D8C7-46F6-BDF0-4CAC5C4F3C34}" name="ارتفاع (سانتی متر)" dataDxfId="206"/>
    <tableColumn id="8" xr3:uid="{1A59BD3D-19DE-456B-8F9C-E4006FB97A13}" name="وزن (کیلوگرم)" dataDxfId="205"/>
    <tableColumn id="9" xr3:uid="{444CA5D0-F723-45F5-9A4D-DEAAB007E0DF}" name="قیمت (ریال)" dataDxfId="204"/>
    <tableColumn id="10" xr3:uid="{5544B02F-A5A0-487F-9E3D-16151D1B7570}" name="قیمت جدید" dataDxfId="203" dataCellStyle="Comma">
      <calculatedColumnFormula>ROUND(((100%+$M$523)*Table5168[[#This Row],[قیمت (ریال)]])*(100%+$M$524),-6)</calculatedColumnFormula>
    </tableColumn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F76F11F1-34D0-47A4-98CF-E2FD0AA3A395}" name="Table5269" displayName="Table5269" ref="A534:J545" totalsRowShown="0" headerRowDxfId="202" dataDxfId="201">
  <autoFilter ref="A534:J545" xr:uid="{263570D0-0FEE-4EDA-8AD7-8D0AC8348BBA}"/>
  <tableColumns count="10">
    <tableColumn id="1" xr3:uid="{E86E8DE7-8C64-479C-B034-46F445D0002E}" name="ردیف" dataDxfId="200"/>
    <tableColumn id="2" xr3:uid="{69C3A4BE-D543-4E70-BA9C-A046650FB07B}" name="دسته بندی" dataDxfId="199"/>
    <tableColumn id="3" xr3:uid="{3FF7659F-0411-4CF0-B8A1-65D9141E4655}" name="کد کالا" dataDxfId="198"/>
    <tableColumn id="4" xr3:uid="{2D7AF2BF-B108-4946-86EB-088B73568B5C}" name="شرح کالا" dataDxfId="197"/>
    <tableColumn id="5" xr3:uid="{D91AA1F0-77B3-4816-A26C-B0C8216DF848}" name="طول (سانتی متر)" dataDxfId="196"/>
    <tableColumn id="6" xr3:uid="{2A0C1B37-37D2-47DB-AE4C-6E66B3C5E372}" name="عرض (سانتی متر)" dataDxfId="195"/>
    <tableColumn id="7" xr3:uid="{0616DFAA-5F9D-4EFA-9CA6-C848D90AC5F9}" name="ارتفاع (سانتی متر)" dataDxfId="194"/>
    <tableColumn id="8" xr3:uid="{01ABD483-4C7E-4403-9305-57397E3EEA61}" name="وزن (کیلوگرم)" dataDxfId="193"/>
    <tableColumn id="9" xr3:uid="{ADC4640F-7464-4DAA-A6BE-B94F8E357E24}" name="قیمت (ریال)" dataDxfId="192"/>
    <tableColumn id="10" xr3:uid="{E06C4368-04FD-4376-B452-C9C0FAA281C8}" name="قیمت جدید" dataDxfId="191" dataCellStyle="Comma">
      <calculatedColumnFormula>ROUND(((100%+$M$534)*Table5269[[#This Row],[قیمت (ریال)]])*(100%+$M$535),-6)</calculatedColumnFormula>
    </tableColumn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DCB1A3D-690B-420C-8D2A-03A83B69C628}" name="Table53" displayName="Table53" ref="A549:J553" totalsRowShown="0" headerRowDxfId="190" dataDxfId="189">
  <autoFilter ref="A549:J553" xr:uid="{3F0E56A1-3D4A-4F48-9C5E-A9CCB5591BC1}"/>
  <sortState xmlns:xlrd2="http://schemas.microsoft.com/office/spreadsheetml/2017/richdata2" ref="A550:J550">
    <sortCondition ref="C549:C550"/>
  </sortState>
  <tableColumns count="10">
    <tableColumn id="1" xr3:uid="{3A78E34C-DBF7-4C9E-90A1-78D0E2AA88AD}" name="ردیف" dataDxfId="188"/>
    <tableColumn id="2" xr3:uid="{383B1CB9-FBEF-4C3B-9BC6-974E7DA4DA5C}" name="دسته بندی" dataDxfId="187"/>
    <tableColumn id="3" xr3:uid="{D201EE54-C844-4070-9FAC-AB3A58E8B002}" name="کد کالا" dataDxfId="186"/>
    <tableColumn id="4" xr3:uid="{7914FC42-E7E0-45B4-AA70-1A745D2E458F}" name="شرح کالا" dataDxfId="185"/>
    <tableColumn id="5" xr3:uid="{DD5CC6E7-9B30-4D84-BA07-F483CEB3BCD6}" name="طول (سانتی متر)" dataDxfId="184"/>
    <tableColumn id="6" xr3:uid="{266BAF0E-1073-4637-BC6C-A11FED30940D}" name="عرض (سانتی متر)" dataDxfId="183"/>
    <tableColumn id="7" xr3:uid="{0BB93F61-EC87-442B-8F2B-94403217DD26}" name="ارتفاع (سانتی متر)" dataDxfId="182"/>
    <tableColumn id="8" xr3:uid="{0DF8783C-CCC3-4F12-AD7F-081FF52594F1}" name="وزن (کیلوگرم)" dataDxfId="181"/>
    <tableColumn id="9" xr3:uid="{3D416E68-B9FF-4713-BF87-5EF69748C9BB}" name="قیمت (ریال)" dataDxfId="180"/>
    <tableColumn id="10" xr3:uid="{8DBFE428-CF63-4BCD-AF39-C91934B62F46}" name="قیمت جدید" dataDxfId="179" dataCellStyle="Comma">
      <calculatedColumnFormula>ROUND(((100%+$M$549)*Table53[[#This Row],[قیمت (ریال)]])*(100%+$M$550),-6)</calculatedColumnFormula>
    </tableColumn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E6DD6FDA-F00F-45C2-B2B2-58F4E0BAD4E0}" name="Table54" displayName="Table54" ref="A558:J567" totalsRowShown="0" headerRowDxfId="178" dataDxfId="177">
  <autoFilter ref="A558:J567" xr:uid="{0FF2B5BF-47F4-4031-8B7E-60CA03FB1902}"/>
  <sortState xmlns:xlrd2="http://schemas.microsoft.com/office/spreadsheetml/2017/richdata2" ref="A559:J562">
    <sortCondition ref="C558:C562"/>
  </sortState>
  <tableColumns count="10">
    <tableColumn id="1" xr3:uid="{0294596D-71AF-4991-8F69-9FE4E0D1A055}" name="ردیف" dataDxfId="176"/>
    <tableColumn id="2" xr3:uid="{136A36CD-075F-46AF-B8E1-24DBEACE191C}" name="دسته بندی" dataDxfId="175"/>
    <tableColumn id="3" xr3:uid="{B4C30045-738E-4799-A8CF-F1B0F21CFF8E}" name="کد کالا" dataDxfId="174"/>
    <tableColumn id="4" xr3:uid="{62A0348F-381F-47E1-A565-8E096BF9CFA4}" name="شرح کالا" dataDxfId="173"/>
    <tableColumn id="5" xr3:uid="{F6C3B71B-7673-440C-AF5B-CCDD60BD2B6D}" name="طول (سانتی متر)" dataDxfId="172"/>
    <tableColumn id="6" xr3:uid="{A80A3C61-B503-4555-9B15-15A0E8F06332}" name="عرض (سانتی متر)" dataDxfId="171"/>
    <tableColumn id="7" xr3:uid="{ED8BDEE8-3136-4602-BD19-FFE5C045E49C}" name="ارتفاع (سانتی متر)" dataDxfId="170"/>
    <tableColumn id="8" xr3:uid="{A44893E2-623A-4331-8FF3-4FAF2F5D8C76}" name="وزن (کیلوگرم)" dataDxfId="169"/>
    <tableColumn id="9" xr3:uid="{A2B98A97-A4FE-4BA5-A88E-82A81178B3F6}" name="قیمت (ریال)" dataDxfId="168"/>
    <tableColumn id="10" xr3:uid="{6C8AEB9E-B45D-46B6-803E-C731DD3B3C54}" name="قیمت جدید" dataDxfId="167" dataCellStyle="Comma">
      <calculatedColumnFormula>ROUND(((100%+$M$558)*Table54[[#This Row],[قیمت (ریال)]])*(100%+$M$559),-6)</calculatedColumnFormula>
    </tableColumn>
  </tableColumns>
  <tableStyleInfo name="TableStyleLight2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2C05AED-A559-4730-A4C8-894A8A11D0D6}" name="Table55" displayName="Table55" ref="A571:J584" totalsRowShown="0" headerRowDxfId="166" dataDxfId="165">
  <autoFilter ref="A571:J584" xr:uid="{65432A5D-159F-4822-8386-CF78E73CD3D5}"/>
  <sortState xmlns:xlrd2="http://schemas.microsoft.com/office/spreadsheetml/2017/richdata2" ref="A572:J574">
    <sortCondition ref="C571:C574"/>
  </sortState>
  <tableColumns count="10">
    <tableColumn id="1" xr3:uid="{2D89D2BC-BE08-45AB-B53D-5CC9A8249255}" name="ردیف" dataDxfId="164"/>
    <tableColumn id="2" xr3:uid="{E1C1400D-A181-4AFB-929A-CC0B36E40427}" name="دسته بندی" dataDxfId="163"/>
    <tableColumn id="3" xr3:uid="{7D13057A-ECA8-475D-BC18-EFD798FE79E5}" name="کد کالا" dataDxfId="162"/>
    <tableColumn id="4" xr3:uid="{0F60E8F9-83CC-46BE-93D0-1E75E057883C}" name="شرح کالا" dataDxfId="161"/>
    <tableColumn id="5" xr3:uid="{61A20DC7-6358-45F4-B062-78CDC7D1EF84}" name="طول (سانتی متر)" dataDxfId="160"/>
    <tableColumn id="6" xr3:uid="{BE3AEFFD-61CB-4631-A2ED-ECBE2F07021A}" name="عرض (سانتی متر)" dataDxfId="159"/>
    <tableColumn id="7" xr3:uid="{018FF514-4DC1-4983-8942-E26CF5535307}" name="ارتفاع (سانتی متر)" dataDxfId="158"/>
    <tableColumn id="8" xr3:uid="{02806735-3F3B-47CA-B31F-81E629B4E65E}" name="وزن (کیلوگرم)" dataDxfId="157"/>
    <tableColumn id="9" xr3:uid="{3BD4FD08-07AA-4A36-9F44-A5DE49AE62C3}" name="قیمت (ریال)" dataDxfId="156"/>
    <tableColumn id="10" xr3:uid="{947B83DA-F488-4E54-AD2A-4C7FA5A49A04}" name="قیمت جدید" dataDxfId="155" dataCellStyle="Comma">
      <calculatedColumnFormula>ROUND(((100%+$M$571)*Table55[[#This Row],[قیمت (ریال)]])*(100%+$M$572),-6)</calculatedColumnFormula>
    </tableColumn>
  </tableColumns>
  <tableStyleInfo name="TableStyleLight2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EAA67C48-59E4-4308-8197-8C9F0DF42E94}" name="Table57" displayName="Table57" ref="A595:J600" totalsRowShown="0" headerRowDxfId="154" dataDxfId="153">
  <autoFilter ref="A595:J600" xr:uid="{01D4ED32-D58C-4792-A34F-49831D8B7606}"/>
  <tableColumns count="10">
    <tableColumn id="1" xr3:uid="{E2147196-F69B-42D6-8869-92B42FCD7E9D}" name="ردیف" dataDxfId="152"/>
    <tableColumn id="2" xr3:uid="{FFE50D6E-E83B-45F9-A2CB-78C1F5220837}" name="دسته بندی" dataDxfId="151"/>
    <tableColumn id="3" xr3:uid="{7359DEDA-C6D4-435B-8F04-71A288826213}" name="کد کالا" dataDxfId="150"/>
    <tableColumn id="4" xr3:uid="{2FC2C17E-0354-4D4E-8FFC-6EE658243CC3}" name="شرح کالا" dataDxfId="149"/>
    <tableColumn id="5" xr3:uid="{63D24674-068F-4106-988F-A67FB650C2B2}" name="طول (سانتی متر)" dataDxfId="148"/>
    <tableColumn id="6" xr3:uid="{07DEE7D6-CFF7-495B-B612-F5A1A13CB8D9}" name="عرض (سانتی متر)" dataDxfId="147"/>
    <tableColumn id="7" xr3:uid="{ED0F2264-268D-4823-A308-152A76994E17}" name="ارتفاع (سانتی متر)" dataDxfId="146"/>
    <tableColumn id="8" xr3:uid="{2A982C28-D8C4-49EA-8275-372CB418AA3F}" name="وزن (کیلوگرم)" dataDxfId="145"/>
    <tableColumn id="9" xr3:uid="{26BBD114-B611-4C6F-ABB9-85A0CBB3EAD3}" name="قیمت (ریال)" dataDxfId="144"/>
    <tableColumn id="10" xr3:uid="{E318710B-1315-49F0-BAD3-107C8BA14CFB}" name="قیمت جدید" dataDxfId="143" dataCellStyle="Comma">
      <calculatedColumnFormula>ROUND(((100%+$M$595)*Table57[[#This Row],[قیمت (ریال)]])*(100%+$M$596),-6)</calculatedColumnFormula>
    </tableColumn>
  </tableColumns>
  <tableStyleInfo name="TableStyleLight2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8053E12A-87B1-4ACE-92CF-87D8F64A6834}" name="Table6081" displayName="Table6081" ref="A685:J690" totalsRowShown="0" headerRowDxfId="142" dataDxfId="141">
  <autoFilter ref="A685:J690" xr:uid="{1DCEF8E4-5DF4-4CC9-B98C-F59452DB6A0C}"/>
  <tableColumns count="10">
    <tableColumn id="1" xr3:uid="{C2A0A904-8008-4ADE-9AA2-3BFCCE14FDCE}" name="ردیف" dataDxfId="140"/>
    <tableColumn id="2" xr3:uid="{3A452220-2112-49D8-BF8A-77DF62F6E51B}" name="دسته بندی" dataDxfId="139"/>
    <tableColumn id="3" xr3:uid="{8EB9F521-2E83-49DC-A624-EEADEE5D684F}" name="کد کالا" dataDxfId="138"/>
    <tableColumn id="4" xr3:uid="{2BF22CC9-D133-4466-AA7F-6C6CC818AA87}" name="شرح کالا" dataDxfId="137"/>
    <tableColumn id="5" xr3:uid="{50C78C1A-F8CF-43EF-88DE-FE00C450DEE5}" name="طول (سانتی متر)" dataDxfId="136"/>
    <tableColumn id="6" xr3:uid="{F555361D-1E65-45EE-90FB-04B536238103}" name="عرض (سانتی متر)" dataDxfId="135"/>
    <tableColumn id="7" xr3:uid="{D0CD523E-C257-447F-8113-355BE24C9FE8}" name="ارتفاع (سانتی متر)" dataDxfId="134"/>
    <tableColumn id="8" xr3:uid="{0EE72658-38AC-4DAD-A15D-B5CC495AD58B}" name="وزن (کیلوگرم)" dataDxfId="133"/>
    <tableColumn id="9" xr3:uid="{77D06B69-C513-4186-908C-3B98DF2F8482}" name="قیمت (ریال)" dataDxfId="132"/>
    <tableColumn id="10" xr3:uid="{8574C87D-AC0D-4AC4-81B7-2E81FD555120}" name="قیمت جدید" dataDxfId="131" dataCellStyle="Comma">
      <calculatedColumnFormula>ROUND(((100%+$M$686)*Table6081[[#This Row],[قیمت (ریال)]])*(100%+$M$687),-6)</calculatedColumnFormula>
    </tableColumn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361B25E7-3032-4904-864B-A838DBDC8F66}" name="Table31" displayName="Table31" ref="A700:J704" totalsRowShown="0" headerRowDxfId="130" dataDxfId="129">
  <autoFilter ref="A700:J704" xr:uid="{6356270B-7F9B-4F7B-AFB9-1B0E7C451621}"/>
  <tableColumns count="10">
    <tableColumn id="1" xr3:uid="{B6008E41-98DE-41D9-98C8-C1D8E718E1F5}" name="ردیف" dataDxfId="128"/>
    <tableColumn id="2" xr3:uid="{477C8CEC-5F2F-449F-8E1E-F5B2FA9A9630}" name="دسته بندی" dataDxfId="127"/>
    <tableColumn id="3" xr3:uid="{81D3C0D2-B796-457F-81E5-9A4EC9324146}" name="کد کالا" dataDxfId="126"/>
    <tableColumn id="4" xr3:uid="{84CE5DE3-43EC-4F54-A36D-4D91B0DB9479}" name="شرح کالا" dataDxfId="125"/>
    <tableColumn id="5" xr3:uid="{E2EF8DA0-4185-4C57-8136-E9700D97BC5F}" name="طول (سانتی متر)" dataDxfId="124"/>
    <tableColumn id="6" xr3:uid="{C9FB9BAA-E414-418C-AD67-FCA7007EBD58}" name="عرض (سانتی متر)" dataDxfId="123"/>
    <tableColumn id="7" xr3:uid="{1589612E-341C-477D-8163-C50C89469DED}" name="ارتفاع (سانتی متر)" dataDxfId="122"/>
    <tableColumn id="8" xr3:uid="{B5B55B7F-7685-489E-BEF2-EA2C57500887}" name="وزن (کیلوگرم)" dataDxfId="121"/>
    <tableColumn id="9" xr3:uid="{59F9996D-1423-4A45-A746-094FDCE4BD64}" name="قیمت (ریال)" dataDxfId="120"/>
    <tableColumn id="10" xr3:uid="{664A1827-CC8A-4E5D-94B4-23943613C2ED}" name="قیمت جدید" dataDxfId="119" dataCellStyle="Comma">
      <calculatedColumnFormula>ROUND(((100%+$M$700)*Table31[[#This Row],[قیمت (ریال)]])*(100%+$M$701),-6)</calculatedColumnFormula>
    </tableColumn>
  </tableColumns>
  <tableStyleInfo name="TableStyleLight2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CF2AD3-A600-4EA6-B862-ADD3E616E5FA}" name="Table1" displayName="Table1" ref="A455:J468" totalsRowShown="0" headerRowDxfId="118" dataDxfId="116" headerRowBorderDxfId="117" tableBorderDxfId="115" totalsRowBorderDxfId="114">
  <autoFilter ref="A455:J468" xr:uid="{3FCF2AD3-A600-4EA6-B862-ADD3E616E5FA}"/>
  <tableColumns count="10">
    <tableColumn id="1" xr3:uid="{BAD52E33-BC74-4ED3-B820-67D4684803B9}" name="ردیف" dataDxfId="113"/>
    <tableColumn id="2" xr3:uid="{22C60E2B-80D7-4AE6-A386-018031E1578B}" name="دسته بندی" dataDxfId="112"/>
    <tableColumn id="3" xr3:uid="{2DC8710C-896A-4170-9DE7-CB38D353A6FD}" name="کد کالا" dataDxfId="111"/>
    <tableColumn id="4" xr3:uid="{81A727A7-D8E2-41B4-B536-FEDAB750B1F8}" name="شرح کالا" dataDxfId="110"/>
    <tableColumn id="5" xr3:uid="{A38AA0DF-0C36-499A-AC4F-81F1AF17E6C2}" name="طول (سانتی متر)" dataDxfId="109"/>
    <tableColumn id="6" xr3:uid="{11DDF0FB-660F-4181-8EB1-296E7101B6A4}" name="عرض (سانتی متر)" dataDxfId="108"/>
    <tableColumn id="7" xr3:uid="{674F823A-7E35-473E-BB0C-E230DA3FBC96}" name="ارتفاع (سانتی متر)" dataDxfId="107"/>
    <tableColumn id="8" xr3:uid="{5FD1F56F-0A76-4136-B7D3-6F554C926944}" name="وزن (کیلوگرم)" dataDxfId="106"/>
    <tableColumn id="9" xr3:uid="{E6F5CE19-DEC2-4022-8EB5-5F85B5D37295}" name="قیمت (ریال)" dataDxfId="105"/>
    <tableColumn id="10" xr3:uid="{BA38E667-C25A-4CD4-A9CA-6A8ACA60808C}" name="قیمت جدید" dataDxfId="104" dataCellStyle="Comma">
      <calculatedColumnFormula>ROUND(((100%+$M$456)*Table1[[#This Row],[قیمت (ریال)]])*(100%+$M$457),-6)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57C08D-3C24-4F2D-8016-23506ACA7C5F}" name="Table573" displayName="Table573" ref="A588:J591" totalsRowShown="0" headerRowDxfId="103" dataDxfId="102">
  <autoFilter ref="A588:J591" xr:uid="{9F57C08D-3C24-4F2D-8016-23506ACA7C5F}"/>
  <tableColumns count="10">
    <tableColumn id="1" xr3:uid="{C3DCCAC9-5E99-4CF3-B835-5074DC0A2433}" name="ردیف" dataDxfId="101"/>
    <tableColumn id="2" xr3:uid="{9C6944A4-D105-4818-ADA2-97E8490D40C8}" name="دسته بندی" dataDxfId="100"/>
    <tableColumn id="3" xr3:uid="{32655057-1BD1-4566-A146-DB6A088EEEB9}" name="کد کالا" dataDxfId="99"/>
    <tableColumn id="4" xr3:uid="{DE96C867-C214-464B-8592-B38E688C0E81}" name="شرح کالا" dataDxfId="98"/>
    <tableColumn id="5" xr3:uid="{88CFD734-F7B5-48BF-B5E6-44999A5626ED}" name="طول (سانتی متر)" dataDxfId="97"/>
    <tableColumn id="6" xr3:uid="{FEFF865C-4400-491F-BAA6-9B68A257FC3E}" name="عرض (سانتی متر)" dataDxfId="96"/>
    <tableColumn id="7" xr3:uid="{3D3AB9B7-7ABA-4768-B1E4-B396CD35FB08}" name="ارتفاع (سانتی متر)" dataDxfId="95"/>
    <tableColumn id="8" xr3:uid="{2CAFD93D-5722-45F4-B465-090A8DCBAF49}" name="وزن (کیلوگرم)" dataDxfId="94"/>
    <tableColumn id="9" xr3:uid="{AA5E0633-AD19-469F-A439-AD9C8382C169}" name="قیمت (ریال)" dataDxfId="93"/>
    <tableColumn id="10" xr3:uid="{207756DD-864B-494D-B5F2-3345A167837D}" name="قیمت جدید" dataDxfId="92" dataCellStyle="Comma">
      <calculatedColumnFormula>ROUND(((100%+$M$588)*Table573[[#This Row],[قیمت (ریال)]])*(100%+$M$589),-6)</calculatedColumnFormula>
    </tableColumn>
  </tableColumns>
  <tableStyleInfo name="TableStyleLight2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71C63F9-95E6-4D82-8D49-83697F960163}" name="Table5" displayName="Table5" ref="A604:J680" totalsRowShown="0" headerRowDxfId="91" dataDxfId="89" headerRowBorderDxfId="90" tableBorderDxfId="88">
  <autoFilter ref="A604:J680" xr:uid="{671C63F9-95E6-4D82-8D49-83697F960163}"/>
  <tableColumns count="10">
    <tableColumn id="1" xr3:uid="{7B115AA0-630D-4151-88D6-848DBFE251F5}" name="ردیف" dataDxfId="87"/>
    <tableColumn id="2" xr3:uid="{698E0DC3-3EEF-488C-A139-976FBDC2F619}" name="دسته بندی" dataDxfId="86"/>
    <tableColumn id="3" xr3:uid="{A9999399-CF1C-43A8-9317-59E7808BA661}" name="کد کالا" dataDxfId="85"/>
    <tableColumn id="4" xr3:uid="{859D8D9D-FE91-4602-906B-434DF8FE6018}" name="شرح کالا" dataDxfId="84"/>
    <tableColumn id="5" xr3:uid="{98EC7E35-5BD6-4209-81ED-62ACCB45315F}" name="طول (سانتی متر)" dataDxfId="83"/>
    <tableColumn id="6" xr3:uid="{8242B3D4-BD01-42EC-A969-7773A6B7797A}" name="عرض (سانتی متر)" dataDxfId="82"/>
    <tableColumn id="7" xr3:uid="{824DA419-3FE0-4AC7-9C5E-511ACB67D2CC}" name="ارتفاع (سانتی متر)" dataDxfId="81"/>
    <tableColumn id="8" xr3:uid="{39BCCE08-5E91-4DEF-A839-4BE64DA78D4B}" name="وزن (کیلوگرم)" dataDxfId="80"/>
    <tableColumn id="9" xr3:uid="{718E691B-66E0-44B5-A3AF-FF9A9CCF2261}" name="قیمت (ریال)" dataDxfId="79"/>
    <tableColumn id="10" xr3:uid="{09ED076B-2481-427E-972D-5C2E8573D4B1}" name="قیمت جدید" dataDxfId="78" dataCellStyle="Comma">
      <calculatedColumnFormula>ROUND(((100%+$M$605)*Table5[[#This Row],[قیمت (ریال)]])*(100%+$M$606),-6)</calculatedColumnFormula>
    </tableColumn>
  </tableColumns>
  <tableStyleInfo name="TableStyleLight2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3BB242-64FB-4BAE-BA7A-27D07DCBC28F}" name="Table8" displayName="Table8" ref="A709:J717" totalsRowShown="0" headerRowDxfId="77" dataDxfId="75" headerRowBorderDxfId="76" tableBorderDxfId="74" totalsRowBorderDxfId="73">
  <autoFilter ref="A709:J717" xr:uid="{693BB242-64FB-4BAE-BA7A-27D07DCBC28F}"/>
  <tableColumns count="10">
    <tableColumn id="1" xr3:uid="{56A12F96-B08E-495E-A82C-5A9A67E4B288}" name="ردیف" dataDxfId="72"/>
    <tableColumn id="2" xr3:uid="{615922DF-2A1E-41B1-A60E-D6B678EF881C}" name="دسته بندی" dataDxfId="71"/>
    <tableColumn id="3" xr3:uid="{B8E17D13-0B93-4380-8311-11460E944C34}" name="کد کالا" dataDxfId="70"/>
    <tableColumn id="4" xr3:uid="{0DC0A057-B923-43E4-842B-74F2A147AA5C}" name="شرح کالا" dataDxfId="69"/>
    <tableColumn id="5" xr3:uid="{3C804ED4-E27F-4C6B-8FD4-4F6CDA1A0CFC}" name="طول (سانتی متر)" dataDxfId="68"/>
    <tableColumn id="6" xr3:uid="{2C49AC5F-AAFE-4614-927D-8B04853687B0}" name="عرض (سانتی متر)" dataDxfId="67"/>
    <tableColumn id="7" xr3:uid="{0CBB3679-D10F-4648-8852-A72003B5A704}" name="ارتفاع (سانتی متر)" dataDxfId="66"/>
    <tableColumn id="8" xr3:uid="{E5FE6A75-02C7-4A90-B68A-76D3DEE1BD1A}" name="وزن (کیلوگرم)" dataDxfId="65"/>
    <tableColumn id="9" xr3:uid="{94DC0BB8-2E63-4837-B7F3-05BF5F35F12A}" name="قیمت (ریال)" dataDxfId="64"/>
    <tableColumn id="10" xr3:uid="{8D0E56B4-C896-4CA7-B58B-54863C62F0F9}" name="قیمت جدید" dataDxfId="63" dataCellStyle="Comma">
      <calculatedColumnFormula>ROUND(((100%+$M$710)*Table8[[#This Row],[قیمت (ریال)]])*(100%+$M$711),-6)</calculatedColumnFormula>
    </tableColumn>
  </tableColumns>
  <tableStyleInfo name="TableStyleLight2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A2E002-CAAC-4556-A74F-291AD4B5D612}" name="Table1085024" displayName="Table1085024" ref="A2:F14" totalsRowShown="0" headerRowDxfId="62" dataDxfId="61" tableBorderDxfId="60">
  <autoFilter ref="A2:F14" xr:uid="{B7A2E002-CAAC-4556-A74F-291AD4B5D612}"/>
  <tableColumns count="6">
    <tableColumn id="1" xr3:uid="{E75EF239-B619-4FC8-B25C-6FBEECB32099}" name="ردیف" dataDxfId="59"/>
    <tableColumn id="13" xr3:uid="{68B719AF-5B43-46FA-9A72-07D5CC9F3492}" name="دسته بندی" dataDxfId="58"/>
    <tableColumn id="2" xr3:uid="{2D9C51EF-7C27-4DDB-A54A-2C228488CB09}" name="کد کالا" dataDxfId="57"/>
    <tableColumn id="3" xr3:uid="{4D2D8D97-5738-4B9D-821B-A80F62574337}" name="شرح کالا" dataDxfId="56"/>
    <tableColumn id="9" xr3:uid="{DBA847FF-76EA-4A3E-BF62-5F2DB66288C5}" name="قیمت (ریال)" dataDxfId="55"/>
    <tableColumn id="4" xr3:uid="{68432D5D-7164-42F3-BB22-BFC650EA863F}" name="قیمت جدید" dataDxfId="54">
      <calculatedColumnFormula>ROUND(((100%+$K$4)*Table1085024[[#This Row],[قیمت (ریال)]])*(100%+$K$5),-6)</calculatedColumnFormula>
    </tableColumn>
  </tableColumns>
  <tableStyleInfo name="TableStyleMedium14 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7776B1-3A32-4BAE-BD07-923D262A4541}" name="Table10850247" displayName="Table10850247" ref="A19:F50" totalsRowShown="0" headerRowDxfId="53" tableBorderDxfId="52">
  <autoFilter ref="A19:F50" xr:uid="{6F7776B1-3A32-4BAE-BD07-923D262A4541}"/>
  <tableColumns count="6">
    <tableColumn id="1" xr3:uid="{CC31DEB3-566B-4868-86B5-ACE1152C0E21}" name="ردیف" dataDxfId="51"/>
    <tableColumn id="13" xr3:uid="{ED1EF112-BFD9-4959-956D-4D97E1DA5018}" name="دسته بندی" dataDxfId="50"/>
    <tableColumn id="2" xr3:uid="{0B33C5ED-15D9-48DA-9C08-19E9E99F63F8}" name="کد کالا" dataDxfId="49"/>
    <tableColumn id="3" xr3:uid="{063CAEDE-DDEE-4445-8BED-A44CCF41212E}" name="شرح کالا" dataDxfId="48"/>
    <tableColumn id="9" xr3:uid="{F3202CBE-05B1-4274-B108-D3B423B9856A}" name="قیمت (ریال)" dataDxfId="47"/>
    <tableColumn id="4" xr3:uid="{F0C048A4-953F-491A-9E61-6C3AC8764671}" name="قیمت جدید" dataDxfId="46">
      <calculatedColumnFormula>ROUND(((100%+$K$19)*Table10850247[[#This Row],[قیمت (ریال)]])*(100%+$K$20),-6)</calculatedColumnFormula>
    </tableColumn>
  </tableColumns>
  <tableStyleInfo name="TableStyleMedium14 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FBC8FF-9CE8-4337-A518-C2BA84EC5DFC}" name="Table10850248" displayName="Table10850248" ref="A53:F68" totalsRowShown="0" headerRowDxfId="45" dataDxfId="44" tableBorderDxfId="43">
  <autoFilter ref="A53:F68" xr:uid="{2DFBC8FF-9CE8-4337-A518-C2BA84EC5DFC}"/>
  <tableColumns count="6">
    <tableColumn id="1" xr3:uid="{AC30B9AC-1208-44F5-ABAA-E60FBC2CDBAD}" name="ردیف" dataDxfId="42"/>
    <tableColumn id="13" xr3:uid="{BECDE263-ABF7-4BFA-9B2E-169259C03584}" name="دسته بندی" dataDxfId="41"/>
    <tableColumn id="2" xr3:uid="{1C2C7194-6BB5-49E6-9410-14EAFCD29E06}" name="کد کالا" dataDxfId="40"/>
    <tableColumn id="3" xr3:uid="{7E159A5B-C65D-4FDE-B918-4E8545FAAEAC}" name="شرح کالا" dataDxfId="39"/>
    <tableColumn id="9" xr3:uid="{B6600927-95A2-4FCD-B69E-294E9356DA73}" name="قیمت (ریال)" dataDxfId="38"/>
    <tableColumn id="4" xr3:uid="{6AC894EB-EDFC-4CF5-BCBB-A47A06812653}" name="قیمت جدید" dataDxfId="37">
      <calculatedColumnFormula>ROUND(((100%+$K$53)*Table10850248[[#This Row],[قیمت (ریال)]])*(100%+$K$54),-6)</calculatedColumnFormula>
    </tableColumn>
  </tableColumns>
  <tableStyleInfo name="TableStyleMedium14 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DF93FF-0D0A-4125-9147-0D151E9AF3A6}" name="Table1085024810" displayName="Table1085024810" ref="A70:F77" totalsRowShown="0" headerRowDxfId="36" dataDxfId="35" tableBorderDxfId="34">
  <autoFilter ref="A70:F77" xr:uid="{77DF93FF-0D0A-4125-9147-0D151E9AF3A6}"/>
  <tableColumns count="6">
    <tableColumn id="1" xr3:uid="{FAC813CD-868A-4778-BF9D-49D946B8A314}" name="ردیف" dataDxfId="33"/>
    <tableColumn id="13" xr3:uid="{CC1BA94E-4E11-4D79-8049-47B78B8FC46B}" name="دسته بندی" dataDxfId="32"/>
    <tableColumn id="2" xr3:uid="{F34FEC9D-DEB5-418F-8876-E3B406934708}" name="کد کالا" dataDxfId="31"/>
    <tableColumn id="3" xr3:uid="{3EC758E8-503D-4C04-BC2C-58041DDA879E}" name="شرح کالا" dataDxfId="30"/>
    <tableColumn id="9" xr3:uid="{6E6CA973-AC17-4920-ADE2-9117F8C9F49A}" name="قیمت (ریال)" dataDxfId="29"/>
    <tableColumn id="4" xr3:uid="{AAF247D9-91CA-4193-AEA2-A667B3C00F15}" name="قیمت جدید" dataDxfId="28">
      <calculatedColumnFormula>ROUND(((100%+$K$70)*Table1085024810[[#This Row],[قیمت (ریال)]])*(100%+$K$71),-6)</calculatedColumnFormula>
    </tableColumn>
  </tableColumns>
  <tableStyleInfo name="TableStyleMedium14 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109E9B-B39C-4083-941F-8730AC7D4D41}" name="Table108502481011" displayName="Table108502481011" ref="A80:F104" totalsRowShown="0" headerRowDxfId="27" dataDxfId="26" tableBorderDxfId="25">
  <autoFilter ref="A80:F104" xr:uid="{FF109E9B-B39C-4083-941F-8730AC7D4D41}"/>
  <tableColumns count="6">
    <tableColumn id="1" xr3:uid="{572669CB-4B35-40CF-95AA-65A93472CB66}" name="ردیف" dataDxfId="24"/>
    <tableColumn id="13" xr3:uid="{0295A14C-A63E-43B5-880B-E3DB170F7054}" name="دسته بندی" dataDxfId="23"/>
    <tableColumn id="2" xr3:uid="{3FF13C68-B562-4805-81FC-5D900B74464D}" name="کد کالا" dataDxfId="22"/>
    <tableColumn id="3" xr3:uid="{B48C3E16-6B64-4AAF-90B9-931680FFA6B4}" name="شرح کالا" dataDxfId="21"/>
    <tableColumn id="9" xr3:uid="{EAF48EA9-510F-4F08-8068-9A1B63DD30FB}" name="قیمت (ریال)" dataDxfId="20"/>
    <tableColumn id="4" xr3:uid="{CC9158B1-775A-4282-A491-D1CC35B9E520}" name="قیمت جدید" dataDxfId="19">
      <calculatedColumnFormula>ROUND(((100%+$K$84)*Table108502481011[[#This Row],[قیمت (ریال)]])*(100%+$K$85),-6)</calculatedColumnFormula>
    </tableColumn>
  </tableColumns>
  <tableStyleInfo name="TableStyleMedium14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3.xml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C28D-844E-4C75-A5C9-689854813677}">
  <dimension ref="A1:M1356"/>
  <sheetViews>
    <sheetView rightToLeft="1" zoomScaleNormal="100" workbookViewId="0">
      <selection activeCell="I1" sqref="I1:I1048576"/>
    </sheetView>
  </sheetViews>
  <sheetFormatPr defaultColWidth="9.140625" defaultRowHeight="18"/>
  <cols>
    <col min="1" max="2" width="5.7109375" style="64" customWidth="1"/>
    <col min="3" max="3" width="3.5703125" style="64" customWidth="1"/>
    <col min="4" max="4" width="5.42578125" style="64" customWidth="1"/>
    <col min="5" max="5" width="15.140625" style="64" bestFit="1" customWidth="1"/>
    <col min="6" max="6" width="16.5703125" style="64" customWidth="1"/>
    <col min="7" max="7" width="16.140625" style="63" customWidth="1"/>
    <col min="8" max="8" width="11.7109375" style="65" customWidth="1"/>
    <col min="9" max="9" width="18.28515625" style="63" bestFit="1" customWidth="1"/>
    <col min="10" max="10" width="19.140625" style="64" customWidth="1"/>
    <col min="11" max="11" width="9.140625" style="64"/>
    <col min="12" max="12" width="13.28515625" style="64" bestFit="1" customWidth="1"/>
    <col min="13" max="16384" width="9.140625" style="64"/>
  </cols>
  <sheetData>
    <row r="1" spans="1:13">
      <c r="A1" s="60"/>
      <c r="B1" s="61"/>
      <c r="C1" s="62"/>
      <c r="D1" s="63"/>
      <c r="E1" s="63"/>
      <c r="F1" s="63"/>
      <c r="H1" s="63"/>
      <c r="L1" s="64" t="s">
        <v>1091</v>
      </c>
      <c r="M1" s="64" t="s">
        <v>1150</v>
      </c>
    </row>
    <row r="2" spans="1:13">
      <c r="A2" s="60"/>
      <c r="B2" s="61"/>
      <c r="C2" s="62"/>
      <c r="D2" s="63"/>
      <c r="E2" s="63"/>
      <c r="F2" s="63"/>
      <c r="H2" s="63"/>
    </row>
    <row r="3" spans="1:13">
      <c r="A3" s="60"/>
      <c r="B3" s="61"/>
      <c r="C3" s="62"/>
      <c r="D3" s="63"/>
      <c r="E3" s="63"/>
      <c r="F3" s="63"/>
      <c r="H3" s="63"/>
    </row>
    <row r="4" spans="1:13">
      <c r="A4" s="60"/>
      <c r="B4" s="61"/>
      <c r="C4" s="62"/>
      <c r="D4" s="63"/>
      <c r="E4" s="63"/>
      <c r="F4" s="63"/>
      <c r="H4" s="63"/>
    </row>
    <row r="5" spans="1:13">
      <c r="A5" s="60"/>
      <c r="B5" s="61"/>
      <c r="C5" s="62"/>
      <c r="D5" s="63"/>
      <c r="E5" s="63"/>
      <c r="F5" s="63"/>
      <c r="H5" s="63"/>
    </row>
    <row r="6" spans="1:13">
      <c r="A6" s="60"/>
      <c r="B6" s="61"/>
      <c r="C6" s="62"/>
      <c r="D6" s="63"/>
      <c r="E6" s="63"/>
      <c r="F6" s="63"/>
      <c r="H6" s="63"/>
    </row>
    <row r="7" spans="1:13">
      <c r="A7" s="60"/>
      <c r="B7" s="61"/>
      <c r="C7" s="62"/>
      <c r="D7" s="63"/>
      <c r="E7" s="63"/>
      <c r="F7" s="63"/>
      <c r="H7" s="63"/>
    </row>
    <row r="8" spans="1:13">
      <c r="A8" s="60"/>
      <c r="B8" s="61"/>
      <c r="C8" s="62"/>
      <c r="D8" s="63"/>
      <c r="E8" s="63"/>
      <c r="F8" s="63"/>
      <c r="H8" s="63"/>
    </row>
    <row r="9" spans="1:13">
      <c r="A9" s="60"/>
      <c r="B9" s="61"/>
      <c r="C9" s="62"/>
    </row>
    <row r="10" spans="1:13">
      <c r="A10" s="60"/>
      <c r="B10" s="61"/>
      <c r="C10" s="62"/>
    </row>
    <row r="11" spans="1:13">
      <c r="A11" s="60"/>
      <c r="B11" s="61"/>
      <c r="C11" s="62"/>
    </row>
    <row r="12" spans="1:13">
      <c r="A12" s="60"/>
      <c r="B12" s="61"/>
      <c r="C12" s="62"/>
      <c r="D12" s="63"/>
      <c r="E12" s="63"/>
      <c r="F12" s="63"/>
      <c r="H12" s="63"/>
    </row>
    <row r="13" spans="1:13">
      <c r="A13" s="60"/>
      <c r="B13" s="61"/>
      <c r="C13" s="62"/>
      <c r="D13" s="63"/>
      <c r="E13" s="63"/>
      <c r="F13" s="63"/>
      <c r="H13" s="63"/>
    </row>
    <row r="14" spans="1:13">
      <c r="A14" s="60"/>
      <c r="B14" s="61"/>
      <c r="C14" s="62"/>
      <c r="D14" s="63"/>
      <c r="E14" s="63"/>
      <c r="F14" s="63"/>
      <c r="H14" s="63"/>
    </row>
    <row r="15" spans="1:13">
      <c r="A15" s="60"/>
      <c r="B15" s="61"/>
      <c r="C15" s="62"/>
      <c r="D15" s="63"/>
      <c r="E15" s="63"/>
      <c r="F15" s="63"/>
      <c r="H15" s="63"/>
    </row>
    <row r="16" spans="1:13">
      <c r="A16" s="60"/>
      <c r="B16" s="61"/>
      <c r="C16" s="62"/>
      <c r="D16" s="63"/>
      <c r="E16" s="63"/>
      <c r="F16" s="63"/>
      <c r="H16" s="63"/>
    </row>
    <row r="17" spans="1:9" ht="18" customHeight="1">
      <c r="A17" s="60"/>
      <c r="B17" s="61"/>
      <c r="C17" s="62"/>
      <c r="D17" s="195" t="s">
        <v>1102</v>
      </c>
      <c r="E17" s="195"/>
      <c r="F17" s="195"/>
      <c r="G17" s="195"/>
      <c r="H17" s="195"/>
      <c r="I17" s="195"/>
    </row>
    <row r="18" spans="1:9" ht="18" customHeight="1">
      <c r="A18" s="60"/>
      <c r="B18" s="61"/>
      <c r="C18" s="62"/>
      <c r="D18" s="195"/>
      <c r="E18" s="195"/>
      <c r="F18" s="195"/>
      <c r="G18" s="195"/>
      <c r="H18" s="195"/>
      <c r="I18" s="195"/>
    </row>
    <row r="19" spans="1:9" ht="18" customHeight="1">
      <c r="A19" s="60"/>
      <c r="B19" s="61"/>
      <c r="C19" s="62"/>
      <c r="D19" s="195"/>
      <c r="E19" s="195"/>
      <c r="F19" s="195"/>
      <c r="G19" s="195"/>
      <c r="H19" s="195"/>
      <c r="I19" s="195"/>
    </row>
    <row r="20" spans="1:9" ht="18" customHeight="1">
      <c r="A20" s="60"/>
      <c r="B20" s="61"/>
      <c r="C20" s="62"/>
      <c r="D20" s="63"/>
      <c r="E20" s="63"/>
      <c r="F20" s="63"/>
      <c r="H20" s="184" t="s">
        <v>1151</v>
      </c>
      <c r="I20" s="184"/>
    </row>
    <row r="21" spans="1:9" ht="18" customHeight="1">
      <c r="A21" s="60"/>
      <c r="B21" s="61"/>
      <c r="C21" s="62"/>
      <c r="D21" s="63"/>
      <c r="E21" s="63"/>
      <c r="F21" s="63"/>
      <c r="G21" s="66"/>
      <c r="H21" s="184"/>
      <c r="I21" s="184"/>
    </row>
    <row r="22" spans="1:9" ht="18" customHeight="1">
      <c r="A22" s="60"/>
      <c r="B22" s="61"/>
      <c r="C22" s="62"/>
      <c r="G22" s="66"/>
      <c r="H22" s="66"/>
      <c r="I22" s="66"/>
    </row>
    <row r="23" spans="1:9" ht="18" customHeight="1">
      <c r="A23" s="60"/>
      <c r="B23" s="61"/>
      <c r="C23" s="62"/>
      <c r="I23" s="66"/>
    </row>
    <row r="24" spans="1:9" ht="18" customHeight="1">
      <c r="A24" s="60"/>
      <c r="B24" s="61"/>
      <c r="C24" s="62"/>
      <c r="I24" s="66"/>
    </row>
    <row r="25" spans="1:9">
      <c r="A25" s="60"/>
      <c r="B25" s="61"/>
      <c r="C25" s="62"/>
      <c r="D25" s="63"/>
      <c r="E25" s="63"/>
      <c r="F25" s="63"/>
      <c r="H25" s="63"/>
    </row>
    <row r="26" spans="1:9" ht="15" customHeight="1">
      <c r="A26" s="60"/>
      <c r="B26" s="61"/>
      <c r="C26" s="62"/>
      <c r="D26" s="63"/>
      <c r="E26" s="63"/>
      <c r="F26" s="63"/>
      <c r="I26" s="66"/>
    </row>
    <row r="27" spans="1:9" ht="15" customHeight="1">
      <c r="A27" s="60"/>
      <c r="B27" s="61"/>
      <c r="C27" s="62"/>
      <c r="D27" s="63"/>
      <c r="E27" s="63"/>
      <c r="F27" s="63"/>
      <c r="I27" s="66"/>
    </row>
    <row r="28" spans="1:9">
      <c r="A28" s="60"/>
      <c r="B28" s="61"/>
      <c r="C28" s="62"/>
      <c r="D28" s="63"/>
      <c r="E28" s="63"/>
      <c r="F28" s="63"/>
    </row>
    <row r="29" spans="1:9">
      <c r="A29" s="60"/>
      <c r="B29" s="61"/>
      <c r="C29" s="62"/>
      <c r="D29" s="63"/>
      <c r="E29" s="63"/>
      <c r="F29" s="63"/>
      <c r="H29" s="63"/>
    </row>
    <row r="30" spans="1:9">
      <c r="A30" s="60"/>
      <c r="B30" s="61"/>
      <c r="C30" s="62"/>
      <c r="D30" s="63"/>
      <c r="E30" s="63"/>
      <c r="F30" s="63"/>
      <c r="H30" s="63"/>
    </row>
    <row r="31" spans="1:9">
      <c r="A31" s="60"/>
      <c r="B31" s="61"/>
      <c r="C31" s="62"/>
      <c r="D31" s="63"/>
      <c r="E31" s="63"/>
      <c r="F31" s="63"/>
      <c r="H31" s="63"/>
    </row>
    <row r="32" spans="1:9">
      <c r="A32" s="60"/>
      <c r="B32" s="61"/>
      <c r="C32" s="62"/>
      <c r="D32" s="63"/>
      <c r="E32" s="63"/>
      <c r="F32" s="63"/>
      <c r="H32" s="63"/>
    </row>
    <row r="33" spans="1:9">
      <c r="A33" s="60"/>
      <c r="B33" s="61"/>
      <c r="C33" s="62"/>
      <c r="D33" s="63"/>
      <c r="E33" s="63"/>
      <c r="F33" s="63"/>
      <c r="H33" s="63"/>
    </row>
    <row r="34" spans="1:9">
      <c r="A34" s="60"/>
      <c r="B34" s="61"/>
      <c r="C34" s="62"/>
      <c r="D34" s="63"/>
      <c r="E34" s="63"/>
      <c r="F34" s="63"/>
      <c r="H34" s="63"/>
    </row>
    <row r="35" spans="1:9">
      <c r="A35" s="60"/>
      <c r="B35" s="61"/>
      <c r="C35" s="62"/>
      <c r="D35" s="63"/>
      <c r="E35" s="63"/>
      <c r="F35" s="63"/>
      <c r="H35" s="63"/>
    </row>
    <row r="36" spans="1:9">
      <c r="A36" s="60"/>
      <c r="B36" s="61"/>
      <c r="C36" s="62"/>
      <c r="D36" s="63"/>
      <c r="E36" s="63"/>
      <c r="F36" s="63"/>
      <c r="H36" s="63"/>
    </row>
    <row r="37" spans="1:9">
      <c r="A37" s="60"/>
      <c r="B37" s="61"/>
      <c r="C37" s="62"/>
      <c r="D37" s="63"/>
      <c r="E37" s="63"/>
      <c r="F37" s="63"/>
      <c r="H37" s="63"/>
    </row>
    <row r="38" spans="1:9">
      <c r="A38" s="60"/>
      <c r="B38" s="61"/>
      <c r="C38" s="62"/>
      <c r="D38" s="63"/>
      <c r="E38" s="63"/>
      <c r="F38" s="63"/>
      <c r="H38" s="63"/>
    </row>
    <row r="39" spans="1:9">
      <c r="A39" s="60"/>
      <c r="B39" s="61"/>
      <c r="C39" s="62"/>
      <c r="D39" s="63"/>
      <c r="E39" s="63"/>
      <c r="F39" s="63"/>
      <c r="H39" s="63"/>
    </row>
    <row r="40" spans="1:9">
      <c r="A40" s="60"/>
      <c r="B40" s="61"/>
      <c r="C40" s="62"/>
      <c r="D40" s="63"/>
      <c r="E40" s="63"/>
      <c r="F40" s="63"/>
      <c r="H40" s="63"/>
    </row>
    <row r="41" spans="1:9" ht="31.5">
      <c r="A41" s="60"/>
      <c r="B41" s="61"/>
      <c r="C41" s="62"/>
      <c r="D41" s="192" t="s">
        <v>1092</v>
      </c>
      <c r="E41" s="192"/>
      <c r="F41" s="192"/>
      <c r="G41" s="192"/>
      <c r="H41" s="192"/>
    </row>
    <row r="42" spans="1:9" ht="15" customHeight="1">
      <c r="A42" s="60"/>
      <c r="B42" s="61"/>
      <c r="C42" s="62"/>
      <c r="D42" s="189" t="s">
        <v>1093</v>
      </c>
      <c r="E42" s="189"/>
      <c r="F42" s="189"/>
      <c r="G42" s="189"/>
      <c r="H42" s="189"/>
      <c r="I42" s="191" t="s">
        <v>1094</v>
      </c>
    </row>
    <row r="43" spans="1:9" ht="15" customHeight="1">
      <c r="A43" s="60"/>
      <c r="B43" s="61"/>
      <c r="C43" s="62"/>
      <c r="D43" s="190"/>
      <c r="E43" s="190"/>
      <c r="F43" s="190"/>
      <c r="G43" s="190"/>
      <c r="H43" s="190"/>
      <c r="I43" s="191"/>
    </row>
    <row r="44" spans="1:9" ht="15" customHeight="1">
      <c r="A44" s="60"/>
      <c r="B44" s="61"/>
      <c r="C44" s="62"/>
      <c r="D44" s="185" t="s">
        <v>432</v>
      </c>
      <c r="E44" s="185"/>
      <c r="F44" s="185"/>
      <c r="G44" s="185"/>
      <c r="H44" s="185"/>
      <c r="I44" s="196" t="s">
        <v>9</v>
      </c>
    </row>
    <row r="45" spans="1:9" ht="15" customHeight="1">
      <c r="A45" s="60"/>
      <c r="B45" s="61"/>
      <c r="C45" s="62"/>
      <c r="D45" s="193"/>
      <c r="E45" s="193"/>
      <c r="F45" s="193"/>
      <c r="G45" s="193"/>
      <c r="H45" s="193"/>
      <c r="I45" s="198"/>
    </row>
    <row r="46" spans="1:9" ht="15" customHeight="1">
      <c r="A46" s="60"/>
      <c r="B46" s="61"/>
      <c r="C46" s="62"/>
      <c r="D46" s="185" t="s">
        <v>447</v>
      </c>
      <c r="E46" s="185"/>
      <c r="F46" s="185"/>
      <c r="G46" s="185"/>
      <c r="H46" s="185"/>
      <c r="I46" s="196" t="s">
        <v>10</v>
      </c>
    </row>
    <row r="47" spans="1:9" ht="15" customHeight="1">
      <c r="A47" s="60"/>
      <c r="B47" s="61"/>
      <c r="C47" s="62"/>
      <c r="D47" s="193"/>
      <c r="E47" s="193"/>
      <c r="F47" s="193"/>
      <c r="G47" s="193"/>
      <c r="H47" s="193"/>
      <c r="I47" s="197"/>
    </row>
    <row r="48" spans="1:9" ht="15" customHeight="1">
      <c r="A48" s="60"/>
      <c r="B48" s="61"/>
      <c r="C48" s="62"/>
      <c r="D48" s="185" t="s">
        <v>1095</v>
      </c>
      <c r="E48" s="185"/>
      <c r="F48" s="185"/>
      <c r="G48" s="185"/>
      <c r="H48" s="185"/>
      <c r="I48" s="187">
        <v>6</v>
      </c>
    </row>
    <row r="49" spans="1:9" ht="15" customHeight="1">
      <c r="A49" s="60"/>
      <c r="B49" s="61"/>
      <c r="C49" s="62"/>
      <c r="D49" s="193"/>
      <c r="E49" s="193"/>
      <c r="F49" s="193"/>
      <c r="G49" s="193"/>
      <c r="H49" s="193"/>
      <c r="I49" s="188"/>
    </row>
    <row r="50" spans="1:9" ht="15" customHeight="1">
      <c r="A50" s="60"/>
      <c r="B50" s="61"/>
      <c r="C50" s="62"/>
      <c r="D50" s="185" t="s">
        <v>1096</v>
      </c>
      <c r="E50" s="185"/>
      <c r="F50" s="185"/>
      <c r="G50" s="185"/>
      <c r="H50" s="185"/>
      <c r="I50" s="187">
        <v>6</v>
      </c>
    </row>
    <row r="51" spans="1:9" ht="15" customHeight="1">
      <c r="A51" s="60"/>
      <c r="B51" s="61"/>
      <c r="C51" s="62"/>
      <c r="D51" s="193"/>
      <c r="E51" s="193"/>
      <c r="F51" s="193"/>
      <c r="G51" s="193"/>
      <c r="H51" s="193"/>
      <c r="I51" s="188"/>
    </row>
    <row r="52" spans="1:9" ht="15" customHeight="1">
      <c r="A52" s="60"/>
      <c r="B52" s="61"/>
      <c r="C52" s="62"/>
      <c r="D52" s="185" t="s">
        <v>158</v>
      </c>
      <c r="E52" s="185"/>
      <c r="F52" s="185"/>
      <c r="G52" s="185"/>
      <c r="H52" s="185"/>
      <c r="I52" s="187">
        <v>7</v>
      </c>
    </row>
    <row r="53" spans="1:9" ht="15" customHeight="1">
      <c r="A53" s="60"/>
      <c r="B53" s="61"/>
      <c r="C53" s="62"/>
      <c r="D53" s="193"/>
      <c r="E53" s="193"/>
      <c r="F53" s="193"/>
      <c r="G53" s="193"/>
      <c r="H53" s="193"/>
      <c r="I53" s="188"/>
    </row>
    <row r="54" spans="1:9" ht="15" customHeight="1">
      <c r="A54" s="60"/>
      <c r="B54" s="61"/>
      <c r="C54" s="62"/>
      <c r="D54" s="185" t="s">
        <v>165</v>
      </c>
      <c r="E54" s="185"/>
      <c r="F54" s="185"/>
      <c r="G54" s="185"/>
      <c r="H54" s="185"/>
      <c r="I54" s="187">
        <v>8</v>
      </c>
    </row>
    <row r="55" spans="1:9" ht="15" customHeight="1">
      <c r="A55" s="60"/>
      <c r="B55" s="61"/>
      <c r="C55" s="62"/>
      <c r="D55" s="193"/>
      <c r="E55" s="193"/>
      <c r="F55" s="193"/>
      <c r="G55" s="193"/>
      <c r="H55" s="193"/>
      <c r="I55" s="188"/>
    </row>
    <row r="56" spans="1:9" ht="15" customHeight="1">
      <c r="A56" s="60"/>
      <c r="B56" s="61"/>
      <c r="C56" s="62"/>
      <c r="D56" s="185" t="s">
        <v>166</v>
      </c>
      <c r="E56" s="185"/>
      <c r="F56" s="185"/>
      <c r="G56" s="185"/>
      <c r="H56" s="185"/>
      <c r="I56" s="187">
        <v>9</v>
      </c>
    </row>
    <row r="57" spans="1:9" ht="15" customHeight="1">
      <c r="A57" s="60"/>
      <c r="B57" s="61"/>
      <c r="C57" s="62"/>
      <c r="D57" s="193"/>
      <c r="E57" s="193"/>
      <c r="F57" s="193"/>
      <c r="G57" s="193"/>
      <c r="H57" s="193"/>
      <c r="I57" s="188"/>
    </row>
    <row r="58" spans="1:9" ht="15" customHeight="1">
      <c r="A58" s="60"/>
      <c r="B58" s="61"/>
      <c r="C58" s="62"/>
      <c r="D58" s="185" t="s">
        <v>172</v>
      </c>
      <c r="E58" s="185"/>
      <c r="F58" s="185"/>
      <c r="G58" s="185"/>
      <c r="H58" s="185"/>
      <c r="I58" s="187">
        <v>10</v>
      </c>
    </row>
    <row r="59" spans="1:9" ht="15" customHeight="1">
      <c r="A59" s="60"/>
      <c r="B59" s="61"/>
      <c r="C59" s="62"/>
      <c r="D59" s="193"/>
      <c r="E59" s="193"/>
      <c r="F59" s="193"/>
      <c r="G59" s="193"/>
      <c r="H59" s="193"/>
      <c r="I59" s="188"/>
    </row>
    <row r="60" spans="1:9" ht="15" customHeight="1">
      <c r="A60" s="60"/>
      <c r="B60" s="61"/>
      <c r="C60" s="62"/>
      <c r="D60" s="185" t="s">
        <v>183</v>
      </c>
      <c r="E60" s="185"/>
      <c r="F60" s="185"/>
      <c r="G60" s="185"/>
      <c r="H60" s="185"/>
      <c r="I60" s="187">
        <v>11</v>
      </c>
    </row>
    <row r="61" spans="1:9" ht="15" customHeight="1">
      <c r="A61" s="60"/>
      <c r="B61" s="61"/>
      <c r="C61" s="62"/>
      <c r="D61" s="193"/>
      <c r="E61" s="193"/>
      <c r="F61" s="193"/>
      <c r="G61" s="193"/>
      <c r="H61" s="193"/>
      <c r="I61" s="188"/>
    </row>
    <row r="62" spans="1:9" ht="15" customHeight="1">
      <c r="A62" s="60"/>
      <c r="B62" s="61"/>
      <c r="C62" s="62"/>
      <c r="D62" s="185" t="s">
        <v>186</v>
      </c>
      <c r="E62" s="185"/>
      <c r="F62" s="185"/>
      <c r="G62" s="185"/>
      <c r="H62" s="185"/>
      <c r="I62" s="187">
        <v>12</v>
      </c>
    </row>
    <row r="63" spans="1:9" ht="15" customHeight="1">
      <c r="A63" s="60"/>
      <c r="B63" s="61"/>
      <c r="C63" s="62"/>
      <c r="D63" s="193"/>
      <c r="E63" s="193"/>
      <c r="F63" s="193"/>
      <c r="G63" s="193"/>
      <c r="H63" s="193"/>
      <c r="I63" s="188"/>
    </row>
    <row r="64" spans="1:9" ht="15" customHeight="1">
      <c r="A64" s="60"/>
      <c r="B64" s="61"/>
      <c r="C64" s="62"/>
      <c r="D64" s="185" t="s">
        <v>191</v>
      </c>
      <c r="E64" s="185"/>
      <c r="F64" s="185"/>
      <c r="G64" s="185"/>
      <c r="H64" s="185"/>
      <c r="I64" s="187">
        <v>13</v>
      </c>
    </row>
    <row r="65" spans="1:9" ht="15" customHeight="1">
      <c r="A65" s="60"/>
      <c r="B65" s="61"/>
      <c r="C65" s="62"/>
      <c r="D65" s="193"/>
      <c r="E65" s="193"/>
      <c r="F65" s="193"/>
      <c r="G65" s="193"/>
      <c r="H65" s="193"/>
      <c r="I65" s="188"/>
    </row>
    <row r="66" spans="1:9" ht="15" customHeight="1">
      <c r="A66" s="60"/>
      <c r="B66" s="61"/>
      <c r="C66" s="62"/>
      <c r="D66" s="185" t="s">
        <v>193</v>
      </c>
      <c r="E66" s="185"/>
      <c r="F66" s="185"/>
      <c r="G66" s="185"/>
      <c r="H66" s="185"/>
      <c r="I66" s="187">
        <v>13</v>
      </c>
    </row>
    <row r="67" spans="1:9" ht="15" customHeight="1">
      <c r="A67" s="60"/>
      <c r="B67" s="61"/>
      <c r="C67" s="62"/>
      <c r="D67" s="193"/>
      <c r="E67" s="193"/>
      <c r="F67" s="193"/>
      <c r="G67" s="193"/>
      <c r="H67" s="193"/>
      <c r="I67" s="188"/>
    </row>
    <row r="68" spans="1:9" ht="15" customHeight="1">
      <c r="A68" s="60"/>
      <c r="B68" s="61"/>
      <c r="C68" s="62"/>
      <c r="D68" s="185" t="s">
        <v>153</v>
      </c>
      <c r="E68" s="185"/>
      <c r="F68" s="185"/>
      <c r="G68" s="185"/>
      <c r="H68" s="185"/>
      <c r="I68" s="187">
        <v>14</v>
      </c>
    </row>
    <row r="69" spans="1:9" ht="15" customHeight="1">
      <c r="A69" s="60"/>
      <c r="B69" s="61"/>
      <c r="C69" s="62"/>
      <c r="D69" s="193"/>
      <c r="E69" s="193"/>
      <c r="F69" s="193"/>
      <c r="G69" s="193"/>
      <c r="H69" s="193"/>
      <c r="I69" s="188"/>
    </row>
    <row r="70" spans="1:9" ht="15" customHeight="1">
      <c r="A70" s="60"/>
      <c r="B70" s="61"/>
      <c r="C70" s="62"/>
      <c r="D70" s="185" t="s">
        <v>157</v>
      </c>
      <c r="E70" s="185"/>
      <c r="F70" s="185"/>
      <c r="G70" s="185"/>
      <c r="H70" s="185"/>
      <c r="I70" s="187">
        <v>15</v>
      </c>
    </row>
    <row r="71" spans="1:9" ht="15" customHeight="1">
      <c r="A71" s="60"/>
      <c r="B71" s="61"/>
      <c r="C71" s="62"/>
      <c r="D71" s="193"/>
      <c r="E71" s="193"/>
      <c r="F71" s="193"/>
      <c r="G71" s="193"/>
      <c r="H71" s="193"/>
      <c r="I71" s="188"/>
    </row>
    <row r="72" spans="1:9" ht="15" customHeight="1">
      <c r="A72" s="60"/>
      <c r="B72" s="61"/>
      <c r="C72" s="62"/>
      <c r="D72" s="185" t="s">
        <v>296</v>
      </c>
      <c r="E72" s="185"/>
      <c r="F72" s="185"/>
      <c r="G72" s="185"/>
      <c r="H72" s="185"/>
      <c r="I72" s="187">
        <v>16</v>
      </c>
    </row>
    <row r="73" spans="1:9" ht="15" customHeight="1">
      <c r="A73" s="60"/>
      <c r="B73" s="61"/>
      <c r="C73" s="62"/>
      <c r="D73" s="193"/>
      <c r="E73" s="193"/>
      <c r="F73" s="193"/>
      <c r="G73" s="193"/>
      <c r="H73" s="193"/>
      <c r="I73" s="188"/>
    </row>
    <row r="74" spans="1:9" ht="15" customHeight="1">
      <c r="A74" s="60"/>
      <c r="B74" s="61"/>
      <c r="C74" s="62"/>
      <c r="D74" s="185" t="s">
        <v>303</v>
      </c>
      <c r="E74" s="185"/>
      <c r="F74" s="185"/>
      <c r="G74" s="185"/>
      <c r="H74" s="185"/>
      <c r="I74" s="187">
        <v>17</v>
      </c>
    </row>
    <row r="75" spans="1:9" ht="15" customHeight="1">
      <c r="A75" s="60"/>
      <c r="B75" s="61"/>
      <c r="C75" s="62"/>
      <c r="D75" s="193"/>
      <c r="E75" s="193"/>
      <c r="F75" s="193"/>
      <c r="G75" s="193"/>
      <c r="H75" s="193"/>
      <c r="I75" s="188"/>
    </row>
    <row r="76" spans="1:9" ht="15" customHeight="1">
      <c r="A76" s="60"/>
      <c r="B76" s="61"/>
      <c r="C76" s="62"/>
      <c r="D76" s="185" t="s">
        <v>311</v>
      </c>
      <c r="E76" s="185"/>
      <c r="F76" s="185"/>
      <c r="G76" s="185"/>
      <c r="H76" s="185"/>
      <c r="I76" s="187">
        <v>18</v>
      </c>
    </row>
    <row r="77" spans="1:9" ht="15" customHeight="1">
      <c r="A77" s="60"/>
      <c r="B77" s="61"/>
      <c r="C77" s="62"/>
      <c r="D77" s="193"/>
      <c r="E77" s="193"/>
      <c r="F77" s="193"/>
      <c r="G77" s="193"/>
      <c r="H77" s="193"/>
      <c r="I77" s="188"/>
    </row>
    <row r="78" spans="1:9" ht="15" customHeight="1">
      <c r="A78" s="60"/>
      <c r="B78" s="61"/>
      <c r="C78" s="62"/>
      <c r="D78" s="185" t="s">
        <v>329</v>
      </c>
      <c r="E78" s="185"/>
      <c r="F78" s="185"/>
      <c r="G78" s="185"/>
      <c r="H78" s="185"/>
      <c r="I78" s="187">
        <v>19</v>
      </c>
    </row>
    <row r="79" spans="1:9" ht="15" customHeight="1">
      <c r="A79" s="60"/>
      <c r="B79" s="61"/>
      <c r="C79" s="62"/>
      <c r="D79" s="193"/>
      <c r="E79" s="193"/>
      <c r="F79" s="193"/>
      <c r="G79" s="193"/>
      <c r="H79" s="193"/>
      <c r="I79" s="188"/>
    </row>
    <row r="80" spans="1:9" ht="15" customHeight="1">
      <c r="A80" s="60"/>
      <c r="B80" s="61"/>
      <c r="C80" s="62"/>
      <c r="D80" s="185" t="s">
        <v>718</v>
      </c>
      <c r="E80" s="185"/>
      <c r="F80" s="185"/>
      <c r="G80" s="185"/>
      <c r="H80" s="185"/>
      <c r="I80" s="187">
        <v>20</v>
      </c>
    </row>
    <row r="81" spans="1:9" ht="15" customHeight="1">
      <c r="A81" s="60"/>
      <c r="B81" s="61"/>
      <c r="C81" s="62"/>
      <c r="D81" s="193"/>
      <c r="E81" s="193"/>
      <c r="F81" s="193"/>
      <c r="G81" s="193"/>
      <c r="H81" s="193"/>
      <c r="I81" s="188"/>
    </row>
    <row r="82" spans="1:9" ht="15" customHeight="1">
      <c r="A82" s="60"/>
      <c r="B82" s="61"/>
      <c r="C82" s="62"/>
      <c r="D82" s="185" t="s">
        <v>1103</v>
      </c>
      <c r="E82" s="185"/>
      <c r="F82" s="185"/>
      <c r="G82" s="185"/>
      <c r="H82" s="185"/>
      <c r="I82" s="187">
        <v>21</v>
      </c>
    </row>
    <row r="83" spans="1:9" ht="15" customHeight="1">
      <c r="A83" s="60"/>
      <c r="B83" s="61"/>
      <c r="C83" s="62"/>
      <c r="D83" s="193"/>
      <c r="E83" s="193"/>
      <c r="F83" s="193"/>
      <c r="G83" s="193"/>
      <c r="H83" s="193"/>
      <c r="I83" s="188"/>
    </row>
    <row r="84" spans="1:9" ht="15" customHeight="1">
      <c r="A84" s="60"/>
      <c r="B84" s="61"/>
      <c r="C84" s="62"/>
      <c r="D84" s="185" t="s">
        <v>1104</v>
      </c>
      <c r="E84" s="185"/>
      <c r="F84" s="185"/>
      <c r="G84" s="185"/>
      <c r="H84" s="185"/>
      <c r="I84" s="187">
        <v>22</v>
      </c>
    </row>
    <row r="85" spans="1:9" ht="15" customHeight="1">
      <c r="A85" s="60"/>
      <c r="B85" s="61"/>
      <c r="C85" s="62"/>
      <c r="D85" s="193"/>
      <c r="E85" s="193"/>
      <c r="F85" s="193"/>
      <c r="G85" s="193"/>
      <c r="H85" s="193"/>
      <c r="I85" s="194"/>
    </row>
    <row r="86" spans="1:9" ht="33.75" customHeight="1">
      <c r="A86" s="60"/>
      <c r="B86" s="61"/>
      <c r="C86" s="62"/>
      <c r="D86" s="192" t="s">
        <v>1092</v>
      </c>
      <c r="E86" s="192"/>
      <c r="F86" s="192"/>
      <c r="G86" s="192"/>
      <c r="H86" s="192"/>
    </row>
    <row r="87" spans="1:9" ht="15" customHeight="1">
      <c r="A87" s="60"/>
      <c r="B87" s="61"/>
      <c r="C87" s="62"/>
      <c r="D87" s="189" t="s">
        <v>1093</v>
      </c>
      <c r="E87" s="189"/>
      <c r="F87" s="189"/>
      <c r="G87" s="189"/>
      <c r="H87" s="189"/>
      <c r="I87" s="191" t="s">
        <v>1094</v>
      </c>
    </row>
    <row r="88" spans="1:9" ht="15" customHeight="1">
      <c r="A88" s="60"/>
      <c r="B88" s="61"/>
      <c r="C88" s="62"/>
      <c r="D88" s="190"/>
      <c r="E88" s="190"/>
      <c r="F88" s="190"/>
      <c r="G88" s="190"/>
      <c r="H88" s="190"/>
      <c r="I88" s="191"/>
    </row>
    <row r="89" spans="1:9" ht="14.25" customHeight="1">
      <c r="A89" s="60"/>
      <c r="B89" s="61"/>
      <c r="C89" s="62"/>
      <c r="D89" s="185" t="s">
        <v>339</v>
      </c>
      <c r="E89" s="185"/>
      <c r="F89" s="185"/>
      <c r="G89" s="185"/>
      <c r="H89" s="185"/>
      <c r="I89" s="187">
        <v>23</v>
      </c>
    </row>
    <row r="90" spans="1:9" ht="14.25" customHeight="1">
      <c r="A90" s="60"/>
      <c r="B90" s="61"/>
      <c r="C90" s="62"/>
      <c r="D90" s="193"/>
      <c r="E90" s="193"/>
      <c r="F90" s="193"/>
      <c r="G90" s="193"/>
      <c r="H90" s="193"/>
      <c r="I90" s="188"/>
    </row>
    <row r="91" spans="1:9" ht="14.25" customHeight="1">
      <c r="A91" s="60"/>
      <c r="B91" s="61"/>
      <c r="C91" s="62"/>
      <c r="D91" s="185" t="s">
        <v>187</v>
      </c>
      <c r="E91" s="185"/>
      <c r="F91" s="185"/>
      <c r="G91" s="185"/>
      <c r="H91" s="185"/>
      <c r="I91" s="187">
        <v>24</v>
      </c>
    </row>
    <row r="92" spans="1:9" ht="14.25" customHeight="1">
      <c r="A92" s="60"/>
      <c r="B92" s="61"/>
      <c r="C92" s="62"/>
      <c r="D92" s="193"/>
      <c r="E92" s="193"/>
      <c r="F92" s="193"/>
      <c r="G92" s="193"/>
      <c r="H92" s="193"/>
      <c r="I92" s="188"/>
    </row>
    <row r="93" spans="1:9" ht="14.25" customHeight="1">
      <c r="A93" s="60"/>
      <c r="B93" s="61"/>
      <c r="C93" s="62"/>
      <c r="D93" s="185" t="s">
        <v>190</v>
      </c>
      <c r="E93" s="185"/>
      <c r="F93" s="185"/>
      <c r="G93" s="185"/>
      <c r="H93" s="185"/>
      <c r="I93" s="187">
        <v>25</v>
      </c>
    </row>
    <row r="94" spans="1:9" ht="14.25" customHeight="1">
      <c r="A94" s="60"/>
      <c r="B94" s="61"/>
      <c r="C94" s="62"/>
      <c r="D94" s="193"/>
      <c r="E94" s="193"/>
      <c r="F94" s="193"/>
      <c r="G94" s="193"/>
      <c r="H94" s="193"/>
      <c r="I94" s="188"/>
    </row>
    <row r="95" spans="1:9" ht="14.25" customHeight="1">
      <c r="A95" s="60"/>
      <c r="B95" s="61"/>
      <c r="C95" s="62"/>
      <c r="D95" s="185" t="s">
        <v>13</v>
      </c>
      <c r="E95" s="185"/>
      <c r="F95" s="185"/>
      <c r="G95" s="185"/>
      <c r="H95" s="185"/>
      <c r="I95" s="187">
        <v>26</v>
      </c>
    </row>
    <row r="96" spans="1:9" ht="14.25" customHeight="1">
      <c r="A96" s="60"/>
      <c r="B96" s="61"/>
      <c r="C96" s="62"/>
      <c r="D96" s="193"/>
      <c r="E96" s="193"/>
      <c r="F96" s="193"/>
      <c r="G96" s="193"/>
      <c r="H96" s="193"/>
      <c r="I96" s="188"/>
    </row>
    <row r="97" spans="1:9" ht="14.25" customHeight="1">
      <c r="A97" s="60"/>
      <c r="B97" s="61"/>
      <c r="C97" s="62"/>
      <c r="D97" s="185" t="s">
        <v>18</v>
      </c>
      <c r="E97" s="185"/>
      <c r="F97" s="185"/>
      <c r="G97" s="185"/>
      <c r="H97" s="185"/>
      <c r="I97" s="187">
        <v>27</v>
      </c>
    </row>
    <row r="98" spans="1:9" ht="14.25" customHeight="1">
      <c r="A98" s="60"/>
      <c r="B98" s="61"/>
      <c r="C98" s="62"/>
      <c r="D98" s="193"/>
      <c r="E98" s="193"/>
      <c r="F98" s="193"/>
      <c r="G98" s="193"/>
      <c r="H98" s="193"/>
      <c r="I98" s="188"/>
    </row>
    <row r="99" spans="1:9" ht="14.25" customHeight="1">
      <c r="A99" s="60"/>
      <c r="B99" s="61"/>
      <c r="C99" s="62"/>
      <c r="D99" s="185" t="s">
        <v>467</v>
      </c>
      <c r="E99" s="185"/>
      <c r="F99" s="185"/>
      <c r="G99" s="185"/>
      <c r="H99" s="185"/>
      <c r="I99" s="187">
        <v>28</v>
      </c>
    </row>
    <row r="100" spans="1:9" ht="14.25" customHeight="1">
      <c r="A100" s="60"/>
      <c r="B100" s="61"/>
      <c r="C100" s="62"/>
      <c r="D100" s="193"/>
      <c r="E100" s="193"/>
      <c r="F100" s="193"/>
      <c r="G100" s="193"/>
      <c r="H100" s="193"/>
      <c r="I100" s="188"/>
    </row>
    <row r="101" spans="1:9" ht="14.25" customHeight="1">
      <c r="A101" s="60"/>
      <c r="B101" s="61"/>
      <c r="C101" s="62"/>
      <c r="D101" s="185" t="s">
        <v>487</v>
      </c>
      <c r="E101" s="185"/>
      <c r="F101" s="185"/>
      <c r="G101" s="185"/>
      <c r="H101" s="185"/>
      <c r="I101" s="187">
        <v>29</v>
      </c>
    </row>
    <row r="102" spans="1:9" ht="14.25" customHeight="1">
      <c r="A102" s="60"/>
      <c r="B102" s="61"/>
      <c r="C102" s="62"/>
      <c r="D102" s="193"/>
      <c r="E102" s="193"/>
      <c r="F102" s="193"/>
      <c r="G102" s="193"/>
      <c r="H102" s="193"/>
      <c r="I102" s="188"/>
    </row>
    <row r="103" spans="1:9" ht="14.25" customHeight="1">
      <c r="A103" s="60"/>
      <c r="B103" s="61"/>
      <c r="C103" s="62"/>
      <c r="D103" s="185" t="s">
        <v>19</v>
      </c>
      <c r="E103" s="185"/>
      <c r="F103" s="185"/>
      <c r="G103" s="185"/>
      <c r="H103" s="185"/>
      <c r="I103" s="187">
        <v>30</v>
      </c>
    </row>
    <row r="104" spans="1:9" ht="14.25" customHeight="1">
      <c r="A104" s="60"/>
      <c r="B104" s="61"/>
      <c r="C104" s="62"/>
      <c r="D104" s="193"/>
      <c r="E104" s="193"/>
      <c r="F104" s="193"/>
      <c r="G104" s="193"/>
      <c r="H104" s="193"/>
      <c r="I104" s="188"/>
    </row>
    <row r="105" spans="1:9" ht="14.25" customHeight="1">
      <c r="A105" s="60"/>
      <c r="B105" s="61"/>
      <c r="C105" s="62"/>
      <c r="D105" s="185" t="s">
        <v>27</v>
      </c>
      <c r="E105" s="185"/>
      <c r="F105" s="185"/>
      <c r="G105" s="185"/>
      <c r="H105" s="185"/>
      <c r="I105" s="187">
        <v>31</v>
      </c>
    </row>
    <row r="106" spans="1:9" ht="14.25" customHeight="1">
      <c r="A106" s="60"/>
      <c r="B106" s="61"/>
      <c r="C106" s="62"/>
      <c r="D106" s="193"/>
      <c r="E106" s="193"/>
      <c r="F106" s="193"/>
      <c r="G106" s="193"/>
      <c r="H106" s="193"/>
      <c r="I106" s="188"/>
    </row>
    <row r="107" spans="1:9" ht="14.25" customHeight="1">
      <c r="A107" s="60"/>
      <c r="B107" s="61"/>
      <c r="C107" s="62"/>
      <c r="D107" s="185" t="s">
        <v>1105</v>
      </c>
      <c r="E107" s="185"/>
      <c r="F107" s="185"/>
      <c r="G107" s="185"/>
      <c r="H107" s="185"/>
      <c r="I107" s="187">
        <v>32</v>
      </c>
    </row>
    <row r="108" spans="1:9" ht="14.25" customHeight="1">
      <c r="A108" s="60"/>
      <c r="B108" s="61"/>
      <c r="C108" s="62"/>
      <c r="D108" s="193"/>
      <c r="E108" s="193"/>
      <c r="F108" s="193"/>
      <c r="G108" s="193"/>
      <c r="H108" s="193"/>
      <c r="I108" s="188"/>
    </row>
    <row r="109" spans="1:9" ht="14.25" customHeight="1">
      <c r="A109" s="60"/>
      <c r="B109" s="61"/>
      <c r="C109" s="62"/>
      <c r="D109" s="185" t="s">
        <v>1106</v>
      </c>
      <c r="E109" s="185"/>
      <c r="F109" s="185"/>
      <c r="G109" s="185"/>
      <c r="H109" s="185"/>
      <c r="I109" s="187">
        <v>32</v>
      </c>
    </row>
    <row r="110" spans="1:9" ht="14.25" customHeight="1">
      <c r="A110" s="60"/>
      <c r="B110" s="61"/>
      <c r="C110" s="62"/>
      <c r="D110" s="193"/>
      <c r="E110" s="193"/>
      <c r="F110" s="193"/>
      <c r="G110" s="193"/>
      <c r="H110" s="193"/>
      <c r="I110" s="188"/>
    </row>
    <row r="111" spans="1:9" ht="14.25" customHeight="1">
      <c r="A111" s="60"/>
      <c r="B111" s="61"/>
      <c r="C111" s="62"/>
      <c r="D111" s="185" t="s">
        <v>1107</v>
      </c>
      <c r="E111" s="185"/>
      <c r="F111" s="185"/>
      <c r="G111" s="185"/>
      <c r="H111" s="185"/>
      <c r="I111" s="187">
        <v>33</v>
      </c>
    </row>
    <row r="112" spans="1:9" ht="14.25" customHeight="1">
      <c r="A112" s="60"/>
      <c r="B112" s="61"/>
      <c r="C112" s="62"/>
      <c r="D112" s="193"/>
      <c r="E112" s="193"/>
      <c r="F112" s="193"/>
      <c r="G112" s="193"/>
      <c r="H112" s="193"/>
      <c r="I112" s="188"/>
    </row>
    <row r="113" spans="1:9" ht="14.25" customHeight="1">
      <c r="A113" s="60"/>
      <c r="B113" s="61"/>
      <c r="C113" s="62"/>
      <c r="D113" s="185" t="s">
        <v>1108</v>
      </c>
      <c r="E113" s="185"/>
      <c r="F113" s="185"/>
      <c r="G113" s="185"/>
      <c r="H113" s="185"/>
      <c r="I113" s="187">
        <v>34</v>
      </c>
    </row>
    <row r="114" spans="1:9" ht="14.25" customHeight="1">
      <c r="A114" s="60"/>
      <c r="B114" s="61"/>
      <c r="C114" s="62"/>
      <c r="D114" s="193"/>
      <c r="E114" s="193"/>
      <c r="F114" s="193"/>
      <c r="G114" s="193"/>
      <c r="H114" s="193"/>
      <c r="I114" s="188"/>
    </row>
    <row r="115" spans="1:9" ht="14.25" customHeight="1">
      <c r="A115" s="60"/>
      <c r="B115" s="61"/>
      <c r="C115" s="62"/>
      <c r="D115" s="185" t="s">
        <v>1109</v>
      </c>
      <c r="E115" s="185"/>
      <c r="F115" s="185"/>
      <c r="G115" s="185"/>
      <c r="H115" s="185"/>
      <c r="I115" s="187">
        <v>35</v>
      </c>
    </row>
    <row r="116" spans="1:9" ht="14.25" customHeight="1">
      <c r="A116" s="60"/>
      <c r="B116" s="61"/>
      <c r="C116" s="62"/>
      <c r="D116" s="193"/>
      <c r="E116" s="193"/>
      <c r="F116" s="193"/>
      <c r="G116" s="193"/>
      <c r="H116" s="193"/>
      <c r="I116" s="188"/>
    </row>
    <row r="117" spans="1:9" ht="14.25" customHeight="1">
      <c r="A117" s="60"/>
      <c r="B117" s="61"/>
      <c r="C117" s="62"/>
      <c r="D117" s="185" t="s">
        <v>1110</v>
      </c>
      <c r="E117" s="185"/>
      <c r="F117" s="185"/>
      <c r="G117" s="185"/>
      <c r="H117" s="185"/>
      <c r="I117" s="187">
        <v>35</v>
      </c>
    </row>
    <row r="118" spans="1:9" ht="14.25" customHeight="1">
      <c r="A118" s="60"/>
      <c r="B118" s="61"/>
      <c r="C118" s="62"/>
      <c r="D118" s="193"/>
      <c r="E118" s="193"/>
      <c r="F118" s="193"/>
      <c r="G118" s="193"/>
      <c r="H118" s="193"/>
      <c r="I118" s="188"/>
    </row>
    <row r="119" spans="1:9" ht="14.25" customHeight="1">
      <c r="A119" s="60"/>
      <c r="B119" s="61"/>
      <c r="C119" s="62"/>
      <c r="D119" s="185" t="s">
        <v>1111</v>
      </c>
      <c r="E119" s="185"/>
      <c r="F119" s="185"/>
      <c r="G119" s="185"/>
      <c r="H119" s="185"/>
      <c r="I119" s="187">
        <v>36</v>
      </c>
    </row>
    <row r="120" spans="1:9" ht="14.25" customHeight="1">
      <c r="A120" s="60"/>
      <c r="B120" s="61"/>
      <c r="C120" s="62"/>
      <c r="D120" s="193"/>
      <c r="E120" s="193"/>
      <c r="F120" s="193"/>
      <c r="G120" s="193"/>
      <c r="H120" s="193"/>
      <c r="I120" s="188"/>
    </row>
    <row r="121" spans="1:9" ht="14.25" customHeight="1">
      <c r="A121" s="60"/>
      <c r="B121" s="61"/>
      <c r="C121" s="62"/>
      <c r="D121" s="185" t="s">
        <v>1112</v>
      </c>
      <c r="E121" s="185"/>
      <c r="F121" s="185"/>
      <c r="G121" s="185"/>
      <c r="H121" s="185"/>
      <c r="I121" s="187">
        <v>36</v>
      </c>
    </row>
    <row r="122" spans="1:9" ht="14.25" customHeight="1">
      <c r="A122" s="60"/>
      <c r="B122" s="61"/>
      <c r="C122" s="62"/>
      <c r="D122" s="193"/>
      <c r="E122" s="193"/>
      <c r="F122" s="193"/>
      <c r="G122" s="193"/>
      <c r="H122" s="193"/>
      <c r="I122" s="188"/>
    </row>
    <row r="123" spans="1:9" ht="14.25" customHeight="1">
      <c r="A123" s="60"/>
      <c r="B123" s="61"/>
      <c r="C123" s="62"/>
      <c r="D123" s="185" t="s">
        <v>1113</v>
      </c>
      <c r="E123" s="185"/>
      <c r="F123" s="185"/>
      <c r="G123" s="185"/>
      <c r="H123" s="185"/>
      <c r="I123" s="187">
        <v>37</v>
      </c>
    </row>
    <row r="124" spans="1:9" ht="14.25" customHeight="1">
      <c r="A124" s="60"/>
      <c r="B124" s="61"/>
      <c r="C124" s="62"/>
      <c r="D124" s="186"/>
      <c r="E124" s="186"/>
      <c r="F124" s="186"/>
      <c r="G124" s="186"/>
      <c r="H124" s="186"/>
      <c r="I124" s="188"/>
    </row>
    <row r="125" spans="1:9" ht="14.25" customHeight="1">
      <c r="A125" s="60"/>
      <c r="B125" s="61"/>
      <c r="C125" s="62"/>
      <c r="D125" s="185" t="s">
        <v>1114</v>
      </c>
      <c r="E125" s="185"/>
      <c r="F125" s="185"/>
      <c r="G125" s="185"/>
      <c r="H125" s="185"/>
      <c r="I125" s="187">
        <v>37</v>
      </c>
    </row>
    <row r="126" spans="1:9" ht="14.25" customHeight="1">
      <c r="A126" s="60"/>
      <c r="B126" s="61"/>
      <c r="C126" s="62"/>
      <c r="D126" s="186"/>
      <c r="E126" s="186"/>
      <c r="F126" s="186"/>
      <c r="G126" s="186"/>
      <c r="H126" s="186"/>
      <c r="I126" s="188"/>
    </row>
    <row r="127" spans="1:9" ht="14.25" customHeight="1">
      <c r="A127" s="60"/>
      <c r="B127" s="61"/>
      <c r="C127" s="62"/>
      <c r="D127" s="185" t="s">
        <v>1115</v>
      </c>
      <c r="E127" s="185"/>
      <c r="F127" s="185"/>
      <c r="G127" s="185"/>
      <c r="H127" s="185"/>
      <c r="I127" s="187">
        <v>38</v>
      </c>
    </row>
    <row r="128" spans="1:9" ht="14.25" customHeight="1">
      <c r="A128" s="60"/>
      <c r="B128" s="61"/>
      <c r="C128" s="62"/>
      <c r="D128" s="186"/>
      <c r="E128" s="186"/>
      <c r="F128" s="186"/>
      <c r="G128" s="186"/>
      <c r="H128" s="186"/>
      <c r="I128" s="188"/>
    </row>
    <row r="129" spans="1:9" ht="14.25" customHeight="1">
      <c r="A129" s="60"/>
      <c r="B129" s="61"/>
      <c r="C129" s="62"/>
      <c r="D129" s="185" t="s">
        <v>1116</v>
      </c>
      <c r="E129" s="185"/>
      <c r="F129" s="185"/>
      <c r="G129" s="185"/>
      <c r="H129" s="185"/>
      <c r="I129" s="187">
        <v>39</v>
      </c>
    </row>
    <row r="130" spans="1:9" ht="14.25" customHeight="1">
      <c r="A130" s="60"/>
      <c r="B130" s="61"/>
      <c r="C130" s="62"/>
      <c r="D130" s="186"/>
      <c r="E130" s="186"/>
      <c r="F130" s="186"/>
      <c r="G130" s="186"/>
      <c r="H130" s="186"/>
      <c r="I130" s="188"/>
    </row>
    <row r="131" spans="1:9" ht="14.25" customHeight="1">
      <c r="A131" s="60"/>
      <c r="B131" s="61"/>
      <c r="C131" s="62"/>
      <c r="D131" s="185" t="s">
        <v>1117</v>
      </c>
      <c r="E131" s="185"/>
      <c r="F131" s="185"/>
      <c r="G131" s="185"/>
      <c r="H131" s="185"/>
      <c r="I131" s="187">
        <v>39</v>
      </c>
    </row>
    <row r="132" spans="1:9" ht="14.25" customHeight="1">
      <c r="A132" s="60"/>
      <c r="B132" s="61"/>
      <c r="C132" s="62"/>
      <c r="D132" s="186"/>
      <c r="E132" s="186"/>
      <c r="F132" s="186"/>
      <c r="G132" s="186"/>
      <c r="H132" s="186"/>
      <c r="I132" s="188"/>
    </row>
    <row r="133" spans="1:9" ht="31.5">
      <c r="A133" s="60"/>
      <c r="B133" s="61"/>
      <c r="C133" s="62"/>
      <c r="D133" s="192" t="s">
        <v>1092</v>
      </c>
      <c r="E133" s="192"/>
      <c r="F133" s="192"/>
      <c r="G133" s="192"/>
      <c r="H133" s="192"/>
    </row>
    <row r="134" spans="1:9" ht="15" customHeight="1">
      <c r="A134" s="60"/>
      <c r="B134" s="61"/>
      <c r="C134" s="62"/>
      <c r="D134" s="189" t="s">
        <v>1093</v>
      </c>
      <c r="E134" s="189"/>
      <c r="F134" s="189"/>
      <c r="G134" s="189"/>
      <c r="H134" s="189"/>
      <c r="I134" s="191" t="s">
        <v>1094</v>
      </c>
    </row>
    <row r="135" spans="1:9" ht="15" customHeight="1">
      <c r="A135" s="60"/>
      <c r="B135" s="61"/>
      <c r="C135" s="62"/>
      <c r="D135" s="190"/>
      <c r="E135" s="190"/>
      <c r="F135" s="190"/>
      <c r="G135" s="190"/>
      <c r="H135" s="190"/>
      <c r="I135" s="191"/>
    </row>
    <row r="136" spans="1:9" ht="15" customHeight="1">
      <c r="A136" s="60"/>
      <c r="B136" s="61"/>
      <c r="C136" s="62"/>
      <c r="D136" s="185" t="s">
        <v>1118</v>
      </c>
      <c r="E136" s="185"/>
      <c r="F136" s="185"/>
      <c r="G136" s="185"/>
      <c r="H136" s="185"/>
      <c r="I136" s="187">
        <v>40</v>
      </c>
    </row>
    <row r="137" spans="1:9" ht="15" customHeight="1">
      <c r="A137" s="60"/>
      <c r="B137" s="61"/>
      <c r="C137" s="62"/>
      <c r="D137" s="186"/>
      <c r="E137" s="186"/>
      <c r="F137" s="186"/>
      <c r="G137" s="186"/>
      <c r="H137" s="186"/>
      <c r="I137" s="188"/>
    </row>
    <row r="138" spans="1:9" ht="15" customHeight="1">
      <c r="A138" s="60"/>
      <c r="B138" s="61"/>
      <c r="C138" s="62"/>
      <c r="D138" s="185" t="s">
        <v>1119</v>
      </c>
      <c r="E138" s="185"/>
      <c r="F138" s="185"/>
      <c r="G138" s="185"/>
      <c r="H138" s="185"/>
      <c r="I138" s="187">
        <v>41</v>
      </c>
    </row>
    <row r="139" spans="1:9" ht="15" customHeight="1">
      <c r="A139" s="60"/>
      <c r="B139" s="61"/>
      <c r="C139" s="62"/>
      <c r="D139" s="186"/>
      <c r="E139" s="186"/>
      <c r="F139" s="186"/>
      <c r="G139" s="186"/>
      <c r="H139" s="186"/>
      <c r="I139" s="188"/>
    </row>
    <row r="140" spans="1:9" ht="15" customHeight="1">
      <c r="A140" s="60"/>
      <c r="B140" s="61"/>
      <c r="C140" s="62"/>
      <c r="D140" s="185" t="s">
        <v>1097</v>
      </c>
      <c r="E140" s="185"/>
      <c r="F140" s="185"/>
      <c r="G140" s="185"/>
      <c r="H140" s="185"/>
      <c r="I140" s="187">
        <v>42</v>
      </c>
    </row>
    <row r="141" spans="1:9" ht="15" customHeight="1">
      <c r="A141" s="60"/>
      <c r="B141" s="61"/>
      <c r="C141" s="62"/>
      <c r="D141" s="186"/>
      <c r="E141" s="186"/>
      <c r="F141" s="186"/>
      <c r="G141" s="186"/>
      <c r="H141" s="186"/>
      <c r="I141" s="188"/>
    </row>
    <row r="142" spans="1:9" ht="15" customHeight="1">
      <c r="A142" s="60"/>
      <c r="B142" s="61"/>
      <c r="C142" s="62"/>
      <c r="D142" s="185" t="s">
        <v>1098</v>
      </c>
      <c r="E142" s="185"/>
      <c r="F142" s="185"/>
      <c r="G142" s="185"/>
      <c r="H142" s="185"/>
      <c r="I142" s="187">
        <v>43</v>
      </c>
    </row>
    <row r="143" spans="1:9" ht="15" customHeight="1">
      <c r="A143" s="60"/>
      <c r="B143" s="61"/>
      <c r="C143" s="62"/>
      <c r="D143" s="186"/>
      <c r="E143" s="186"/>
      <c r="F143" s="186"/>
      <c r="G143" s="186"/>
      <c r="H143" s="186"/>
      <c r="I143" s="188"/>
    </row>
    <row r="144" spans="1:9" ht="15" customHeight="1">
      <c r="A144" s="60"/>
      <c r="B144" s="61"/>
      <c r="C144" s="62"/>
      <c r="D144" s="185" t="s">
        <v>1099</v>
      </c>
      <c r="E144" s="185"/>
      <c r="F144" s="185"/>
      <c r="G144" s="185"/>
      <c r="H144" s="185"/>
      <c r="I144" s="187">
        <v>43</v>
      </c>
    </row>
    <row r="145" spans="1:9" ht="15" customHeight="1">
      <c r="A145" s="60"/>
      <c r="B145" s="61"/>
      <c r="C145" s="62"/>
      <c r="D145" s="186"/>
      <c r="E145" s="186"/>
      <c r="F145" s="186"/>
      <c r="G145" s="186"/>
      <c r="H145" s="186"/>
      <c r="I145" s="188"/>
    </row>
    <row r="146" spans="1:9" ht="15" customHeight="1">
      <c r="A146" s="60"/>
      <c r="B146" s="61"/>
      <c r="C146" s="62"/>
      <c r="D146" s="185" t="s">
        <v>1100</v>
      </c>
      <c r="E146" s="185"/>
      <c r="F146" s="185"/>
      <c r="G146" s="185"/>
      <c r="H146" s="185"/>
      <c r="I146" s="187">
        <v>43</v>
      </c>
    </row>
    <row r="147" spans="1:9" ht="15" customHeight="1">
      <c r="A147" s="60"/>
      <c r="B147" s="61"/>
      <c r="C147" s="62"/>
      <c r="D147" s="186"/>
      <c r="E147" s="186"/>
      <c r="F147" s="186"/>
      <c r="G147" s="186"/>
      <c r="H147" s="186"/>
      <c r="I147" s="188"/>
    </row>
    <row r="148" spans="1:9" ht="15" customHeight="1">
      <c r="A148" s="60"/>
      <c r="B148" s="61"/>
      <c r="C148" s="62"/>
      <c r="D148" s="185" t="s">
        <v>1120</v>
      </c>
      <c r="E148" s="185"/>
      <c r="F148" s="185"/>
      <c r="G148" s="185"/>
      <c r="H148" s="185"/>
      <c r="I148" s="187">
        <v>44</v>
      </c>
    </row>
    <row r="149" spans="1:9" ht="15" customHeight="1">
      <c r="A149" s="60"/>
      <c r="B149" s="61"/>
      <c r="C149" s="62"/>
      <c r="D149" s="186"/>
      <c r="E149" s="186"/>
      <c r="F149" s="186"/>
      <c r="G149" s="186"/>
      <c r="H149" s="186"/>
      <c r="I149" s="188"/>
    </row>
    <row r="150" spans="1:9" ht="15" customHeight="1">
      <c r="A150" s="60"/>
      <c r="B150" s="61"/>
      <c r="C150" s="62"/>
      <c r="D150" s="185" t="s">
        <v>1121</v>
      </c>
      <c r="E150" s="185"/>
      <c r="F150" s="185"/>
      <c r="G150" s="185"/>
      <c r="H150" s="185"/>
      <c r="I150" s="187">
        <v>45</v>
      </c>
    </row>
    <row r="151" spans="1:9" ht="15" customHeight="1">
      <c r="A151" s="60"/>
      <c r="B151" s="61"/>
      <c r="C151" s="62"/>
      <c r="D151" s="186"/>
      <c r="E151" s="186"/>
      <c r="F151" s="186"/>
      <c r="G151" s="186"/>
      <c r="H151" s="186"/>
      <c r="I151" s="188"/>
    </row>
    <row r="152" spans="1:9" ht="15" customHeight="1">
      <c r="A152" s="60"/>
      <c r="B152" s="61"/>
      <c r="C152" s="62"/>
      <c r="D152" s="185" t="s">
        <v>1122</v>
      </c>
      <c r="E152" s="185"/>
      <c r="F152" s="185"/>
      <c r="G152" s="185"/>
      <c r="H152" s="185"/>
      <c r="I152" s="187">
        <v>46</v>
      </c>
    </row>
    <row r="153" spans="1:9" ht="15" customHeight="1">
      <c r="A153" s="60"/>
      <c r="B153" s="61"/>
      <c r="C153" s="62"/>
      <c r="D153" s="186"/>
      <c r="E153" s="186"/>
      <c r="F153" s="186"/>
      <c r="G153" s="186"/>
      <c r="H153" s="186"/>
      <c r="I153" s="188"/>
    </row>
    <row r="154" spans="1:9" ht="15" customHeight="1">
      <c r="A154" s="60"/>
      <c r="B154" s="61"/>
      <c r="C154" s="62"/>
      <c r="D154" s="185" t="s">
        <v>1123</v>
      </c>
      <c r="E154" s="185"/>
      <c r="F154" s="185"/>
      <c r="G154" s="185"/>
      <c r="H154" s="185"/>
      <c r="I154" s="187">
        <v>47</v>
      </c>
    </row>
    <row r="155" spans="1:9" ht="15" customHeight="1">
      <c r="A155" s="60"/>
      <c r="B155" s="61"/>
      <c r="C155" s="62"/>
      <c r="D155" s="186"/>
      <c r="E155" s="186"/>
      <c r="F155" s="186"/>
      <c r="G155" s="186"/>
      <c r="H155" s="186"/>
      <c r="I155" s="188"/>
    </row>
    <row r="156" spans="1:9" ht="15" customHeight="1">
      <c r="A156" s="60"/>
      <c r="B156" s="61"/>
      <c r="C156" s="62"/>
      <c r="D156" s="185" t="s">
        <v>1124</v>
      </c>
      <c r="E156" s="185"/>
      <c r="F156" s="185"/>
      <c r="G156" s="185"/>
      <c r="H156" s="185"/>
      <c r="I156" s="187">
        <v>48</v>
      </c>
    </row>
    <row r="157" spans="1:9" ht="15" customHeight="1">
      <c r="A157" s="60"/>
      <c r="B157" s="61"/>
      <c r="C157" s="62"/>
      <c r="D157" s="186"/>
      <c r="E157" s="186"/>
      <c r="F157" s="186"/>
      <c r="G157" s="186"/>
      <c r="H157" s="186"/>
      <c r="I157" s="188"/>
    </row>
    <row r="158" spans="1:9" ht="15" customHeight="1">
      <c r="A158" s="60"/>
      <c r="B158" s="61"/>
      <c r="C158" s="62"/>
      <c r="D158" s="185" t="s">
        <v>1125</v>
      </c>
      <c r="E158" s="185"/>
      <c r="F158" s="185"/>
      <c r="G158" s="185"/>
      <c r="H158" s="185"/>
      <c r="I158" s="187">
        <v>49</v>
      </c>
    </row>
    <row r="159" spans="1:9" ht="15" customHeight="1">
      <c r="A159" s="60"/>
      <c r="B159" s="61"/>
      <c r="C159" s="62"/>
      <c r="D159" s="186"/>
      <c r="E159" s="186"/>
      <c r="F159" s="186"/>
      <c r="G159" s="186"/>
      <c r="H159" s="186"/>
      <c r="I159" s="188"/>
    </row>
    <row r="160" spans="1:9" ht="15" customHeight="1">
      <c r="A160" s="60"/>
      <c r="B160" s="61"/>
      <c r="C160" s="62"/>
      <c r="D160" s="185" t="s">
        <v>117</v>
      </c>
      <c r="E160" s="185"/>
      <c r="F160" s="185"/>
      <c r="G160" s="185"/>
      <c r="H160" s="185"/>
      <c r="I160" s="187">
        <v>50</v>
      </c>
    </row>
    <row r="161" spans="1:9" ht="15" customHeight="1">
      <c r="A161" s="60"/>
      <c r="B161" s="61"/>
      <c r="C161" s="62"/>
      <c r="D161" s="186"/>
      <c r="E161" s="186"/>
      <c r="F161" s="186"/>
      <c r="G161" s="186"/>
      <c r="H161" s="186"/>
      <c r="I161" s="188"/>
    </row>
    <row r="162" spans="1:9" ht="15" customHeight="1">
      <c r="A162" s="60"/>
      <c r="B162" s="61"/>
      <c r="C162" s="62"/>
      <c r="D162" s="185" t="s">
        <v>85</v>
      </c>
      <c r="E162" s="185"/>
      <c r="F162" s="185"/>
      <c r="G162" s="185"/>
      <c r="H162" s="185"/>
      <c r="I162" s="187">
        <v>51</v>
      </c>
    </row>
    <row r="163" spans="1:9" ht="15" customHeight="1">
      <c r="A163" s="60"/>
      <c r="B163" s="61"/>
      <c r="C163" s="62"/>
      <c r="D163" s="186"/>
      <c r="E163" s="186"/>
      <c r="F163" s="186"/>
      <c r="G163" s="186"/>
      <c r="H163" s="186"/>
      <c r="I163" s="188"/>
    </row>
    <row r="164" spans="1:9" ht="15" customHeight="1">
      <c r="A164" s="60"/>
      <c r="B164" s="61"/>
      <c r="C164" s="62"/>
      <c r="D164" s="185" t="s">
        <v>1126</v>
      </c>
      <c r="E164" s="185"/>
      <c r="F164" s="185"/>
      <c r="G164" s="185"/>
      <c r="H164" s="185"/>
      <c r="I164" s="187">
        <v>52</v>
      </c>
    </row>
    <row r="165" spans="1:9" ht="15" customHeight="1">
      <c r="A165" s="60"/>
      <c r="B165" s="61"/>
      <c r="C165" s="62"/>
      <c r="D165" s="186"/>
      <c r="E165" s="186"/>
      <c r="F165" s="186"/>
      <c r="G165" s="186"/>
      <c r="H165" s="186"/>
      <c r="I165" s="188"/>
    </row>
    <row r="166" spans="1:9" ht="15" customHeight="1">
      <c r="A166" s="60"/>
      <c r="B166" s="61"/>
      <c r="C166" s="62"/>
      <c r="D166" s="185" t="s">
        <v>411</v>
      </c>
      <c r="E166" s="185"/>
      <c r="F166" s="185"/>
      <c r="G166" s="185"/>
      <c r="H166" s="185"/>
      <c r="I166" s="187">
        <v>53</v>
      </c>
    </row>
    <row r="167" spans="1:9" ht="15" customHeight="1">
      <c r="A167" s="60"/>
      <c r="B167" s="61"/>
      <c r="C167" s="62"/>
      <c r="D167" s="186"/>
      <c r="E167" s="186"/>
      <c r="F167" s="186"/>
      <c r="G167" s="186"/>
      <c r="H167" s="186"/>
      <c r="I167" s="188"/>
    </row>
    <row r="168" spans="1:9" ht="15" customHeight="1">
      <c r="A168" s="60"/>
      <c r="B168" s="61"/>
      <c r="C168" s="62"/>
      <c r="D168" s="185" t="s">
        <v>1129</v>
      </c>
      <c r="E168" s="185"/>
      <c r="F168" s="185"/>
      <c r="G168" s="185"/>
      <c r="H168" s="185"/>
      <c r="I168" s="187">
        <v>54</v>
      </c>
    </row>
    <row r="169" spans="1:9" ht="15" customHeight="1">
      <c r="A169" s="60"/>
      <c r="B169" s="61"/>
      <c r="C169" s="62"/>
      <c r="D169" s="186"/>
      <c r="E169" s="186"/>
      <c r="F169" s="186"/>
      <c r="G169" s="186"/>
      <c r="H169" s="186"/>
      <c r="I169" s="188"/>
    </row>
    <row r="170" spans="1:9" ht="15" customHeight="1">
      <c r="A170" s="60"/>
      <c r="B170" s="61"/>
      <c r="C170" s="62"/>
      <c r="D170" s="185" t="s">
        <v>1130</v>
      </c>
      <c r="E170" s="185"/>
      <c r="F170" s="185"/>
      <c r="G170" s="185"/>
      <c r="H170" s="185"/>
      <c r="I170" s="187">
        <v>55</v>
      </c>
    </row>
    <row r="171" spans="1:9" ht="15" customHeight="1">
      <c r="A171" s="60"/>
      <c r="B171" s="61"/>
      <c r="C171" s="62"/>
      <c r="D171" s="186"/>
      <c r="E171" s="186"/>
      <c r="F171" s="186"/>
      <c r="G171" s="186"/>
      <c r="H171" s="186"/>
      <c r="I171" s="188"/>
    </row>
    <row r="172" spans="1:9" ht="15" customHeight="1">
      <c r="A172" s="60"/>
      <c r="B172" s="61"/>
      <c r="C172" s="62"/>
      <c r="D172" s="185" t="s">
        <v>1131</v>
      </c>
      <c r="E172" s="185"/>
      <c r="F172" s="185"/>
      <c r="G172" s="185"/>
      <c r="H172" s="185"/>
      <c r="I172" s="187">
        <v>56</v>
      </c>
    </row>
    <row r="173" spans="1:9" ht="15" customHeight="1">
      <c r="A173" s="60"/>
      <c r="B173" s="61"/>
      <c r="C173" s="62"/>
      <c r="D173" s="186"/>
      <c r="E173" s="186"/>
      <c r="F173" s="186"/>
      <c r="G173" s="186"/>
      <c r="H173" s="186"/>
      <c r="I173" s="188"/>
    </row>
    <row r="174" spans="1:9" ht="15" customHeight="1">
      <c r="A174" s="60"/>
      <c r="B174" s="61"/>
      <c r="C174" s="62"/>
      <c r="D174" s="185" t="s">
        <v>1132</v>
      </c>
      <c r="E174" s="185"/>
      <c r="F174" s="185"/>
      <c r="G174" s="185"/>
      <c r="H174" s="185"/>
      <c r="I174" s="187">
        <v>57</v>
      </c>
    </row>
    <row r="175" spans="1:9" ht="15" customHeight="1">
      <c r="A175" s="60"/>
      <c r="B175" s="61"/>
      <c r="C175" s="62"/>
      <c r="D175" s="186"/>
      <c r="E175" s="186"/>
      <c r="F175" s="186"/>
      <c r="G175" s="186"/>
      <c r="H175" s="186"/>
      <c r="I175" s="188"/>
    </row>
    <row r="176" spans="1:9" ht="11.25" customHeight="1">
      <c r="A176" s="60"/>
      <c r="B176" s="61"/>
      <c r="C176" s="62"/>
      <c r="D176" s="185" t="s">
        <v>1133</v>
      </c>
      <c r="E176" s="185"/>
      <c r="F176" s="185"/>
      <c r="G176" s="185"/>
      <c r="H176" s="185"/>
      <c r="I176" s="187">
        <v>57</v>
      </c>
    </row>
    <row r="177" spans="1:10" ht="11.25" customHeight="1">
      <c r="A177" s="60"/>
      <c r="B177" s="61"/>
      <c r="C177" s="62"/>
      <c r="D177" s="186"/>
      <c r="E177" s="186"/>
      <c r="F177" s="186"/>
      <c r="G177" s="186"/>
      <c r="H177" s="186"/>
      <c r="I177" s="188"/>
    </row>
    <row r="178" spans="1:10" ht="15" customHeight="1">
      <c r="A178" s="60"/>
      <c r="B178" s="61"/>
      <c r="C178" s="62"/>
      <c r="D178" s="185" t="s">
        <v>1134</v>
      </c>
      <c r="E178" s="185"/>
      <c r="F178" s="185"/>
      <c r="G178" s="185"/>
      <c r="H178" s="185"/>
      <c r="I178" s="187">
        <v>58</v>
      </c>
    </row>
    <row r="179" spans="1:10" ht="15" customHeight="1">
      <c r="A179" s="60"/>
      <c r="B179" s="61"/>
      <c r="C179" s="62"/>
      <c r="D179" s="186"/>
      <c r="E179" s="186"/>
      <c r="F179" s="186"/>
      <c r="G179" s="186"/>
      <c r="H179" s="186"/>
      <c r="I179" s="188"/>
    </row>
    <row r="180" spans="1:10" ht="22.5" customHeight="1">
      <c r="A180" s="70"/>
      <c r="B180" s="71"/>
      <c r="C180" s="183"/>
      <c r="D180" s="184"/>
      <c r="E180" s="184"/>
      <c r="F180" s="184"/>
      <c r="G180" s="184"/>
      <c r="H180" s="184"/>
      <c r="I180" s="184"/>
    </row>
    <row r="181" spans="1:10" ht="22.5" customHeight="1">
      <c r="A181" s="70"/>
      <c r="B181" s="71"/>
      <c r="C181" s="183"/>
      <c r="D181" s="184"/>
      <c r="E181" s="184"/>
      <c r="F181" s="184"/>
      <c r="G181" s="184"/>
      <c r="H181" s="184"/>
      <c r="I181" s="184"/>
    </row>
    <row r="182" spans="1:10" ht="30" customHeight="1">
      <c r="A182" s="70"/>
      <c r="B182" s="71"/>
      <c r="C182" s="72"/>
      <c r="D182" s="67" t="s">
        <v>432</v>
      </c>
      <c r="E182" s="67"/>
      <c r="F182" s="67"/>
      <c r="I182" s="68" t="str">
        <f>$M$1</f>
        <v>1405/02/01</v>
      </c>
    </row>
    <row r="183" spans="1:10" ht="45" customHeight="1">
      <c r="A183" s="70"/>
      <c r="B183" s="71"/>
      <c r="C183" s="77"/>
      <c r="D183" s="87" t="s">
        <v>0</v>
      </c>
      <c r="E183" s="88" t="s">
        <v>1</v>
      </c>
      <c r="F183" s="177" t="s">
        <v>448</v>
      </c>
      <c r="G183" s="178"/>
      <c r="H183" s="179"/>
      <c r="I183" s="89" t="s">
        <v>251</v>
      </c>
    </row>
    <row r="184" spans="1:10" ht="50.25" customHeight="1">
      <c r="A184" s="60"/>
      <c r="B184" s="61"/>
      <c r="D184" s="84">
        <v>1</v>
      </c>
      <c r="E184" s="84">
        <f>INDEX('حذف از تولید و لیست اصلی'!B:B,MATCH('کاتالوگ مبلمان'!J184,'حذف از تولید و لیست اصلی'!I:I,0))</f>
        <v>2110010000</v>
      </c>
      <c r="F184" s="180" t="str">
        <f>INDEX('حذف از تولید و لیست اصلی'!C:C,MATCH('کاتالوگ مبلمان'!J184,'حذف از تولید و لیست اصلی'!I:I,0))</f>
        <v>مبل هفت‌نفره آکومه (یک عدد سه‌نفره + یک عدد دونفره + دو عدد یک‌نفره)</v>
      </c>
      <c r="G184" s="181"/>
      <c r="H184" s="182"/>
      <c r="I184" s="85">
        <f>INDEX('حذف از تولید و لیست اصلی'!E:E,MATCH('کاتالوگ مبلمان'!J184,'حذف از تولید و لیست اصلی'!I:I,0))</f>
        <v>5751000000</v>
      </c>
      <c r="J184" s="76">
        <v>1</v>
      </c>
    </row>
    <row r="185" spans="1:10" ht="50.25" customHeight="1">
      <c r="A185" s="60"/>
      <c r="B185" s="61"/>
      <c r="C185" s="78"/>
      <c r="D185" s="86">
        <v>2</v>
      </c>
      <c r="E185" s="84">
        <f>INDEX('حذف از تولید و لیست اصلی'!B:B,MATCH('کاتالوگ مبلمان'!J185,'حذف از تولید و لیست اصلی'!I:I,0))</f>
        <v>2110010300</v>
      </c>
      <c r="F185" s="180" t="str">
        <f>INDEX('حذف از تولید و لیست اصلی'!C:C,MATCH('کاتالوگ مبلمان'!J185,'حذف از تولید و لیست اصلی'!I:I,0))</f>
        <v>کاناپه سه‌نفره آکومه (4 عدد کوسن)</v>
      </c>
      <c r="G185" s="181"/>
      <c r="H185" s="182"/>
      <c r="I185" s="85">
        <f>INDEX('حذف از تولید و لیست اصلی'!E:E,MATCH('کاتالوگ مبلمان'!J185,'حذف از تولید و لیست اصلی'!I:I,0))</f>
        <v>1886000000</v>
      </c>
      <c r="J185" s="76">
        <v>2</v>
      </c>
    </row>
    <row r="186" spans="1:10" ht="50.25" customHeight="1">
      <c r="A186" s="60"/>
      <c r="B186" s="61"/>
      <c r="D186" s="86">
        <v>3</v>
      </c>
      <c r="E186" s="84">
        <f>INDEX('حذف از تولید و لیست اصلی'!B:B,MATCH('کاتالوگ مبلمان'!J186,'حذف از تولید و لیست اصلی'!I:I,0))</f>
        <v>2110010200</v>
      </c>
      <c r="F186" s="180" t="str">
        <f>INDEX('حذف از تولید و لیست اصلی'!C:C,MATCH('کاتالوگ مبلمان'!J186,'حذف از تولید و لیست اصلی'!I:I,0))</f>
        <v>کاناپه دونفره آکومه (4 عدد کوسن)</v>
      </c>
      <c r="G186" s="181"/>
      <c r="H186" s="182"/>
      <c r="I186" s="85">
        <f>INDEX('حذف از تولید و لیست اصلی'!E:E,MATCH('کاتالوگ مبلمان'!J186,'حذف از تولید و لیست اصلی'!I:I,0))</f>
        <v>1425000000</v>
      </c>
      <c r="J186" s="76">
        <v>3</v>
      </c>
    </row>
    <row r="187" spans="1:10" ht="50.25" customHeight="1">
      <c r="A187" s="60"/>
      <c r="B187" s="61"/>
      <c r="D187" s="86">
        <v>4</v>
      </c>
      <c r="E187" s="84">
        <f>INDEX('حذف از تولید و لیست اصلی'!B:B,MATCH('کاتالوگ مبلمان'!J187,'حذف از تولید و لیست اصلی'!I:I,0))</f>
        <v>2110010100</v>
      </c>
      <c r="F187" s="180" t="str">
        <f>INDEX('حذف از تولید و لیست اصلی'!C:C,MATCH('کاتالوگ مبلمان'!J187,'حذف از تولید و لیست اصلی'!I:I,0))</f>
        <v>مبل یک‌نفره آکومه (1 عدد کوسن)</v>
      </c>
      <c r="G187" s="181"/>
      <c r="H187" s="182"/>
      <c r="I187" s="85">
        <f>INDEX('حذف از تولید و لیست اصلی'!E:E,MATCH('کاتالوگ مبلمان'!J187,'حذف از تولید و لیست اصلی'!I:I,0))</f>
        <v>1220000000</v>
      </c>
      <c r="J187" s="76">
        <v>4</v>
      </c>
    </row>
    <row r="188" spans="1:10" ht="50.25" customHeight="1">
      <c r="A188" s="60"/>
      <c r="B188" s="61"/>
      <c r="D188" s="86">
        <v>5</v>
      </c>
      <c r="E188" s="84" t="str">
        <f>INDEX('حذف از تولید و لیست اصلی'!B:B,MATCH('کاتالوگ مبلمان'!J188,'حذف از تولید و لیست اصلی'!I:I,0))</f>
        <v>-</v>
      </c>
      <c r="F188" s="180" t="str">
        <f>INDEX('حذف از تولید و لیست اصلی'!C:C,MATCH('کاتالوگ مبلمان'!J188,'حذف از تولید و لیست اصلی'!I:I,0))</f>
        <v>متراژ پارچه هفت‌نفره (فریم 16 متر + تشک 8.5 متر + کوسن 5.5 متر)</v>
      </c>
      <c r="G188" s="181"/>
      <c r="H188" s="182"/>
      <c r="I188" s="85" t="str">
        <f>INDEX('حذف از تولید و لیست اصلی'!E:E,MATCH('کاتالوگ مبلمان'!J188,'حذف از تولید و لیست اصلی'!I:I,0))</f>
        <v>30 متر</v>
      </c>
      <c r="J188" s="76">
        <v>5</v>
      </c>
    </row>
    <row r="189" spans="1:10" ht="50.25" customHeight="1">
      <c r="A189" s="60"/>
      <c r="B189" s="61"/>
      <c r="D189" s="86">
        <v>6</v>
      </c>
      <c r="E189" s="84" t="str">
        <f>INDEX('حذف از تولید و لیست اصلی'!B:B,MATCH('کاتالوگ مبلمان'!J189,'حذف از تولید و لیست اصلی'!I:I,0))</f>
        <v>-</v>
      </c>
      <c r="F189" s="180" t="str">
        <f>INDEX('حذف از تولید و لیست اصلی'!C:C,MATCH('کاتالوگ مبلمان'!J189,'حذف از تولید و لیست اصلی'!I:I,0))</f>
        <v>متراژ پارچه سه‌نفره (فریم 5 متر + تشک 3 متر + کوسن 2 متر)</v>
      </c>
      <c r="G189" s="181"/>
      <c r="H189" s="182"/>
      <c r="I189" s="85" t="str">
        <f>INDEX('حذف از تولید و لیست اصلی'!E:E,MATCH('کاتالوگ مبلمان'!J189,'حذف از تولید و لیست اصلی'!I:I,0))</f>
        <v>10 متر</v>
      </c>
      <c r="J189" s="76">
        <v>6</v>
      </c>
    </row>
    <row r="190" spans="1:10" ht="50.25" customHeight="1">
      <c r="A190" s="60"/>
      <c r="B190" s="61"/>
      <c r="D190" s="86">
        <v>7</v>
      </c>
      <c r="E190" s="84" t="str">
        <f>INDEX('حذف از تولید و لیست اصلی'!B:B,MATCH('کاتالوگ مبلمان'!J190,'حذف از تولید و لیست اصلی'!I:I,0))</f>
        <v>-</v>
      </c>
      <c r="F190" s="180" t="str">
        <f>INDEX('حذف از تولید و لیست اصلی'!C:C,MATCH('کاتالوگ مبلمان'!J190,'حذف از تولید و لیست اصلی'!I:I,0))</f>
        <v>متراژ پارچه دونفره (فریم 4.5 متر + تشک 2 متر + کوسن 1.5 متر)</v>
      </c>
      <c r="G190" s="181"/>
      <c r="H190" s="182"/>
      <c r="I190" s="85" t="str">
        <f>INDEX('حذف از تولید و لیست اصلی'!E:E,MATCH('کاتالوگ مبلمان'!J190,'حذف از تولید و لیست اصلی'!I:I,0))</f>
        <v>8 متر</v>
      </c>
      <c r="J190" s="76">
        <v>7</v>
      </c>
    </row>
    <row r="191" spans="1:10" ht="50.25" customHeight="1">
      <c r="A191" s="60"/>
      <c r="B191" s="61"/>
      <c r="D191" s="86">
        <v>8</v>
      </c>
      <c r="E191" s="84" t="str">
        <f>INDEX('حذف از تولید و لیست اصلی'!B:B,MATCH('کاتالوگ مبلمان'!J191,'حذف از تولید و لیست اصلی'!I:I,0))</f>
        <v>-</v>
      </c>
      <c r="F191" s="180" t="str">
        <f>INDEX('حذف از تولید و لیست اصلی'!C:C,MATCH('کاتالوگ مبلمان'!J191,'حذف از تولید و لیست اصلی'!I:I,0))</f>
        <v xml:space="preserve">  متراژ پارچه یک‌نفره (فریم بیرون، داخل و تشک از یک پارچه 5 متر + کوسن 1 متر)</v>
      </c>
      <c r="G191" s="181"/>
      <c r="H191" s="182"/>
      <c r="I191" s="85" t="str">
        <f>INDEX('حذف از تولید و لیست اصلی'!E:E,MATCH('کاتالوگ مبلمان'!J191,'حذف از تولید و لیست اصلی'!I:I,0))</f>
        <v>6 متر</v>
      </c>
      <c r="J191" s="76">
        <v>8</v>
      </c>
    </row>
    <row r="192" spans="1:10" ht="50.25" customHeight="1">
      <c r="A192" s="60"/>
      <c r="B192" s="61"/>
      <c r="D192" s="86">
        <v>9</v>
      </c>
      <c r="E192" s="84" t="str">
        <f>INDEX('حذف از تولید و لیست اصلی'!B:B,MATCH('کاتالوگ مبلمان'!J192,'حذف از تولید و لیست اصلی'!I:I,0))</f>
        <v>-</v>
      </c>
      <c r="F192" s="180" t="str">
        <f>INDEX('حذف از تولید و لیست اصلی'!C:C,MATCH('کاتالوگ مبلمان'!J192,'حذف از تولید و لیست اصلی'!I:I,0))</f>
        <v xml:space="preserve">  متراژ پارچه یک‌نفره (فریم بیرون 2 متر + فریم داخل و تشک 3.5 متر + کوسن 1 متر)</v>
      </c>
      <c r="G192" s="181"/>
      <c r="H192" s="182"/>
      <c r="I192" s="85" t="str">
        <f>INDEX('حذف از تولید و لیست اصلی'!E:E,MATCH('کاتالوگ مبلمان'!J192,'حذف از تولید و لیست اصلی'!I:I,0))</f>
        <v>6.5 متر</v>
      </c>
      <c r="J192" s="76">
        <v>9</v>
      </c>
    </row>
    <row r="193" spans="1:10" ht="39.75" customHeight="1">
      <c r="A193" s="60"/>
      <c r="B193" s="61"/>
      <c r="D193"/>
      <c r="E193"/>
      <c r="F193"/>
      <c r="G193"/>
      <c r="H193"/>
      <c r="I193"/>
      <c r="J193"/>
    </row>
    <row r="194" spans="1:10">
      <c r="A194" s="60"/>
      <c r="B194" s="61"/>
      <c r="D194"/>
      <c r="E194"/>
      <c r="F194"/>
      <c r="G194"/>
      <c r="H194"/>
      <c r="I194"/>
      <c r="J194"/>
    </row>
    <row r="195" spans="1:10">
      <c r="A195" s="60"/>
      <c r="B195" s="61"/>
      <c r="D195"/>
      <c r="E195"/>
      <c r="F195"/>
      <c r="G195"/>
      <c r="H195"/>
      <c r="I195"/>
      <c r="J195"/>
    </row>
    <row r="196" spans="1:10">
      <c r="A196" s="60"/>
      <c r="B196" s="61"/>
      <c r="D196"/>
      <c r="E196"/>
      <c r="F196"/>
      <c r="G196"/>
      <c r="H196"/>
      <c r="I196"/>
      <c r="J196"/>
    </row>
    <row r="197" spans="1:10">
      <c r="A197" s="60"/>
      <c r="B197" s="61"/>
      <c r="G197" s="64"/>
      <c r="H197" s="64"/>
      <c r="I197" s="64"/>
    </row>
    <row r="198" spans="1:10">
      <c r="A198" s="60"/>
      <c r="B198" s="61"/>
      <c r="G198" s="64"/>
      <c r="H198" s="64"/>
      <c r="I198" s="64"/>
    </row>
    <row r="199" spans="1:10">
      <c r="A199" s="60"/>
      <c r="B199" s="61"/>
      <c r="I199" s="74">
        <v>4</v>
      </c>
    </row>
    <row r="200" spans="1:10" ht="22.5" customHeight="1">
      <c r="A200" s="70"/>
      <c r="B200" s="71"/>
      <c r="C200" s="183"/>
      <c r="D200" s="184"/>
      <c r="E200" s="184"/>
      <c r="F200" s="184"/>
      <c r="G200" s="184"/>
      <c r="H200" s="184"/>
      <c r="I200" s="184"/>
    </row>
    <row r="201" spans="1:10" ht="22.5" customHeight="1">
      <c r="A201" s="70"/>
      <c r="B201" s="71"/>
      <c r="C201" s="183"/>
      <c r="D201" s="184"/>
      <c r="E201" s="184"/>
      <c r="F201" s="184"/>
      <c r="G201" s="184"/>
      <c r="H201" s="184"/>
      <c r="I201" s="184"/>
    </row>
    <row r="202" spans="1:10" ht="27.75">
      <c r="A202" s="70"/>
      <c r="B202" s="71"/>
      <c r="C202" s="72"/>
      <c r="D202" s="67" t="s">
        <v>447</v>
      </c>
      <c r="E202" s="67"/>
      <c r="F202" s="67"/>
      <c r="I202" s="68" t="str">
        <f>$M$1</f>
        <v>1405/02/01</v>
      </c>
    </row>
    <row r="203" spans="1:10" ht="45" customHeight="1">
      <c r="A203" s="70"/>
      <c r="B203" s="71"/>
      <c r="C203" s="77"/>
      <c r="D203" s="87" t="s">
        <v>0</v>
      </c>
      <c r="E203" s="88" t="s">
        <v>1</v>
      </c>
      <c r="F203" s="177" t="s">
        <v>448</v>
      </c>
      <c r="G203" s="178"/>
      <c r="H203" s="179"/>
      <c r="I203" s="89" t="s">
        <v>251</v>
      </c>
    </row>
    <row r="204" spans="1:10" ht="51" customHeight="1">
      <c r="A204" s="60"/>
      <c r="B204" s="61"/>
      <c r="D204" s="84">
        <v>1</v>
      </c>
      <c r="E204" s="84">
        <f>INDEX('حذف از تولید و لیست اصلی'!B:B,MATCH('کاتالوگ مبلمان'!J204,'حذف از تولید و لیست اصلی'!I:I,0))</f>
        <v>2110010000</v>
      </c>
      <c r="F204" s="180" t="str">
        <f>INDEX('حذف از تولید و لیست اصلی'!C:C,MATCH('کاتالوگ مبلمان'!J204,'حذف از تولید و لیست اصلی'!I:I,0))</f>
        <v>مبل هفت‌نفره آکومه (یک عدد سه‌نفره + یک عدد دونفره + دو عدد یک‌نفره)</v>
      </c>
      <c r="G204" s="181"/>
      <c r="H204" s="182"/>
      <c r="I204" s="85">
        <f>INDEX('حذف از تولید و لیست اصلی'!E:E,MATCH('کاتالوگ مبلمان'!J204,'حذف از تولید و لیست اصلی'!I:I,0))</f>
        <v>5151000000</v>
      </c>
      <c r="J204" s="64">
        <v>10</v>
      </c>
    </row>
    <row r="205" spans="1:10" ht="51" customHeight="1">
      <c r="A205" s="60"/>
      <c r="B205" s="61"/>
      <c r="C205" s="78"/>
      <c r="D205" s="86">
        <v>2</v>
      </c>
      <c r="E205" s="84">
        <f>INDEX('حذف از تولید و لیست اصلی'!B:B,MATCH('کاتالوگ مبلمان'!J205,'حذف از تولید و لیست اصلی'!I:I,0))</f>
        <v>2110010300</v>
      </c>
      <c r="F205" s="180" t="str">
        <f>INDEX('حذف از تولید و لیست اصلی'!C:C,MATCH('کاتالوگ مبلمان'!J205,'حذف از تولید و لیست اصلی'!I:I,0))</f>
        <v>کاناپه سه‌نفره آکومه (4 عدد کوسن)</v>
      </c>
      <c r="G205" s="181"/>
      <c r="H205" s="182"/>
      <c r="I205" s="85">
        <f>INDEX('حذف از تولید و لیست اصلی'!E:E,MATCH('کاتالوگ مبلمان'!J205,'حذف از تولید و لیست اصلی'!I:I,0))</f>
        <v>1686000000</v>
      </c>
      <c r="J205" s="64">
        <v>11</v>
      </c>
    </row>
    <row r="206" spans="1:10" ht="51" customHeight="1">
      <c r="A206" s="60"/>
      <c r="B206" s="61"/>
      <c r="D206" s="86">
        <v>3</v>
      </c>
      <c r="E206" s="84">
        <f>INDEX('حذف از تولید و لیست اصلی'!B:B,MATCH('کاتالوگ مبلمان'!J206,'حذف از تولید و لیست اصلی'!I:I,0))</f>
        <v>2110010200</v>
      </c>
      <c r="F206" s="180" t="str">
        <f>INDEX('حذف از تولید و لیست اصلی'!C:C,MATCH('کاتالوگ مبلمان'!J206,'حذف از تولید و لیست اصلی'!I:I,0))</f>
        <v>کاناپه دونفره آکومه (4 عدد کوسن)</v>
      </c>
      <c r="G206" s="181"/>
      <c r="H206" s="182"/>
      <c r="I206" s="85">
        <f>INDEX('حذف از تولید و لیست اصلی'!E:E,MATCH('کاتالوگ مبلمان'!J206,'حذف از تولید و لیست اصلی'!I:I,0))</f>
        <v>1265000000</v>
      </c>
      <c r="J206" s="64">
        <v>12</v>
      </c>
    </row>
    <row r="207" spans="1:10" ht="51" customHeight="1">
      <c r="A207" s="60"/>
      <c r="B207" s="61"/>
      <c r="D207" s="86">
        <v>4</v>
      </c>
      <c r="E207" s="84">
        <f>INDEX('حذف از تولید و لیست اصلی'!B:B,MATCH('کاتالوگ مبلمان'!J207,'حذف از تولید و لیست اصلی'!I:I,0))</f>
        <v>2110010100</v>
      </c>
      <c r="F207" s="180" t="str">
        <f>INDEX('حذف از تولید و لیست اصلی'!C:C,MATCH('کاتالوگ مبلمان'!J207,'حذف از تولید و لیست اصلی'!I:I,0))</f>
        <v>مبل یک‌نفره آکومه (1 عدد کوسن)</v>
      </c>
      <c r="G207" s="181"/>
      <c r="H207" s="182"/>
      <c r="I207" s="85">
        <f>INDEX('حذف از تولید و لیست اصلی'!E:E,MATCH('کاتالوگ مبلمان'!J207,'حذف از تولید و لیست اصلی'!I:I,0))</f>
        <v>1100000000</v>
      </c>
      <c r="J207" s="64">
        <v>13</v>
      </c>
    </row>
    <row r="208" spans="1:10" ht="51" customHeight="1">
      <c r="A208" s="60"/>
      <c r="B208" s="61"/>
      <c r="D208" s="86">
        <v>5</v>
      </c>
      <c r="E208" s="84" t="str">
        <f>INDEX('حذف از تولید و لیست اصلی'!B:B,MATCH('کاتالوگ مبلمان'!J208,'حذف از تولید و لیست اصلی'!I:I,0))</f>
        <v>-</v>
      </c>
      <c r="F208" s="180" t="str">
        <f>INDEX('حذف از تولید و لیست اصلی'!C:C,MATCH('کاتالوگ مبلمان'!J208,'حذف از تولید و لیست اصلی'!I:I,0))</f>
        <v>متراژ پارچه هفت‌نفره (فریم 16 متر + تشک 8.5 متر + کوسن 5.5 متر)</v>
      </c>
      <c r="G208" s="181"/>
      <c r="H208" s="182"/>
      <c r="I208" s="85" t="str">
        <f>INDEX('حذف از تولید و لیست اصلی'!E:E,MATCH('کاتالوگ مبلمان'!J208,'حذف از تولید و لیست اصلی'!I:I,0))</f>
        <v>30 متر</v>
      </c>
      <c r="J208" s="64">
        <v>14</v>
      </c>
    </row>
    <row r="209" spans="1:10" ht="51" customHeight="1">
      <c r="A209" s="60"/>
      <c r="B209" s="61"/>
      <c r="D209" s="86">
        <v>6</v>
      </c>
      <c r="E209" s="84" t="str">
        <f>INDEX('حذف از تولید و لیست اصلی'!B:B,MATCH('کاتالوگ مبلمان'!J209,'حذف از تولید و لیست اصلی'!I:I,0))</f>
        <v>-</v>
      </c>
      <c r="F209" s="180" t="str">
        <f>INDEX('حذف از تولید و لیست اصلی'!C:C,MATCH('کاتالوگ مبلمان'!J209,'حذف از تولید و لیست اصلی'!I:I,0))</f>
        <v>متراژ پارچه سه‌نفره (فریم 5 متر + تشک 3 متر + کوسن 2 متر)</v>
      </c>
      <c r="G209" s="181"/>
      <c r="H209" s="182"/>
      <c r="I209" s="85" t="str">
        <f>INDEX('حذف از تولید و لیست اصلی'!E:E,MATCH('کاتالوگ مبلمان'!J209,'حذف از تولید و لیست اصلی'!I:I,0))</f>
        <v>10 متر</v>
      </c>
      <c r="J209" s="64">
        <v>15</v>
      </c>
    </row>
    <row r="210" spans="1:10" ht="51" customHeight="1">
      <c r="A210" s="60"/>
      <c r="B210" s="61"/>
      <c r="D210" s="86">
        <v>7</v>
      </c>
      <c r="E210" s="84" t="str">
        <f>INDEX('حذف از تولید و لیست اصلی'!B:B,MATCH('کاتالوگ مبلمان'!J210,'حذف از تولید و لیست اصلی'!I:I,0))</f>
        <v>-</v>
      </c>
      <c r="F210" s="180" t="str">
        <f>INDEX('حذف از تولید و لیست اصلی'!C:C,MATCH('کاتالوگ مبلمان'!J210,'حذف از تولید و لیست اصلی'!I:I,0))</f>
        <v>متراژ پارچه دونفره (فریم 4.5 متر + تشک 2 متر + کوسن 1.5 متر)</v>
      </c>
      <c r="G210" s="181"/>
      <c r="H210" s="182"/>
      <c r="I210" s="85" t="str">
        <f>INDEX('حذف از تولید و لیست اصلی'!E:E,MATCH('کاتالوگ مبلمان'!J210,'حذف از تولید و لیست اصلی'!I:I,0))</f>
        <v>8 متر</v>
      </c>
      <c r="J210" s="64">
        <v>16</v>
      </c>
    </row>
    <row r="211" spans="1:10" ht="51" customHeight="1">
      <c r="A211" s="60"/>
      <c r="B211" s="61"/>
      <c r="D211" s="86">
        <v>8</v>
      </c>
      <c r="E211" s="84" t="str">
        <f>INDEX('حذف از تولید و لیست اصلی'!B:B,MATCH('کاتالوگ مبلمان'!J211,'حذف از تولید و لیست اصلی'!I:I,0))</f>
        <v>-</v>
      </c>
      <c r="F211" s="180" t="str">
        <f>INDEX('حذف از تولید و لیست اصلی'!C:C,MATCH('کاتالوگ مبلمان'!J211,'حذف از تولید و لیست اصلی'!I:I,0))</f>
        <v xml:space="preserve">  متراژ پارچه یک‌نفره (فریم بیرون، داخل و تشک از یک پارچه 5 متر + کوسن 1 متر)</v>
      </c>
      <c r="G211" s="181"/>
      <c r="H211" s="182"/>
      <c r="I211" s="85" t="str">
        <f>INDEX('حذف از تولید و لیست اصلی'!E:E,MATCH('کاتالوگ مبلمان'!J211,'حذف از تولید و لیست اصلی'!I:I,0))</f>
        <v>6 متر</v>
      </c>
      <c r="J211" s="64">
        <v>17</v>
      </c>
    </row>
    <row r="212" spans="1:10" ht="51" customHeight="1">
      <c r="A212" s="60"/>
      <c r="B212" s="61"/>
      <c r="D212" s="86">
        <v>9</v>
      </c>
      <c r="E212" s="84" t="str">
        <f>INDEX('حذف از تولید و لیست اصلی'!B:B,MATCH('کاتالوگ مبلمان'!J212,'حذف از تولید و لیست اصلی'!I:I,0))</f>
        <v>-</v>
      </c>
      <c r="F212" s="180" t="str">
        <f>INDEX('حذف از تولید و لیست اصلی'!C:C,MATCH('کاتالوگ مبلمان'!J212,'حذف از تولید و لیست اصلی'!I:I,0))</f>
        <v xml:space="preserve">  متراژ پارچه یک‌نفره (فریم بیرون 2 متر + فریم داخل و تشک 3.5 متر + کوسن 1 متر)</v>
      </c>
      <c r="G212" s="181"/>
      <c r="H212" s="182"/>
      <c r="I212" s="85" t="str">
        <f>INDEX('حذف از تولید و لیست اصلی'!E:E,MATCH('کاتالوگ مبلمان'!J212,'حذف از تولید و لیست اصلی'!I:I,0))</f>
        <v>6.5 متر</v>
      </c>
      <c r="J212" s="64">
        <v>18</v>
      </c>
    </row>
    <row r="213" spans="1:10" ht="30.75" customHeight="1">
      <c r="A213" s="60"/>
      <c r="B213" s="61"/>
      <c r="D213"/>
      <c r="E213"/>
      <c r="F213"/>
      <c r="G213"/>
      <c r="H213"/>
      <c r="I213"/>
    </row>
    <row r="214" spans="1:10" ht="30.75" customHeight="1">
      <c r="A214" s="60"/>
      <c r="B214" s="61"/>
      <c r="D214"/>
      <c r="E214"/>
      <c r="F214"/>
      <c r="G214"/>
      <c r="H214"/>
      <c r="I214"/>
    </row>
    <row r="215" spans="1:10" ht="30.75" customHeight="1">
      <c r="A215" s="60"/>
      <c r="B215" s="61"/>
      <c r="D215"/>
      <c r="E215"/>
      <c r="F215"/>
      <c r="G215"/>
      <c r="H215"/>
      <c r="I215"/>
    </row>
    <row r="216" spans="1:10" ht="24" customHeight="1">
      <c r="A216" s="60"/>
      <c r="B216" s="61"/>
      <c r="D216"/>
      <c r="E216"/>
      <c r="F216"/>
      <c r="G216"/>
      <c r="H216"/>
      <c r="I216"/>
    </row>
    <row r="217" spans="1:10">
      <c r="A217" s="60"/>
      <c r="B217" s="61"/>
      <c r="I217" s="28">
        <v>5</v>
      </c>
    </row>
    <row r="218" spans="1:10" ht="22.5" customHeight="1">
      <c r="A218" s="70"/>
      <c r="B218" s="71"/>
      <c r="C218" s="183"/>
      <c r="D218" s="184"/>
      <c r="E218" s="184"/>
      <c r="F218" s="184"/>
      <c r="G218" s="184"/>
      <c r="H218" s="184"/>
      <c r="I218" s="184"/>
    </row>
    <row r="219" spans="1:10" ht="22.5" customHeight="1">
      <c r="A219" s="70"/>
      <c r="B219" s="71"/>
      <c r="C219" s="183"/>
      <c r="D219" s="184"/>
      <c r="E219" s="184"/>
      <c r="F219" s="184"/>
      <c r="G219" s="184"/>
      <c r="H219" s="184"/>
      <c r="I219" s="184"/>
    </row>
    <row r="220" spans="1:10" ht="30" customHeight="1">
      <c r="A220" s="70"/>
      <c r="B220" s="71"/>
      <c r="C220" s="72"/>
      <c r="D220" s="67" t="s">
        <v>1095</v>
      </c>
      <c r="E220" s="67"/>
      <c r="F220" s="67"/>
      <c r="I220" s="68" t="str">
        <f>$M$1</f>
        <v>1405/02/01</v>
      </c>
    </row>
    <row r="221" spans="1:10" ht="45" customHeight="1">
      <c r="A221" s="70"/>
      <c r="B221" s="71"/>
      <c r="C221" s="77"/>
      <c r="D221" s="87" t="s">
        <v>0</v>
      </c>
      <c r="E221" s="88" t="s">
        <v>1</v>
      </c>
      <c r="F221" s="177" t="s">
        <v>448</v>
      </c>
      <c r="G221" s="178"/>
      <c r="H221" s="179"/>
      <c r="I221" s="89" t="s">
        <v>251</v>
      </c>
    </row>
    <row r="222" spans="1:10" ht="52.5" customHeight="1">
      <c r="A222" s="60"/>
      <c r="B222" s="61"/>
      <c r="D222" s="84">
        <v>1</v>
      </c>
      <c r="E222" s="84" t="str">
        <f>INDEX('حذف از تولید و لیست اصلی'!B:B,MATCH('کاتالوگ مبلمان'!J222,'حذف از تولید و لیست اصلی'!I:I,0))</f>
        <v>2160010300</v>
      </c>
      <c r="F222" s="180" t="str">
        <f>INDEX('حذف از تولید و لیست اصلی'!C:C,MATCH('کاتالوگ مبلمان'!J222,'حذف از تولید و لیست اصلی'!I:I,0))</f>
        <v xml:space="preserve">  پاف ساپلی</v>
      </c>
      <c r="G222" s="181"/>
      <c r="H222" s="182"/>
      <c r="I222" s="85">
        <f>INDEX('حذف از تولید و لیست اصلی'!E:E,MATCH('کاتالوگ مبلمان'!J222,'حذف از تولید و لیست اصلی'!I:I,0))</f>
        <v>463000000</v>
      </c>
      <c r="J222" s="64">
        <v>19</v>
      </c>
    </row>
    <row r="223" spans="1:10" ht="52.5" customHeight="1">
      <c r="A223" s="60"/>
      <c r="B223" s="61"/>
      <c r="C223" s="78"/>
      <c r="D223" s="86">
        <v>2</v>
      </c>
      <c r="E223" s="84" t="str">
        <f>INDEX('حذف از تولید و لیست اصلی'!B:B,MATCH('کاتالوگ مبلمان'!J223,'حذف از تولید و لیست اصلی'!I:I,0))</f>
        <v>-</v>
      </c>
      <c r="F223" s="180" t="str">
        <f>INDEX('حذف از تولید و لیست اصلی'!C:C,MATCH('کاتالوگ مبلمان'!J223,'حذف از تولید و لیست اصلی'!I:I,0))</f>
        <v xml:space="preserve">  متراژ پارچه پاف</v>
      </c>
      <c r="G223" s="181"/>
      <c r="H223" s="182"/>
      <c r="I223" s="85" t="str">
        <f>INDEX('حذف از تولید و لیست اصلی'!E:E,MATCH('کاتالوگ مبلمان'!J223,'حذف از تولید و لیست اصلی'!I:I,0))</f>
        <v>2/5متر</v>
      </c>
      <c r="J223" s="64">
        <v>20</v>
      </c>
    </row>
    <row r="224" spans="1:10">
      <c r="A224" s="60"/>
      <c r="B224" s="61"/>
      <c r="D224"/>
      <c r="E224"/>
      <c r="F224"/>
      <c r="G224"/>
      <c r="H224"/>
      <c r="I224"/>
    </row>
    <row r="225" spans="1:10">
      <c r="A225" s="60"/>
      <c r="B225" s="61"/>
      <c r="D225"/>
      <c r="E225"/>
      <c r="F225"/>
      <c r="G225"/>
      <c r="H225"/>
      <c r="I225"/>
    </row>
    <row r="226" spans="1:10" ht="30" customHeight="1">
      <c r="A226" s="60"/>
      <c r="B226" s="61"/>
      <c r="G226" s="64"/>
      <c r="H226" s="64"/>
      <c r="I226" s="64"/>
    </row>
    <row r="227" spans="1:10">
      <c r="A227" s="60"/>
      <c r="B227" s="61"/>
      <c r="G227" s="64"/>
      <c r="H227" s="64"/>
      <c r="I227" s="64"/>
    </row>
    <row r="228" spans="1:10">
      <c r="A228" s="60"/>
      <c r="B228" s="61"/>
      <c r="G228" s="64"/>
      <c r="H228" s="64"/>
      <c r="I228" s="64"/>
    </row>
    <row r="229" spans="1:10">
      <c r="A229" s="60"/>
      <c r="B229" s="61"/>
      <c r="G229" s="64"/>
      <c r="H229" s="64"/>
      <c r="I229" s="64"/>
    </row>
    <row r="230" spans="1:10" ht="27.75">
      <c r="A230" s="70"/>
      <c r="B230" s="71"/>
      <c r="C230" s="72"/>
      <c r="D230" s="67" t="s">
        <v>1096</v>
      </c>
      <c r="E230" s="67"/>
      <c r="F230" s="67"/>
      <c r="I230" s="68" t="str">
        <f>$M$1</f>
        <v>1405/02/01</v>
      </c>
    </row>
    <row r="231" spans="1:10" ht="45" customHeight="1">
      <c r="A231" s="70"/>
      <c r="B231" s="71"/>
      <c r="C231" s="77"/>
      <c r="D231" s="87" t="s">
        <v>0</v>
      </c>
      <c r="E231" s="88" t="s">
        <v>1</v>
      </c>
      <c r="F231" s="177" t="s">
        <v>448</v>
      </c>
      <c r="G231" s="178"/>
      <c r="H231" s="179"/>
      <c r="I231" s="89" t="s">
        <v>251</v>
      </c>
    </row>
    <row r="232" spans="1:10" ht="52.5" customHeight="1">
      <c r="A232" s="60"/>
      <c r="B232" s="61"/>
      <c r="D232" s="84">
        <v>1</v>
      </c>
      <c r="E232" s="84" t="str">
        <f>INDEX('حذف از تولید و لیست اصلی'!B:B,MATCH('کاتالوگ مبلمان'!J232,'حذف از تولید و لیست اصلی'!I:I,0))</f>
        <v>2160010300</v>
      </c>
      <c r="F232" s="180" t="str">
        <f>INDEX('حذف از تولید و لیست اصلی'!C:C,MATCH('کاتالوگ مبلمان'!J232,'حذف از تولید و لیست اصلی'!I:I,0))</f>
        <v xml:space="preserve">  پاف ساپلی</v>
      </c>
      <c r="G232" s="181"/>
      <c r="H232" s="182"/>
      <c r="I232" s="85">
        <f>INDEX('حذف از تولید و لیست اصلی'!E:E,MATCH('کاتالوگ مبلمان'!J232,'حذف از تولید و لیست اصلی'!I:I,0))</f>
        <v>413000000</v>
      </c>
      <c r="J232" s="64">
        <v>21</v>
      </c>
    </row>
    <row r="233" spans="1:10" ht="52.5" customHeight="1">
      <c r="A233" s="60"/>
      <c r="B233" s="61"/>
      <c r="C233" s="78"/>
      <c r="D233" s="86">
        <v>2</v>
      </c>
      <c r="E233" s="84" t="str">
        <f>INDEX('حذف از تولید و لیست اصلی'!B:B,MATCH('کاتالوگ مبلمان'!J233,'حذف از تولید و لیست اصلی'!I:I,0))</f>
        <v>-</v>
      </c>
      <c r="F233" s="180" t="str">
        <f>INDEX('حذف از تولید و لیست اصلی'!C:C,MATCH('کاتالوگ مبلمان'!J233,'حذف از تولید و لیست اصلی'!I:I,0))</f>
        <v xml:space="preserve">  متراژ پارچه پاف</v>
      </c>
      <c r="G233" s="181"/>
      <c r="H233" s="182"/>
      <c r="I233" s="85" t="str">
        <f>INDEX('حذف از تولید و لیست اصلی'!E:E,MATCH('کاتالوگ مبلمان'!J233,'حذف از تولید و لیست اصلی'!I:I,0))</f>
        <v>2/5متر</v>
      </c>
      <c r="J233" s="64">
        <v>22</v>
      </c>
    </row>
    <row r="234" spans="1:10">
      <c r="A234" s="60"/>
      <c r="B234" s="61"/>
      <c r="D234"/>
      <c r="E234"/>
      <c r="F234"/>
      <c r="G234"/>
      <c r="H234"/>
      <c r="I234"/>
    </row>
    <row r="235" spans="1:10">
      <c r="A235" s="60"/>
      <c r="B235" s="61"/>
      <c r="D235"/>
      <c r="E235"/>
      <c r="F235"/>
      <c r="G235"/>
      <c r="H235"/>
      <c r="I235"/>
    </row>
    <row r="236" spans="1:10">
      <c r="A236" s="60"/>
      <c r="B236" s="61"/>
      <c r="D236"/>
      <c r="E236"/>
      <c r="F236"/>
      <c r="G236"/>
      <c r="H236"/>
      <c r="I236"/>
    </row>
    <row r="237" spans="1:10">
      <c r="A237" s="60"/>
      <c r="B237" s="61"/>
      <c r="D237"/>
      <c r="E237"/>
      <c r="F237"/>
      <c r="G237"/>
      <c r="H237"/>
      <c r="I237"/>
    </row>
    <row r="238" spans="1:10">
      <c r="A238" s="60"/>
      <c r="B238" s="61"/>
      <c r="D238"/>
      <c r="E238"/>
      <c r="F238"/>
      <c r="G238"/>
      <c r="H238"/>
      <c r="I238"/>
    </row>
    <row r="239" spans="1:10">
      <c r="A239" s="60"/>
      <c r="B239" s="61"/>
      <c r="D239"/>
      <c r="E239"/>
      <c r="F239"/>
      <c r="G239"/>
      <c r="H239"/>
      <c r="I239"/>
    </row>
    <row r="240" spans="1:10">
      <c r="A240" s="60"/>
      <c r="B240" s="61"/>
      <c r="D240"/>
      <c r="E240"/>
      <c r="F240"/>
      <c r="G240"/>
      <c r="H240"/>
      <c r="I240"/>
    </row>
    <row r="241" spans="1:10" ht="30" customHeight="1">
      <c r="A241" s="60"/>
      <c r="B241" s="61"/>
      <c r="D241"/>
      <c r="E241"/>
      <c r="F241"/>
      <c r="G241"/>
      <c r="H241"/>
      <c r="I241"/>
    </row>
    <row r="242" spans="1:10">
      <c r="A242" s="60"/>
      <c r="B242" s="61"/>
      <c r="I242" s="28">
        <v>6</v>
      </c>
    </row>
    <row r="243" spans="1:10" ht="22.5" customHeight="1">
      <c r="A243" s="70"/>
      <c r="B243" s="71"/>
      <c r="C243" s="183"/>
      <c r="D243" s="184"/>
      <c r="E243" s="184"/>
      <c r="F243" s="184"/>
      <c r="G243" s="184"/>
      <c r="H243" s="184"/>
      <c r="I243" s="184"/>
    </row>
    <row r="244" spans="1:10" ht="22.5" customHeight="1">
      <c r="A244" s="70"/>
      <c r="B244" s="71"/>
      <c r="C244" s="183"/>
      <c r="D244" s="184"/>
      <c r="E244" s="184"/>
      <c r="F244" s="184"/>
      <c r="G244" s="184"/>
      <c r="H244" s="184"/>
      <c r="I244" s="184"/>
    </row>
    <row r="245" spans="1:10" ht="27.75">
      <c r="A245" s="70"/>
      <c r="B245" s="71"/>
      <c r="C245" s="72"/>
      <c r="D245" s="67" t="s">
        <v>158</v>
      </c>
      <c r="E245" s="67"/>
      <c r="F245" s="67"/>
      <c r="I245" s="68" t="str">
        <f>$M$1</f>
        <v>1405/02/01</v>
      </c>
    </row>
    <row r="246" spans="1:10" ht="45" customHeight="1">
      <c r="A246" s="70"/>
      <c r="B246" s="71"/>
      <c r="C246" s="77"/>
      <c r="D246" s="87" t="s">
        <v>0</v>
      </c>
      <c r="E246" s="88" t="s">
        <v>1</v>
      </c>
      <c r="F246" s="177" t="s">
        <v>448</v>
      </c>
      <c r="G246" s="178"/>
      <c r="H246" s="179"/>
      <c r="I246" s="89" t="s">
        <v>251</v>
      </c>
    </row>
    <row r="247" spans="1:10" ht="53.25" customHeight="1">
      <c r="A247" s="60"/>
      <c r="B247" s="61"/>
      <c r="D247" s="84">
        <v>1</v>
      </c>
      <c r="E247" s="84" t="str">
        <f>INDEX('حذف از تولید و لیست اصلی'!B:B,MATCH('کاتالوگ مبلمان'!J247,'حذف از تولید و لیست اصلی'!I:I,0))</f>
        <v>2110030300</v>
      </c>
      <c r="F247" s="180" t="str">
        <f>INDEX('حذف از تولید و لیست اصلی'!C:C,MATCH('کاتالوگ مبلمان'!J247,'حذف از تولید و لیست اصلی'!I:I,0))</f>
        <v xml:space="preserve">  کاناپه سه نفره ساپن ( 5 عددکوسن )</v>
      </c>
      <c r="G247" s="181"/>
      <c r="H247" s="182"/>
      <c r="I247" s="85">
        <f>INDEX('حذف از تولید و لیست اصلی'!E:E,MATCH('کاتالوگ مبلمان'!J247,'حذف از تولید و لیست اصلی'!I:I,0))</f>
        <v>1123000000</v>
      </c>
      <c r="J247" s="64">
        <v>23</v>
      </c>
    </row>
    <row r="248" spans="1:10" ht="53.25" customHeight="1">
      <c r="A248" s="60"/>
      <c r="B248" s="61"/>
      <c r="C248" s="78"/>
      <c r="D248" s="86">
        <v>2</v>
      </c>
      <c r="E248" s="84" t="str">
        <f>INDEX('حذف از تولید و لیست اصلی'!B:B,MATCH('کاتالوگ مبلمان'!J248,'حذف از تولید و لیست اصلی'!I:I,0))</f>
        <v>2110030200</v>
      </c>
      <c r="F248" s="180" t="str">
        <f>INDEX('حذف از تولید و لیست اصلی'!C:C,MATCH('کاتالوگ مبلمان'!J248,'حذف از تولید و لیست اصلی'!I:I,0))</f>
        <v xml:space="preserve">  کاناپه دو نفره ساپن ( 4 عدد کوسن )</v>
      </c>
      <c r="G248" s="181"/>
      <c r="H248" s="182"/>
      <c r="I248" s="85">
        <f>INDEX('حذف از تولید و لیست اصلی'!E:E,MATCH('کاتالوگ مبلمان'!J248,'حذف از تولید و لیست اصلی'!I:I,0))</f>
        <v>858000000</v>
      </c>
      <c r="J248" s="64">
        <v>24</v>
      </c>
    </row>
    <row r="249" spans="1:10" ht="53.25" customHeight="1">
      <c r="A249" s="60"/>
      <c r="B249" s="61"/>
      <c r="D249" s="86">
        <v>3</v>
      </c>
      <c r="E249" s="84" t="str">
        <f>INDEX('حذف از تولید و لیست اصلی'!B:B,MATCH('کاتالوگ مبلمان'!J249,'حذف از تولید و لیست اصلی'!I:I,0))</f>
        <v>2110030100</v>
      </c>
      <c r="F249" s="180" t="str">
        <f>INDEX('حذف از تولید و لیست اصلی'!C:C,MATCH('کاتالوگ مبلمان'!J249,'حذف از تولید و لیست اصلی'!I:I,0))</f>
        <v xml:space="preserve">  مبل یک نفره ساپن ( 1 عدد کوسن )</v>
      </c>
      <c r="G249" s="181"/>
      <c r="H249" s="182"/>
      <c r="I249" s="85">
        <f>INDEX('حذف از تولید و لیست اصلی'!E:E,MATCH('کاتالوگ مبلمان'!J249,'حذف از تولید و لیست اصلی'!I:I,0))</f>
        <v>509000000</v>
      </c>
      <c r="J249" s="64">
        <v>25</v>
      </c>
    </row>
    <row r="250" spans="1:10" ht="53.25" customHeight="1">
      <c r="A250" s="60"/>
      <c r="B250" s="61"/>
      <c r="D250" s="86">
        <v>4</v>
      </c>
      <c r="E250" s="84" t="str">
        <f>INDEX('حذف از تولید و لیست اصلی'!B:B,MATCH('کاتالوگ مبلمان'!J250,'حذف از تولید و لیست اصلی'!I:I,0))</f>
        <v>2110030500</v>
      </c>
      <c r="F250" s="180" t="str">
        <f>INDEX('حذف از تولید و لیست اصلی'!C:C,MATCH('کاتالوگ مبلمان'!J250,'حذف از تولید و لیست اصلی'!I:I,0))</f>
        <v xml:space="preserve">  میز جلو مبلی ساپن</v>
      </c>
      <c r="G250" s="181"/>
      <c r="H250" s="182"/>
      <c r="I250" s="85">
        <f>INDEX('حذف از تولید و لیست اصلی'!E:E,MATCH('کاتالوگ مبلمان'!J250,'حذف از تولید و لیست اصلی'!I:I,0))</f>
        <v>576000000</v>
      </c>
      <c r="J250" s="64">
        <v>26</v>
      </c>
    </row>
    <row r="251" spans="1:10" ht="53.25" customHeight="1">
      <c r="A251" s="60"/>
      <c r="B251" s="61"/>
      <c r="D251" s="86">
        <v>5</v>
      </c>
      <c r="E251" s="84" t="str">
        <f>INDEX('حذف از تولید و لیست اصلی'!B:B,MATCH('کاتالوگ مبلمان'!J251,'حذف از تولید و لیست اصلی'!I:I,0))</f>
        <v>2110030600</v>
      </c>
      <c r="F251" s="180" t="str">
        <f>INDEX('حذف از تولید و لیست اصلی'!C:C,MATCH('کاتالوگ مبلمان'!J251,'حذف از تولید و لیست اصلی'!I:I,0))</f>
        <v xml:space="preserve">  میز کنار مبلی ساپن</v>
      </c>
      <c r="G251" s="181"/>
      <c r="H251" s="182"/>
      <c r="I251" s="85">
        <f>INDEX('حذف از تولید و لیست اصلی'!E:E,MATCH('کاتالوگ مبلمان'!J251,'حذف از تولید و لیست اصلی'!I:I,0))</f>
        <v>440000000</v>
      </c>
      <c r="J251" s="64">
        <v>27</v>
      </c>
    </row>
    <row r="252" spans="1:10" ht="53.25" customHeight="1">
      <c r="A252" s="60"/>
      <c r="B252" s="61"/>
      <c r="D252" s="86">
        <v>6</v>
      </c>
      <c r="E252" s="84">
        <f>INDEX('حذف از تولید و لیست اصلی'!B:B,MATCH('کاتالوگ مبلمان'!J252,'حذف از تولید و لیست اصلی'!I:I,0))</f>
        <v>0</v>
      </c>
      <c r="F252" s="180" t="str">
        <f>INDEX('حذف از تولید و لیست اصلی'!C:C,MATCH('کاتالوگ مبلمان'!J252,'حذف از تولید و لیست اصلی'!I:I,0))</f>
        <v xml:space="preserve">  متراژ پارچه سه نفره ( فریم 6/5 متر + تشک 3 متر + کوسن 2 متر)</v>
      </c>
      <c r="G252" s="181"/>
      <c r="H252" s="182"/>
      <c r="I252" s="85" t="str">
        <f>INDEX('حذف از تولید و لیست اصلی'!E:E,MATCH('کاتالوگ مبلمان'!J252,'حذف از تولید و لیست اصلی'!I:I,0))</f>
        <v>11/5متر</v>
      </c>
      <c r="J252" s="64">
        <v>28</v>
      </c>
    </row>
    <row r="253" spans="1:10" ht="53.25" customHeight="1">
      <c r="A253" s="60"/>
      <c r="B253" s="61"/>
      <c r="D253" s="86">
        <v>7</v>
      </c>
      <c r="E253" s="84">
        <f>INDEX('حذف از تولید و لیست اصلی'!B:B,MATCH('کاتالوگ مبلمان'!J253,'حذف از تولید و لیست اصلی'!I:I,0))</f>
        <v>0</v>
      </c>
      <c r="F253" s="180" t="str">
        <f>INDEX('حذف از تولید و لیست اصلی'!C:C,MATCH('کاتالوگ مبلمان'!J253,'حذف از تولید و لیست اصلی'!I:I,0))</f>
        <v xml:space="preserve">  متراژ پارچه دو نفره  ( فریم  5/5 متر + تشک 2 متر + کوسن 2متر )</v>
      </c>
      <c r="G253" s="181"/>
      <c r="H253" s="182"/>
      <c r="I253" s="85" t="str">
        <f>INDEX('حذف از تولید و لیست اصلی'!E:E,MATCH('کاتالوگ مبلمان'!J253,'حذف از تولید و لیست اصلی'!I:I,0))</f>
        <v>9/5متر</v>
      </c>
      <c r="J253" s="64">
        <v>29</v>
      </c>
    </row>
    <row r="254" spans="1:10" ht="53.25" customHeight="1">
      <c r="A254" s="60"/>
      <c r="B254" s="61"/>
      <c r="D254" s="86">
        <v>8</v>
      </c>
      <c r="E254" s="84">
        <f>INDEX('حذف از تولید و لیست اصلی'!B:B,MATCH('کاتالوگ مبلمان'!J254,'حذف از تولید و لیست اصلی'!I:I,0))</f>
        <v>0</v>
      </c>
      <c r="F254" s="180" t="str">
        <f>INDEX('حذف از تولید و لیست اصلی'!C:C,MATCH('کاتالوگ مبلمان'!J254,'حذف از تولید و لیست اصلی'!I:I,0))</f>
        <v xml:space="preserve">  متراژ پارچه یک نفره( فریم 2/5 متر + کف 8/. متر + کوسن 5/. متر )</v>
      </c>
      <c r="G254" s="181"/>
      <c r="H254" s="182"/>
      <c r="I254" s="85" t="str">
        <f>INDEX('حذف از تولید و لیست اصلی'!E:E,MATCH('کاتالوگ مبلمان'!J254,'حذف از تولید و لیست اصلی'!I:I,0))</f>
        <v>3/8متر</v>
      </c>
      <c r="J254" s="64">
        <v>30</v>
      </c>
    </row>
    <row r="255" spans="1:10">
      <c r="A255" s="60"/>
      <c r="B255" s="61"/>
      <c r="D255"/>
      <c r="E255"/>
      <c r="F255"/>
      <c r="G255"/>
      <c r="H255"/>
      <c r="I255"/>
    </row>
    <row r="256" spans="1:10">
      <c r="A256" s="60"/>
      <c r="B256" s="61"/>
      <c r="D256"/>
      <c r="E256"/>
      <c r="F256"/>
      <c r="G256"/>
      <c r="H256"/>
      <c r="I256"/>
    </row>
    <row r="257" spans="1:10">
      <c r="A257" s="60"/>
      <c r="B257" s="61"/>
      <c r="D257"/>
      <c r="E257"/>
      <c r="F257"/>
      <c r="G257"/>
      <c r="H257"/>
      <c r="I257"/>
    </row>
    <row r="258" spans="1:10">
      <c r="A258" s="60"/>
      <c r="B258" s="61"/>
      <c r="D258"/>
      <c r="E258"/>
      <c r="F258"/>
      <c r="G258"/>
      <c r="H258"/>
      <c r="I258"/>
    </row>
    <row r="259" spans="1:10">
      <c r="A259" s="60"/>
      <c r="B259" s="61"/>
      <c r="D259"/>
      <c r="E259"/>
      <c r="F259"/>
      <c r="G259"/>
      <c r="H259"/>
      <c r="I259"/>
    </row>
    <row r="260" spans="1:10">
      <c r="A260" s="60"/>
      <c r="B260" s="61"/>
      <c r="D260"/>
      <c r="E260"/>
      <c r="F260"/>
      <c r="G260"/>
      <c r="H260"/>
      <c r="I260"/>
    </row>
    <row r="261" spans="1:10">
      <c r="A261" s="60"/>
      <c r="B261" s="61"/>
      <c r="D261"/>
      <c r="E261"/>
      <c r="F261"/>
      <c r="G261"/>
      <c r="H261"/>
      <c r="I261"/>
    </row>
    <row r="262" spans="1:10">
      <c r="A262" s="60"/>
      <c r="B262" s="61"/>
      <c r="D262"/>
      <c r="E262"/>
      <c r="F262"/>
      <c r="G262"/>
      <c r="H262"/>
      <c r="I262"/>
    </row>
    <row r="263" spans="1:10">
      <c r="A263" s="60"/>
      <c r="B263" s="61"/>
      <c r="I263" s="74">
        <v>7</v>
      </c>
    </row>
    <row r="264" spans="1:10" ht="22.5" customHeight="1">
      <c r="A264" s="70"/>
      <c r="B264" s="71"/>
      <c r="C264" s="183"/>
      <c r="D264" s="184"/>
      <c r="E264" s="184"/>
      <c r="F264" s="184"/>
      <c r="G264" s="184"/>
      <c r="H264" s="184"/>
      <c r="I264" s="184"/>
    </row>
    <row r="265" spans="1:10" ht="22.5" customHeight="1">
      <c r="A265" s="70"/>
      <c r="B265" s="71"/>
      <c r="C265" s="183"/>
      <c r="D265" s="184"/>
      <c r="E265" s="184"/>
      <c r="F265" s="184"/>
      <c r="G265" s="184"/>
      <c r="H265" s="184"/>
      <c r="I265" s="184"/>
    </row>
    <row r="266" spans="1:10" ht="27.75">
      <c r="A266" s="70"/>
      <c r="B266" s="71"/>
      <c r="C266" s="72"/>
      <c r="D266" s="67" t="s">
        <v>165</v>
      </c>
      <c r="E266" s="67"/>
      <c r="F266" s="67"/>
      <c r="I266" s="68" t="str">
        <f>$M$1</f>
        <v>1405/02/01</v>
      </c>
    </row>
    <row r="267" spans="1:10" ht="45" customHeight="1">
      <c r="A267" s="70"/>
      <c r="B267" s="71"/>
      <c r="C267" s="77"/>
      <c r="D267" s="87" t="s">
        <v>0</v>
      </c>
      <c r="E267" s="88" t="s">
        <v>1</v>
      </c>
      <c r="F267" s="177" t="s">
        <v>448</v>
      </c>
      <c r="G267" s="178"/>
      <c r="H267" s="179"/>
      <c r="I267" s="89" t="s">
        <v>251</v>
      </c>
    </row>
    <row r="268" spans="1:10" ht="52.5" customHeight="1">
      <c r="A268" s="60"/>
      <c r="B268" s="61"/>
      <c r="D268" s="84">
        <v>1</v>
      </c>
      <c r="E268" s="84" t="str">
        <f>INDEX('حذف از تولید و لیست اصلی'!B:B,MATCH('کاتالوگ مبلمان'!J268,'حذف از تولید و لیست اصلی'!I:I,0))</f>
        <v>2110030300</v>
      </c>
      <c r="F268" s="180" t="str">
        <f>INDEX('حذف از تولید و لیست اصلی'!C:C,MATCH('کاتالوگ مبلمان'!J268,'حذف از تولید و لیست اصلی'!I:I,0))</f>
        <v xml:space="preserve">  کاناپه سه نفره ساپن ( 5 عددکوسن )</v>
      </c>
      <c r="G268" s="181"/>
      <c r="H268" s="182"/>
      <c r="I268" s="85">
        <f>INDEX('حذف از تولید و لیست اصلی'!E:E,MATCH('کاتالوگ مبلمان'!J268,'حذف از تولید و لیست اصلی'!I:I,0))</f>
        <v>893000000</v>
      </c>
      <c r="J268" s="64">
        <v>31</v>
      </c>
    </row>
    <row r="269" spans="1:10" ht="52.5" customHeight="1">
      <c r="A269" s="60"/>
      <c r="B269" s="61"/>
      <c r="C269" s="78"/>
      <c r="D269" s="86">
        <v>2</v>
      </c>
      <c r="E269" s="84" t="str">
        <f>INDEX('حذف از تولید و لیست اصلی'!B:B,MATCH('کاتالوگ مبلمان'!J269,'حذف از تولید و لیست اصلی'!I:I,0))</f>
        <v>2110030200</v>
      </c>
      <c r="F269" s="180" t="str">
        <f>INDEX('حذف از تولید و لیست اصلی'!C:C,MATCH('کاتالوگ مبلمان'!J269,'حذف از تولید و لیست اصلی'!I:I,0))</f>
        <v xml:space="preserve">  کاناپه دو نفره ساپن ( 4 عدد کوسن )</v>
      </c>
      <c r="G269" s="181"/>
      <c r="H269" s="182"/>
      <c r="I269" s="85">
        <f>INDEX('حذف از تولید و لیست اصلی'!E:E,MATCH('کاتالوگ مبلمان'!J269,'حذف از تولید و لیست اصلی'!I:I,0))</f>
        <v>668000000</v>
      </c>
      <c r="J269" s="64">
        <v>32</v>
      </c>
    </row>
    <row r="270" spans="1:10" ht="52.5" customHeight="1">
      <c r="A270" s="60"/>
      <c r="B270" s="61"/>
      <c r="D270" s="86">
        <v>3</v>
      </c>
      <c r="E270" s="84" t="str">
        <f>INDEX('حذف از تولید و لیست اصلی'!B:B,MATCH('کاتالوگ مبلمان'!J270,'حذف از تولید و لیست اصلی'!I:I,0))</f>
        <v>2110030100</v>
      </c>
      <c r="F270" s="180" t="str">
        <f>INDEX('حذف از تولید و لیست اصلی'!C:C,MATCH('کاتالوگ مبلمان'!J270,'حذف از تولید و لیست اصلی'!I:I,0))</f>
        <v xml:space="preserve">  مبل یک نفره ساپن ( 1 عدد کوسن )</v>
      </c>
      <c r="G270" s="181"/>
      <c r="H270" s="182"/>
      <c r="I270" s="85">
        <f>INDEX('حذف از تولید و لیست اصلی'!E:E,MATCH('کاتالوگ مبلمان'!J270,'حذف از تولید و لیست اصلی'!I:I,0))</f>
        <v>433000000</v>
      </c>
      <c r="J270" s="64">
        <v>33</v>
      </c>
    </row>
    <row r="271" spans="1:10" ht="52.5" customHeight="1">
      <c r="A271" s="60"/>
      <c r="B271" s="61"/>
      <c r="D271" s="86">
        <v>4</v>
      </c>
      <c r="E271" s="84" t="str">
        <f>INDEX('حذف از تولید و لیست اصلی'!B:B,MATCH('کاتالوگ مبلمان'!J271,'حذف از تولید و لیست اصلی'!I:I,0))</f>
        <v>2110030500</v>
      </c>
      <c r="F271" s="180" t="str">
        <f>INDEX('حذف از تولید و لیست اصلی'!C:C,MATCH('کاتالوگ مبلمان'!J271,'حذف از تولید و لیست اصلی'!I:I,0))</f>
        <v xml:space="preserve">  میز جلو مبلی ساپن</v>
      </c>
      <c r="G271" s="181"/>
      <c r="H271" s="182"/>
      <c r="I271" s="85">
        <f>INDEX('حذف از تولید و لیست اصلی'!E:E,MATCH('کاتالوگ مبلمان'!J271,'حذف از تولید و لیست اصلی'!I:I,0))</f>
        <v>576000000</v>
      </c>
      <c r="J271" s="64">
        <v>34</v>
      </c>
    </row>
    <row r="272" spans="1:10" ht="52.5" customHeight="1">
      <c r="A272" s="60"/>
      <c r="B272" s="61"/>
      <c r="D272" s="86">
        <v>5</v>
      </c>
      <c r="E272" s="84" t="str">
        <f>INDEX('حذف از تولید و لیست اصلی'!B:B,MATCH('کاتالوگ مبلمان'!J272,'حذف از تولید و لیست اصلی'!I:I,0))</f>
        <v>2110030600</v>
      </c>
      <c r="F272" s="180" t="str">
        <f>INDEX('حذف از تولید و لیست اصلی'!C:C,MATCH('کاتالوگ مبلمان'!J272,'حذف از تولید و لیست اصلی'!I:I,0))</f>
        <v xml:space="preserve">  میز کنار مبلی ساپن</v>
      </c>
      <c r="G272" s="181"/>
      <c r="H272" s="182"/>
      <c r="I272" s="85">
        <f>INDEX('حذف از تولید و لیست اصلی'!E:E,MATCH('کاتالوگ مبلمان'!J272,'حذف از تولید و لیست اصلی'!I:I,0))</f>
        <v>440000000</v>
      </c>
      <c r="J272" s="64">
        <v>35</v>
      </c>
    </row>
    <row r="273" spans="1:10" ht="52.5" customHeight="1">
      <c r="A273" s="60"/>
      <c r="B273" s="61"/>
      <c r="D273" s="86">
        <v>6</v>
      </c>
      <c r="E273" s="84">
        <f>INDEX('حذف از تولید و لیست اصلی'!B:B,MATCH('کاتالوگ مبلمان'!J273,'حذف از تولید و لیست اصلی'!I:I,0))</f>
        <v>0</v>
      </c>
      <c r="F273" s="180" t="str">
        <f>INDEX('حذف از تولید و لیست اصلی'!C:C,MATCH('کاتالوگ مبلمان'!J273,'حذف از تولید و لیست اصلی'!I:I,0))</f>
        <v xml:space="preserve">  متراژ پارچه سه نفره ( فریم 6/5 متر + تشک 3 متر + کوسن 2 متر)</v>
      </c>
      <c r="G273" s="181"/>
      <c r="H273" s="182"/>
      <c r="I273" s="85" t="str">
        <f>INDEX('حذف از تولید و لیست اصلی'!E:E,MATCH('کاتالوگ مبلمان'!J273,'حذف از تولید و لیست اصلی'!I:I,0))</f>
        <v>11/5متر</v>
      </c>
      <c r="J273" s="64">
        <v>36</v>
      </c>
    </row>
    <row r="274" spans="1:10" ht="52.5" customHeight="1">
      <c r="A274" s="60"/>
      <c r="B274" s="61"/>
      <c r="D274" s="86">
        <v>7</v>
      </c>
      <c r="E274" s="84">
        <f>INDEX('حذف از تولید و لیست اصلی'!B:B,MATCH('کاتالوگ مبلمان'!J274,'حذف از تولید و لیست اصلی'!I:I,0))</f>
        <v>0</v>
      </c>
      <c r="F274" s="180" t="str">
        <f>INDEX('حذف از تولید و لیست اصلی'!C:C,MATCH('کاتالوگ مبلمان'!J274,'حذف از تولید و لیست اصلی'!I:I,0))</f>
        <v xml:space="preserve">  متراژ پارچه دو نفره  ( فریم  5/5 متر + تشک 2 متر + کوسن 2متر )</v>
      </c>
      <c r="G274" s="181"/>
      <c r="H274" s="182"/>
      <c r="I274" s="85" t="str">
        <f>INDEX('حذف از تولید و لیست اصلی'!E:E,MATCH('کاتالوگ مبلمان'!J274,'حذف از تولید و لیست اصلی'!I:I,0))</f>
        <v>9/5متر</v>
      </c>
      <c r="J274" s="64">
        <v>37</v>
      </c>
    </row>
    <row r="275" spans="1:10" ht="52.5" customHeight="1">
      <c r="A275" s="60"/>
      <c r="B275" s="61"/>
      <c r="D275" s="86">
        <v>8</v>
      </c>
      <c r="E275" s="84">
        <f>INDEX('حذف از تولید و لیست اصلی'!B:B,MATCH('کاتالوگ مبلمان'!J275,'حذف از تولید و لیست اصلی'!I:I,0))</f>
        <v>0</v>
      </c>
      <c r="F275" s="180" t="str">
        <f>INDEX('حذف از تولید و لیست اصلی'!C:C,MATCH('کاتالوگ مبلمان'!J275,'حذف از تولید و لیست اصلی'!I:I,0))</f>
        <v xml:space="preserve">  متراژ پارچه یک نفره( فریم 2/5 متر + کف 8/. متر + کوسن 5/. متر )</v>
      </c>
      <c r="G275" s="181"/>
      <c r="H275" s="182"/>
      <c r="I275" s="85" t="str">
        <f>INDEX('حذف از تولید و لیست اصلی'!E:E,MATCH('کاتالوگ مبلمان'!J275,'حذف از تولید و لیست اصلی'!I:I,0))</f>
        <v>3/8متر</v>
      </c>
      <c r="J275" s="64">
        <v>38</v>
      </c>
    </row>
    <row r="276" spans="1:10">
      <c r="A276" s="60"/>
      <c r="B276" s="61"/>
      <c r="D276"/>
      <c r="E276"/>
      <c r="F276"/>
      <c r="G276"/>
      <c r="H276"/>
      <c r="I276"/>
    </row>
    <row r="277" spans="1:10">
      <c r="A277" s="60"/>
      <c r="B277" s="61"/>
      <c r="D277"/>
      <c r="E277"/>
      <c r="F277"/>
      <c r="G277"/>
      <c r="H277"/>
      <c r="I277"/>
    </row>
    <row r="278" spans="1:10">
      <c r="A278" s="60"/>
      <c r="B278" s="61"/>
      <c r="D278"/>
      <c r="E278"/>
      <c r="F278"/>
      <c r="G278"/>
      <c r="H278"/>
      <c r="I278"/>
    </row>
    <row r="279" spans="1:10">
      <c r="A279" s="60"/>
      <c r="B279" s="61"/>
      <c r="D279"/>
      <c r="E279"/>
      <c r="F279"/>
      <c r="G279"/>
      <c r="H279"/>
      <c r="I279"/>
    </row>
    <row r="280" spans="1:10">
      <c r="A280" s="60"/>
      <c r="B280" s="61"/>
      <c r="D280"/>
      <c r="E280"/>
      <c r="F280"/>
      <c r="G280"/>
      <c r="H280"/>
      <c r="I280"/>
    </row>
    <row r="281" spans="1:10">
      <c r="A281" s="60"/>
      <c r="B281" s="61"/>
      <c r="D281"/>
      <c r="E281"/>
      <c r="F281"/>
      <c r="G281"/>
      <c r="H281"/>
      <c r="I281"/>
    </row>
    <row r="282" spans="1:10">
      <c r="A282" s="60"/>
      <c r="B282" s="61"/>
      <c r="D282"/>
      <c r="E282"/>
      <c r="F282"/>
      <c r="G282"/>
      <c r="H282"/>
      <c r="I282"/>
    </row>
    <row r="283" spans="1:10">
      <c r="A283" s="60"/>
      <c r="B283" s="61"/>
      <c r="G283" s="64"/>
      <c r="H283" s="64"/>
      <c r="I283" s="64"/>
    </row>
    <row r="284" spans="1:10">
      <c r="A284" s="60"/>
      <c r="B284" s="61"/>
      <c r="G284" s="64"/>
      <c r="H284" s="64"/>
      <c r="I284" s="64"/>
    </row>
    <row r="285" spans="1:10">
      <c r="A285" s="60"/>
      <c r="B285" s="61"/>
      <c r="I285" s="28">
        <v>8</v>
      </c>
    </row>
    <row r="286" spans="1:10" ht="22.5" customHeight="1">
      <c r="A286" s="70"/>
      <c r="B286" s="71"/>
      <c r="C286" s="183"/>
      <c r="D286" s="184"/>
      <c r="E286" s="184"/>
      <c r="F286" s="184"/>
      <c r="G286" s="184"/>
      <c r="H286" s="184"/>
      <c r="I286" s="184"/>
    </row>
    <row r="287" spans="1:10" ht="22.5" customHeight="1">
      <c r="A287" s="70"/>
      <c r="B287" s="71"/>
      <c r="C287" s="183"/>
      <c r="D287" s="184"/>
      <c r="E287" s="184"/>
      <c r="F287" s="184"/>
      <c r="G287" s="184"/>
      <c r="H287" s="184"/>
      <c r="I287" s="184"/>
    </row>
    <row r="288" spans="1:10" ht="27.75">
      <c r="A288" s="70"/>
      <c r="B288" s="71"/>
      <c r="C288" s="72"/>
      <c r="D288" s="67" t="s">
        <v>166</v>
      </c>
      <c r="E288" s="67"/>
      <c r="F288" s="67"/>
      <c r="I288" s="68" t="str">
        <f>$M$1</f>
        <v>1405/02/01</v>
      </c>
    </row>
    <row r="289" spans="1:10" ht="45" customHeight="1">
      <c r="A289" s="70"/>
      <c r="B289" s="71"/>
      <c r="C289" s="77"/>
      <c r="D289" s="87" t="s">
        <v>0</v>
      </c>
      <c r="E289" s="88" t="s">
        <v>1</v>
      </c>
      <c r="F289" s="177" t="s">
        <v>448</v>
      </c>
      <c r="G289" s="178"/>
      <c r="H289" s="179"/>
      <c r="I289" s="89" t="s">
        <v>251</v>
      </c>
    </row>
    <row r="290" spans="1:10" ht="52.5" customHeight="1">
      <c r="A290" s="60"/>
      <c r="B290" s="61"/>
      <c r="D290" s="84">
        <v>1</v>
      </c>
      <c r="E290" s="84" t="str">
        <f>INDEX('حذف از تولید و لیست اصلی'!B:B,MATCH('کاتالوگ مبلمان'!J290,'حذف از تولید و لیست اصلی'!I:I,0))</f>
        <v>2110040300</v>
      </c>
      <c r="F290" s="180" t="str">
        <f>INDEX('حذف از تولید و لیست اصلی'!C:C,MATCH('کاتالوگ مبلمان'!J290,'حذف از تولید و لیست اصلی'!I:I,0))</f>
        <v xml:space="preserve">  کاناپه سه نفره سیپو ( 2 عدد کوسن )</v>
      </c>
      <c r="G290" s="181"/>
      <c r="H290" s="182"/>
      <c r="I290" s="85">
        <f>INDEX('حذف از تولید و لیست اصلی'!E:E,MATCH('کاتالوگ مبلمان'!J290,'حذف از تولید و لیست اصلی'!I:I,0))</f>
        <v>1421000000</v>
      </c>
      <c r="J290" s="64">
        <v>39</v>
      </c>
    </row>
    <row r="291" spans="1:10" ht="52.5" customHeight="1">
      <c r="A291" s="60"/>
      <c r="B291" s="61"/>
      <c r="C291" s="78"/>
      <c r="D291" s="86">
        <v>2</v>
      </c>
      <c r="E291" s="84" t="str">
        <f>INDEX('حذف از تولید و لیست اصلی'!B:B,MATCH('کاتالوگ مبلمان'!J291,'حذف از تولید و لیست اصلی'!I:I,0))</f>
        <v>2110040200</v>
      </c>
      <c r="F291" s="180" t="str">
        <f>INDEX('حذف از تولید و لیست اصلی'!C:C,MATCH('کاتالوگ مبلمان'!J291,'حذف از تولید و لیست اصلی'!I:I,0))</f>
        <v xml:space="preserve">کاناپه دو نفره سیپو ( 2عدد کوسن ) </v>
      </c>
      <c r="G291" s="181"/>
      <c r="H291" s="182"/>
      <c r="I291" s="85">
        <f>INDEX('حذف از تولید و لیست اصلی'!E:E,MATCH('کاتالوگ مبلمان'!J291,'حذف از تولید و لیست اصلی'!I:I,0))</f>
        <v>1059000000</v>
      </c>
      <c r="J291" s="64">
        <v>40</v>
      </c>
    </row>
    <row r="292" spans="1:10" ht="52.5" customHeight="1">
      <c r="A292" s="60"/>
      <c r="B292" s="61"/>
      <c r="D292" s="86">
        <v>3</v>
      </c>
      <c r="E292" s="84" t="str">
        <f>INDEX('حذف از تولید و لیست اصلی'!B:B,MATCH('کاتالوگ مبلمان'!J292,'حذف از تولید و لیست اصلی'!I:I,0))</f>
        <v>2110040100</v>
      </c>
      <c r="F292" s="180" t="str">
        <f>INDEX('حذف از تولید و لیست اصلی'!C:C,MATCH('کاتالوگ مبلمان'!J292,'حذف از تولید و لیست اصلی'!I:I,0))</f>
        <v xml:space="preserve"> مبل یک نفره سیپو ( بدون کوسن )</v>
      </c>
      <c r="G292" s="181"/>
      <c r="H292" s="182"/>
      <c r="I292" s="85">
        <f>INDEX('حذف از تولید و لیست اصلی'!E:E,MATCH('کاتالوگ مبلمان'!J292,'حذف از تولید و لیست اصلی'!I:I,0))</f>
        <v>716000000</v>
      </c>
      <c r="J292" s="64">
        <v>41</v>
      </c>
    </row>
    <row r="293" spans="1:10" ht="52.5" customHeight="1">
      <c r="A293" s="60"/>
      <c r="B293" s="61"/>
      <c r="D293" s="86">
        <v>4</v>
      </c>
      <c r="E293" s="84" t="str">
        <f>INDEX('حذف از تولید و لیست اصلی'!B:B,MATCH('کاتالوگ مبلمان'!J293,'حذف از تولید و لیست اصلی'!I:I,0))</f>
        <v>2110040500</v>
      </c>
      <c r="F293" s="180" t="str">
        <f>INDEX('حذف از تولید و لیست اصلی'!C:C,MATCH('کاتالوگ مبلمان'!J293,'حذف از تولید و لیست اصلی'!I:I,0))</f>
        <v>میز جلو مبلی مستطیل سیپو</v>
      </c>
      <c r="G293" s="181"/>
      <c r="H293" s="182"/>
      <c r="I293" s="85">
        <f>INDEX('حذف از تولید و لیست اصلی'!E:E,MATCH('کاتالوگ مبلمان'!J293,'حذف از تولید و لیست اصلی'!I:I,0))</f>
        <v>449000000</v>
      </c>
      <c r="J293" s="64">
        <v>42</v>
      </c>
    </row>
    <row r="294" spans="1:10" ht="52.5" customHeight="1">
      <c r="A294" s="60"/>
      <c r="B294" s="61"/>
      <c r="D294" s="86">
        <v>5</v>
      </c>
      <c r="E294" s="84" t="str">
        <f>INDEX('حذف از تولید و لیست اصلی'!B:B,MATCH('کاتالوگ مبلمان'!J294,'حذف از تولید و لیست اصلی'!I:I,0))</f>
        <v>2110040400</v>
      </c>
      <c r="F294" s="180" t="str">
        <f>INDEX('حذف از تولید و لیست اصلی'!C:C,MATCH('کاتالوگ مبلمان'!J294,'حذف از تولید و لیست اصلی'!I:I,0))</f>
        <v>میز جلو مبلی مربع سیپو</v>
      </c>
      <c r="G294" s="181"/>
      <c r="H294" s="182"/>
      <c r="I294" s="85">
        <f>INDEX('حذف از تولید و لیست اصلی'!E:E,MATCH('کاتالوگ مبلمان'!J294,'حذف از تولید و لیست اصلی'!I:I,0))</f>
        <v>449000000</v>
      </c>
      <c r="J294" s="64">
        <v>43</v>
      </c>
    </row>
    <row r="295" spans="1:10" ht="52.5" customHeight="1">
      <c r="A295" s="60"/>
      <c r="B295" s="61"/>
      <c r="D295" s="86">
        <v>6</v>
      </c>
      <c r="E295" s="84" t="str">
        <f>INDEX('حذف از تولید و لیست اصلی'!B:B,MATCH('کاتالوگ مبلمان'!J295,'حذف از تولید و لیست اصلی'!I:I,0))</f>
        <v>2110040600</v>
      </c>
      <c r="F295" s="180" t="str">
        <f>INDEX('حذف از تولید و لیست اصلی'!C:C,MATCH('کاتالوگ مبلمان'!J295,'حذف از تولید و لیست اصلی'!I:I,0))</f>
        <v>میز کنار مبلی سیپو</v>
      </c>
      <c r="G295" s="181"/>
      <c r="H295" s="182"/>
      <c r="I295" s="85">
        <f>INDEX('حذف از تولید و لیست اصلی'!E:E,MATCH('کاتالوگ مبلمان'!J295,'حذف از تولید و لیست اصلی'!I:I,0))</f>
        <v>319000000</v>
      </c>
      <c r="J295" s="64">
        <v>44</v>
      </c>
    </row>
    <row r="296" spans="1:10" ht="52.5" customHeight="1">
      <c r="A296" s="60"/>
      <c r="B296" s="61"/>
      <c r="D296" s="86">
        <v>7</v>
      </c>
      <c r="E296" s="84" t="str">
        <f>INDEX('حذف از تولید و لیست اصلی'!B:B,MATCH('کاتالوگ مبلمان'!J296,'حذف از تولید و لیست اصلی'!I:I,0))</f>
        <v>-</v>
      </c>
      <c r="F296" s="180" t="str">
        <f>INDEX('حذف از تولید و لیست اصلی'!C:C,MATCH('کاتالوگ مبلمان'!J296,'حذف از تولید و لیست اصلی'!I:I,0))</f>
        <v xml:space="preserve">متراژ پارچه هفت نفره  ( فریم 22 متر + تشک 8/5 متر + کوسن 1/5 متر )  </v>
      </c>
      <c r="G296" s="181"/>
      <c r="H296" s="182"/>
      <c r="I296" s="85" t="str">
        <f>INDEX('حذف از تولید و لیست اصلی'!E:E,MATCH('کاتالوگ مبلمان'!J296,'حذف از تولید و لیست اصلی'!I:I,0))</f>
        <v>32متر</v>
      </c>
      <c r="J296" s="64">
        <v>45</v>
      </c>
    </row>
    <row r="297" spans="1:10" ht="52.5" customHeight="1">
      <c r="A297" s="60"/>
      <c r="B297" s="61"/>
      <c r="D297" s="86">
        <v>8</v>
      </c>
      <c r="E297" s="84" t="str">
        <f>INDEX('حذف از تولید و لیست اصلی'!B:B,MATCH('کاتالوگ مبلمان'!J297,'حذف از تولید و لیست اصلی'!I:I,0))</f>
        <v>-</v>
      </c>
      <c r="F297" s="180" t="str">
        <f>INDEX('حذف از تولید و لیست اصلی'!C:C,MATCH('کاتالوگ مبلمان'!J297,'حذف از تولید و لیست اصلی'!I:I,0))</f>
        <v xml:space="preserve">متراژ پارچه سه نفره  ( فریم 6 متر + تشک 3/25 متر + کوسن 75/.متر )  </v>
      </c>
      <c r="G297" s="181"/>
      <c r="H297" s="182"/>
      <c r="I297" s="85" t="str">
        <f>INDEX('حذف از تولید و لیست اصلی'!E:E,MATCH('کاتالوگ مبلمان'!J297,'حذف از تولید و لیست اصلی'!I:I,0))</f>
        <v>10متر</v>
      </c>
      <c r="J297" s="64">
        <v>46</v>
      </c>
    </row>
    <row r="298" spans="1:10" ht="52.5" customHeight="1">
      <c r="A298" s="60"/>
      <c r="B298" s="61"/>
      <c r="D298" s="86">
        <v>9</v>
      </c>
      <c r="E298" s="84" t="str">
        <f>INDEX('حذف از تولید و لیست اصلی'!B:B,MATCH('کاتالوگ مبلمان'!J298,'حذف از تولید و لیست اصلی'!I:I,0))</f>
        <v>-</v>
      </c>
      <c r="F298" s="180" t="str">
        <f>INDEX('حذف از تولید و لیست اصلی'!C:C,MATCH('کاتالوگ مبلمان'!J298,'حذف از تولید و لیست اصلی'!I:I,0))</f>
        <v xml:space="preserve">متراژ پارچه دو نفره  ( فریم 5/5 متر + تشک 2/75 متر + کوسن 75/.متر )  </v>
      </c>
      <c r="G298" s="181"/>
      <c r="H298" s="182"/>
      <c r="I298" s="85" t="str">
        <f>INDEX('حذف از تولید و لیست اصلی'!E:E,MATCH('کاتالوگ مبلمان'!J298,'حذف از تولید و لیست اصلی'!I:I,0))</f>
        <v>9متر</v>
      </c>
      <c r="J298" s="64">
        <v>47</v>
      </c>
    </row>
    <row r="299" spans="1:10" ht="52.5" customHeight="1">
      <c r="A299" s="60"/>
      <c r="B299" s="61"/>
      <c r="D299" s="86">
        <v>10</v>
      </c>
      <c r="E299" s="84" t="str">
        <f>INDEX('حذف از تولید و لیست اصلی'!B:B,MATCH('کاتالوگ مبلمان'!J299,'حذف از تولید و لیست اصلی'!I:I,0))</f>
        <v>-</v>
      </c>
      <c r="F299" s="180" t="str">
        <f>INDEX('حذف از تولید و لیست اصلی'!C:C,MATCH('کاتالوگ مبلمان'!J299,'حذف از تولید و لیست اصلی'!I:I,0))</f>
        <v xml:space="preserve">متراژ پارچه یک نفره  ( فریم 5 متر + تشک 2 متر )  </v>
      </c>
      <c r="G299" s="181"/>
      <c r="H299" s="182"/>
      <c r="I299" s="85" t="str">
        <f>INDEX('حذف از تولید و لیست اصلی'!E:E,MATCH('کاتالوگ مبلمان'!J299,'حذف از تولید و لیست اصلی'!I:I,0))</f>
        <v>7متر</v>
      </c>
      <c r="J299" s="64">
        <v>48</v>
      </c>
    </row>
    <row r="300" spans="1:10">
      <c r="A300" s="60"/>
      <c r="B300" s="61"/>
      <c r="D300"/>
      <c r="E300"/>
      <c r="F300"/>
      <c r="G300"/>
      <c r="H300"/>
      <c r="I300"/>
    </row>
    <row r="301" spans="1:10">
      <c r="A301" s="60"/>
      <c r="B301" s="61"/>
      <c r="D301"/>
      <c r="E301"/>
      <c r="F301"/>
      <c r="G301"/>
      <c r="H301"/>
      <c r="I301"/>
    </row>
    <row r="302" spans="1:10">
      <c r="A302" s="60"/>
      <c r="B302" s="61"/>
      <c r="D302"/>
      <c r="E302"/>
      <c r="F302"/>
      <c r="G302"/>
      <c r="H302"/>
      <c r="I302"/>
    </row>
    <row r="303" spans="1:10">
      <c r="A303" s="60"/>
      <c r="B303" s="61"/>
      <c r="I303" s="74">
        <v>9</v>
      </c>
    </row>
    <row r="304" spans="1:10" ht="22.5" customHeight="1">
      <c r="A304" s="70"/>
      <c r="B304" s="71"/>
      <c r="C304" s="183"/>
      <c r="D304" s="184"/>
      <c r="E304" s="184"/>
      <c r="F304" s="184"/>
      <c r="G304" s="184"/>
      <c r="H304" s="184"/>
      <c r="I304" s="184"/>
    </row>
    <row r="305" spans="1:10" ht="22.5" customHeight="1">
      <c r="A305" s="70"/>
      <c r="B305" s="71"/>
      <c r="C305" s="183"/>
      <c r="D305" s="184"/>
      <c r="E305" s="184"/>
      <c r="F305" s="184"/>
      <c r="G305" s="184"/>
      <c r="H305" s="184"/>
      <c r="I305" s="184"/>
    </row>
    <row r="306" spans="1:10" ht="27.75">
      <c r="A306" s="70"/>
      <c r="B306" s="71"/>
      <c r="C306" s="72"/>
      <c r="D306" s="67" t="s">
        <v>172</v>
      </c>
      <c r="E306" s="67"/>
      <c r="F306" s="67"/>
      <c r="I306" s="68" t="str">
        <f>$M$1</f>
        <v>1405/02/01</v>
      </c>
    </row>
    <row r="307" spans="1:10" ht="45" customHeight="1">
      <c r="A307" s="70"/>
      <c r="B307" s="71"/>
      <c r="C307" s="77"/>
      <c r="D307" s="87" t="s">
        <v>0</v>
      </c>
      <c r="E307" s="88" t="s">
        <v>1</v>
      </c>
      <c r="F307" s="177" t="s">
        <v>448</v>
      </c>
      <c r="G307" s="178"/>
      <c r="H307" s="179"/>
      <c r="I307" s="89" t="s">
        <v>251</v>
      </c>
    </row>
    <row r="308" spans="1:10" ht="51.75" customHeight="1">
      <c r="A308" s="60"/>
      <c r="B308" s="61"/>
      <c r="D308" s="84">
        <v>1</v>
      </c>
      <c r="E308" s="84" t="str">
        <f>INDEX('حذف از تولید و لیست اصلی'!B:B,MATCH('کاتالوگ مبلمان'!J308,'حذف از تولید و لیست اصلی'!I:I,0))</f>
        <v>2110040300</v>
      </c>
      <c r="F308" s="180" t="str">
        <f>INDEX('حذف از تولید و لیست اصلی'!C:C,MATCH('کاتالوگ مبلمان'!J308,'حذف از تولید و لیست اصلی'!I:I,0))</f>
        <v xml:space="preserve">  کاناپه سه نفره سیپو ( 2 عدد کوسن )</v>
      </c>
      <c r="G308" s="181"/>
      <c r="H308" s="182"/>
      <c r="I308" s="85">
        <f>INDEX('حذف از تولید و لیست اصلی'!E:E,MATCH('کاتالوگ مبلمان'!J308,'حذف از تولید و لیست اصلی'!I:I,0))</f>
        <v>1221000000</v>
      </c>
      <c r="J308" s="64">
        <v>49</v>
      </c>
    </row>
    <row r="309" spans="1:10" ht="51.75" customHeight="1">
      <c r="A309" s="60"/>
      <c r="B309" s="61"/>
      <c r="C309" s="78"/>
      <c r="D309" s="86">
        <v>2</v>
      </c>
      <c r="E309" s="84" t="str">
        <f>INDEX('حذف از تولید و لیست اصلی'!B:B,MATCH('کاتالوگ مبلمان'!J309,'حذف از تولید و لیست اصلی'!I:I,0))</f>
        <v>2110040200</v>
      </c>
      <c r="F309" s="180" t="str">
        <f>INDEX('حذف از تولید و لیست اصلی'!C:C,MATCH('کاتالوگ مبلمان'!J309,'حذف از تولید و لیست اصلی'!I:I,0))</f>
        <v xml:space="preserve">کاناپه دو نفره سیپو ( 2عدد کوسن ) </v>
      </c>
      <c r="G309" s="181"/>
      <c r="H309" s="182"/>
      <c r="I309" s="85">
        <f>INDEX('حذف از تولید و لیست اصلی'!E:E,MATCH('کاتالوگ مبلمان'!J309,'حذف از تولید و لیست اصلی'!I:I,0))</f>
        <v>879000000</v>
      </c>
      <c r="J309" s="64">
        <v>50</v>
      </c>
    </row>
    <row r="310" spans="1:10" ht="51.75" customHeight="1">
      <c r="A310" s="60"/>
      <c r="B310" s="61"/>
      <c r="D310" s="86">
        <v>3</v>
      </c>
      <c r="E310" s="84" t="str">
        <f>INDEX('حذف از تولید و لیست اصلی'!B:B,MATCH('کاتالوگ مبلمان'!J310,'حذف از تولید و لیست اصلی'!I:I,0))</f>
        <v>2110040100</v>
      </c>
      <c r="F310" s="180" t="str">
        <f>INDEX('حذف از تولید و لیست اصلی'!C:C,MATCH('کاتالوگ مبلمان'!J310,'حذف از تولید و لیست اصلی'!I:I,0))</f>
        <v xml:space="preserve"> مبل یک نفره سیپو ( بدون کوسن )</v>
      </c>
      <c r="G310" s="181"/>
      <c r="H310" s="182"/>
      <c r="I310" s="85">
        <f>INDEX('حذف از تولید و لیست اصلی'!E:E,MATCH('کاتالوگ مبلمان'!J310,'حذف از تولید و لیست اصلی'!I:I,0))</f>
        <v>576000000</v>
      </c>
      <c r="J310" s="64">
        <v>51</v>
      </c>
    </row>
    <row r="311" spans="1:10" ht="51.75" customHeight="1">
      <c r="A311" s="60"/>
      <c r="B311" s="61"/>
      <c r="D311" s="86">
        <v>4</v>
      </c>
      <c r="E311" s="84" t="str">
        <f>INDEX('حذف از تولید و لیست اصلی'!B:B,MATCH('کاتالوگ مبلمان'!J311,'حذف از تولید و لیست اصلی'!I:I,0))</f>
        <v>2110040500</v>
      </c>
      <c r="F311" s="180" t="str">
        <f>INDEX('حذف از تولید و لیست اصلی'!C:C,MATCH('کاتالوگ مبلمان'!J311,'حذف از تولید و لیست اصلی'!I:I,0))</f>
        <v>میز جلو مبلی مستطیل سیپو</v>
      </c>
      <c r="G311" s="181"/>
      <c r="H311" s="182"/>
      <c r="I311" s="85">
        <f>INDEX('حذف از تولید و لیست اصلی'!E:E,MATCH('کاتالوگ مبلمان'!J311,'حذف از تولید و لیست اصلی'!I:I,0))</f>
        <v>449000000</v>
      </c>
      <c r="J311" s="64">
        <v>52</v>
      </c>
    </row>
    <row r="312" spans="1:10" ht="51.75" customHeight="1">
      <c r="A312" s="60"/>
      <c r="B312" s="61"/>
      <c r="D312" s="86">
        <v>5</v>
      </c>
      <c r="E312" s="84" t="str">
        <f>INDEX('حذف از تولید و لیست اصلی'!B:B,MATCH('کاتالوگ مبلمان'!J312,'حذف از تولید و لیست اصلی'!I:I,0))</f>
        <v>2110040400</v>
      </c>
      <c r="F312" s="180" t="str">
        <f>INDEX('حذف از تولید و لیست اصلی'!C:C,MATCH('کاتالوگ مبلمان'!J312,'حذف از تولید و لیست اصلی'!I:I,0))</f>
        <v>میز جلو مبلی مربع سیپو</v>
      </c>
      <c r="G312" s="181"/>
      <c r="H312" s="182"/>
      <c r="I312" s="85">
        <f>INDEX('حذف از تولید و لیست اصلی'!E:E,MATCH('کاتالوگ مبلمان'!J312,'حذف از تولید و لیست اصلی'!I:I,0))</f>
        <v>449000000</v>
      </c>
      <c r="J312" s="64">
        <v>53</v>
      </c>
    </row>
    <row r="313" spans="1:10" ht="51.75" customHeight="1">
      <c r="A313" s="60"/>
      <c r="B313" s="61"/>
      <c r="D313" s="86">
        <v>6</v>
      </c>
      <c r="E313" s="84" t="str">
        <f>INDEX('حذف از تولید و لیست اصلی'!B:B,MATCH('کاتالوگ مبلمان'!J313,'حذف از تولید و لیست اصلی'!I:I,0))</f>
        <v>2110040600</v>
      </c>
      <c r="F313" s="180" t="str">
        <f>INDEX('حذف از تولید و لیست اصلی'!C:C,MATCH('کاتالوگ مبلمان'!J313,'حذف از تولید و لیست اصلی'!I:I,0))</f>
        <v>میز کنار مبلی سیپو</v>
      </c>
      <c r="G313" s="181"/>
      <c r="H313" s="182"/>
      <c r="I313" s="85">
        <f>INDEX('حذف از تولید و لیست اصلی'!E:E,MATCH('کاتالوگ مبلمان'!J313,'حذف از تولید و لیست اصلی'!I:I,0))</f>
        <v>319000000</v>
      </c>
      <c r="J313" s="64">
        <v>54</v>
      </c>
    </row>
    <row r="314" spans="1:10" ht="51.75" customHeight="1">
      <c r="A314" s="60"/>
      <c r="B314" s="61"/>
      <c r="D314" s="86">
        <v>7</v>
      </c>
      <c r="E314" s="84" t="str">
        <f>INDEX('حذف از تولید و لیست اصلی'!B:B,MATCH('کاتالوگ مبلمان'!J314,'حذف از تولید و لیست اصلی'!I:I,0))</f>
        <v>-</v>
      </c>
      <c r="F314" s="180" t="str">
        <f>INDEX('حذف از تولید و لیست اصلی'!C:C,MATCH('کاتالوگ مبلمان'!J314,'حذف از تولید و لیست اصلی'!I:I,0))</f>
        <v xml:space="preserve">متراژ پارچه هفت نفره  ( فریم 22 متر + تشک 8/5 متر + کوسن 1/5 متر )  </v>
      </c>
      <c r="G314" s="181"/>
      <c r="H314" s="182"/>
      <c r="I314" s="85" t="str">
        <f>INDEX('حذف از تولید و لیست اصلی'!E:E,MATCH('کاتالوگ مبلمان'!J314,'حذف از تولید و لیست اصلی'!I:I,0))</f>
        <v>32متر</v>
      </c>
      <c r="J314" s="64">
        <v>55</v>
      </c>
    </row>
    <row r="315" spans="1:10" ht="51.75" customHeight="1">
      <c r="A315" s="60"/>
      <c r="B315" s="61"/>
      <c r="D315" s="86">
        <v>8</v>
      </c>
      <c r="E315" s="84" t="str">
        <f>INDEX('حذف از تولید و لیست اصلی'!B:B,MATCH('کاتالوگ مبلمان'!J315,'حذف از تولید و لیست اصلی'!I:I,0))</f>
        <v>-</v>
      </c>
      <c r="F315" s="180" t="str">
        <f>INDEX('حذف از تولید و لیست اصلی'!C:C,MATCH('کاتالوگ مبلمان'!J315,'حذف از تولید و لیست اصلی'!I:I,0))</f>
        <v xml:space="preserve">متراژ پارچه سه نفره  ( فریم 6 متر + تشک 3/25 متر + کوسن 75/.متر )  </v>
      </c>
      <c r="G315" s="181"/>
      <c r="H315" s="182"/>
      <c r="I315" s="85" t="str">
        <f>INDEX('حذف از تولید و لیست اصلی'!E:E,MATCH('کاتالوگ مبلمان'!J315,'حذف از تولید و لیست اصلی'!I:I,0))</f>
        <v>10متر</v>
      </c>
      <c r="J315" s="64">
        <v>56</v>
      </c>
    </row>
    <row r="316" spans="1:10" ht="51.75" customHeight="1">
      <c r="A316" s="60"/>
      <c r="B316" s="61"/>
      <c r="D316" s="86">
        <v>9</v>
      </c>
      <c r="E316" s="84" t="str">
        <f>INDEX('حذف از تولید و لیست اصلی'!B:B,MATCH('کاتالوگ مبلمان'!J316,'حذف از تولید و لیست اصلی'!I:I,0))</f>
        <v>-</v>
      </c>
      <c r="F316" s="180" t="str">
        <f>INDEX('حذف از تولید و لیست اصلی'!C:C,MATCH('کاتالوگ مبلمان'!J316,'حذف از تولید و لیست اصلی'!I:I,0))</f>
        <v xml:space="preserve">متراژ پارچه دو نفره  ( فریم 5/5 متر + تشک 2/75 متر + کوسن 75/.متر )  </v>
      </c>
      <c r="G316" s="181"/>
      <c r="H316" s="182"/>
      <c r="I316" s="85" t="str">
        <f>INDEX('حذف از تولید و لیست اصلی'!E:E,MATCH('کاتالوگ مبلمان'!J316,'حذف از تولید و لیست اصلی'!I:I,0))</f>
        <v>9متر</v>
      </c>
      <c r="J316" s="64">
        <v>57</v>
      </c>
    </row>
    <row r="317" spans="1:10" ht="51.75" customHeight="1">
      <c r="A317" s="60"/>
      <c r="B317" s="61"/>
      <c r="D317" s="86">
        <v>10</v>
      </c>
      <c r="E317" s="84" t="str">
        <f>INDEX('حذف از تولید و لیست اصلی'!B:B,MATCH('کاتالوگ مبلمان'!J317,'حذف از تولید و لیست اصلی'!I:I,0))</f>
        <v>-</v>
      </c>
      <c r="F317" s="180" t="str">
        <f>INDEX('حذف از تولید و لیست اصلی'!C:C,MATCH('کاتالوگ مبلمان'!J317,'حذف از تولید و لیست اصلی'!I:I,0))</f>
        <v xml:space="preserve">متراژ پارچه یک نفره  ( فریم 5 متر + تشک 2 متر )  </v>
      </c>
      <c r="G317" s="181"/>
      <c r="H317" s="182"/>
      <c r="I317" s="85" t="str">
        <f>INDEX('حذف از تولید و لیست اصلی'!E:E,MATCH('کاتالوگ مبلمان'!J317,'حذف از تولید و لیست اصلی'!I:I,0))</f>
        <v>7متر</v>
      </c>
      <c r="J317" s="64">
        <v>58</v>
      </c>
    </row>
    <row r="318" spans="1:10">
      <c r="A318" s="60"/>
      <c r="B318" s="61"/>
      <c r="D318"/>
      <c r="E318"/>
      <c r="F318"/>
      <c r="G318"/>
      <c r="H318"/>
      <c r="I318"/>
    </row>
    <row r="319" spans="1:10">
      <c r="A319" s="60"/>
      <c r="B319" s="61"/>
      <c r="D319"/>
      <c r="E319"/>
      <c r="F319"/>
      <c r="G319"/>
      <c r="H319"/>
      <c r="I319"/>
    </row>
    <row r="320" spans="1:10">
      <c r="A320" s="60"/>
      <c r="B320" s="61"/>
      <c r="D320"/>
      <c r="E320"/>
      <c r="F320"/>
      <c r="G320"/>
      <c r="H320"/>
      <c r="I320"/>
    </row>
    <row r="321" spans="1:10">
      <c r="A321" s="60"/>
      <c r="B321" s="61"/>
      <c r="I321" s="28">
        <v>10</v>
      </c>
    </row>
    <row r="322" spans="1:10" ht="22.5" customHeight="1">
      <c r="A322" s="70"/>
      <c r="B322" s="71"/>
      <c r="C322" s="183"/>
      <c r="D322" s="184"/>
      <c r="E322" s="184"/>
      <c r="F322" s="184"/>
      <c r="G322" s="184"/>
      <c r="H322" s="184"/>
      <c r="I322" s="184"/>
    </row>
    <row r="323" spans="1:10" ht="22.5" customHeight="1">
      <c r="A323" s="70"/>
      <c r="B323" s="71"/>
      <c r="C323" s="183"/>
      <c r="D323" s="184"/>
      <c r="E323" s="184"/>
      <c r="F323" s="184"/>
      <c r="G323" s="184"/>
      <c r="H323" s="184"/>
      <c r="I323" s="184"/>
    </row>
    <row r="324" spans="1:10" ht="27.75">
      <c r="A324" s="70"/>
      <c r="B324" s="71"/>
      <c r="C324" s="72"/>
      <c r="D324" s="67" t="s">
        <v>183</v>
      </c>
      <c r="E324" s="67"/>
      <c r="F324" s="67"/>
      <c r="I324" s="68" t="str">
        <f>$M$1</f>
        <v>1405/02/01</v>
      </c>
    </row>
    <row r="325" spans="1:10" ht="45" customHeight="1">
      <c r="A325" s="70"/>
      <c r="B325" s="71"/>
      <c r="C325" s="77"/>
      <c r="D325" s="87" t="s">
        <v>0</v>
      </c>
      <c r="E325" s="88" t="s">
        <v>1</v>
      </c>
      <c r="F325" s="177" t="s">
        <v>448</v>
      </c>
      <c r="G325" s="178"/>
      <c r="H325" s="179"/>
      <c r="I325" s="89" t="s">
        <v>251</v>
      </c>
    </row>
    <row r="326" spans="1:10" ht="60.75" customHeight="1">
      <c r="A326" s="60"/>
      <c r="B326" s="61"/>
      <c r="D326" s="84">
        <v>1</v>
      </c>
      <c r="E326" s="84" t="str">
        <f>INDEX('حذف از تولید و لیست اصلی'!B:B,MATCH('کاتالوگ مبلمان'!J326,'حذف از تولید و لیست اصلی'!I:I,0))</f>
        <v>2110050300</v>
      </c>
      <c r="F326" s="180" t="str">
        <f>INDEX('حذف از تولید و لیست اصلی'!C:C,MATCH('کاتالوگ مبلمان'!J326,'حذف از تولید و لیست اصلی'!I:I,0))</f>
        <v xml:space="preserve">  کاناپه سه نفره کاتیوو  ( 5 عدد کوسن )</v>
      </c>
      <c r="G326" s="181"/>
      <c r="H326" s="182"/>
      <c r="I326" s="85">
        <f>INDEX('حذف از تولید و لیست اصلی'!E:E,MATCH('کاتالوگ مبلمان'!J326,'حذف از تولید و لیست اصلی'!I:I,0))</f>
        <v>2640000000</v>
      </c>
      <c r="J326" s="64">
        <v>59</v>
      </c>
    </row>
    <row r="327" spans="1:10" ht="60.75" customHeight="1">
      <c r="A327" s="60"/>
      <c r="B327" s="61"/>
      <c r="C327" s="78"/>
      <c r="D327" s="86">
        <v>2</v>
      </c>
      <c r="E327" s="84" t="str">
        <f>INDEX('حذف از تولید و لیست اصلی'!B:B,MATCH('کاتالوگ مبلمان'!J327,'حذف از تولید و لیست اصلی'!I:I,0))</f>
        <v>2110050200</v>
      </c>
      <c r="F327" s="180" t="str">
        <f>INDEX('حذف از تولید و لیست اصلی'!C:C,MATCH('کاتالوگ مبلمان'!J327,'حذف از تولید و لیست اصلی'!I:I,0))</f>
        <v xml:space="preserve">  کاناپه دو نفره کاتیوو   ( 4 عدد کوسن )</v>
      </c>
      <c r="G327" s="181"/>
      <c r="H327" s="182"/>
      <c r="I327" s="85">
        <f>INDEX('حذف از تولید و لیست اصلی'!E:E,MATCH('کاتالوگ مبلمان'!J327,'حذف از تولید و لیست اصلی'!I:I,0))</f>
        <v>2100000000</v>
      </c>
      <c r="J327" s="64">
        <v>60</v>
      </c>
    </row>
    <row r="328" spans="1:10" ht="60.75" customHeight="1">
      <c r="A328" s="60"/>
      <c r="B328" s="61"/>
      <c r="D328" s="86">
        <v>3</v>
      </c>
      <c r="E328" s="84" t="str">
        <f>INDEX('حذف از تولید و لیست اصلی'!B:B,MATCH('کاتالوگ مبلمان'!J328,'حذف از تولید و لیست اصلی'!I:I,0))</f>
        <v>2110050100</v>
      </c>
      <c r="F328" s="180" t="str">
        <f>INDEX('حذف از تولید و لیست اصلی'!C:C,MATCH('کاتالوگ مبلمان'!J328,'حذف از تولید و لیست اصلی'!I:I,0))</f>
        <v xml:space="preserve">  مبل یک نفره کاتیوو  (1 عدد کوسن )</v>
      </c>
      <c r="G328" s="181"/>
      <c r="H328" s="182"/>
      <c r="I328" s="85">
        <f>INDEX('حذف از تولید و لیست اصلی'!E:E,MATCH('کاتالوگ مبلمان'!J328,'حذف از تولید و لیست اصلی'!I:I,0))</f>
        <v>801000000</v>
      </c>
      <c r="J328" s="64">
        <v>61</v>
      </c>
    </row>
    <row r="329" spans="1:10" ht="60.75" customHeight="1">
      <c r="A329" s="60"/>
      <c r="B329" s="61"/>
      <c r="D329" s="86">
        <v>4</v>
      </c>
      <c r="E329" s="84">
        <f>INDEX('حذف از تولید و لیست اصلی'!B:B,MATCH('کاتالوگ مبلمان'!J329,'حذف از تولید و لیست اصلی'!I:I,0))</f>
        <v>2110050500</v>
      </c>
      <c r="F329" s="180" t="str">
        <f>INDEX('حذف از تولید و لیست اصلی'!C:C,MATCH('کاتالوگ مبلمان'!J329,'حذف از تولید و لیست اصلی'!I:I,0))</f>
        <v xml:space="preserve">میز جلومبلی بیضی کاتیوو  </v>
      </c>
      <c r="G329" s="181"/>
      <c r="H329" s="182"/>
      <c r="I329" s="85">
        <f>INDEX('حذف از تولید و لیست اصلی'!E:E,MATCH('کاتالوگ مبلمان'!J329,'حذف از تولید و لیست اصلی'!I:I,0))</f>
        <v>790000000</v>
      </c>
      <c r="J329" s="64">
        <v>62</v>
      </c>
    </row>
    <row r="330" spans="1:10" ht="60.75" customHeight="1">
      <c r="A330" s="60"/>
      <c r="B330" s="61"/>
      <c r="D330" s="86">
        <v>5</v>
      </c>
      <c r="E330" s="84" t="str">
        <f>INDEX('حذف از تولید و لیست اصلی'!B:B,MATCH('کاتالوگ مبلمان'!J330,'حذف از تولید و لیست اصلی'!I:I,0))</f>
        <v>-</v>
      </c>
      <c r="F330" s="180" t="str">
        <f>INDEX('حذف از تولید و لیست اصلی'!C:C,MATCH('کاتالوگ مبلمان'!J330,'حذف از تولید و لیست اصلی'!I:I,0))</f>
        <v xml:space="preserve"> متراژ پارچه سه نفره   ( فریم و کف 12/5متر + کوسن 2/5 متر )</v>
      </c>
      <c r="G330" s="181"/>
      <c r="H330" s="182"/>
      <c r="I330" s="85" t="str">
        <f>INDEX('حذف از تولید و لیست اصلی'!E:E,MATCH('کاتالوگ مبلمان'!J330,'حذف از تولید و لیست اصلی'!I:I,0))</f>
        <v>15متر</v>
      </c>
      <c r="J330" s="64">
        <v>63</v>
      </c>
    </row>
    <row r="331" spans="1:10" ht="60.75" customHeight="1">
      <c r="A331" s="60"/>
      <c r="B331" s="61"/>
      <c r="D331" s="86">
        <v>6</v>
      </c>
      <c r="E331" s="84" t="str">
        <f>INDEX('حذف از تولید و لیست اصلی'!B:B,MATCH('کاتالوگ مبلمان'!J331,'حذف از تولید و لیست اصلی'!I:I,0))</f>
        <v>-</v>
      </c>
      <c r="F331" s="180" t="str">
        <f>INDEX('حذف از تولید و لیست اصلی'!C:C,MATCH('کاتالوگ مبلمان'!J331,'حذف از تولید و لیست اصلی'!I:I,0))</f>
        <v xml:space="preserve"> متراژ پارچه دو نفره  ( فریم و کف 9/5 متر + کوسن 2 متر ) </v>
      </c>
      <c r="G331" s="181"/>
      <c r="H331" s="182"/>
      <c r="I331" s="85" t="str">
        <f>INDEX('حذف از تولید و لیست اصلی'!E:E,MATCH('کاتالوگ مبلمان'!J331,'حذف از تولید و لیست اصلی'!I:I,0))</f>
        <v>11/5متر</v>
      </c>
      <c r="J331" s="64">
        <v>64</v>
      </c>
    </row>
    <row r="332" spans="1:10" ht="60.75" customHeight="1">
      <c r="A332" s="60"/>
      <c r="B332" s="61"/>
      <c r="D332" s="86">
        <v>7</v>
      </c>
      <c r="E332" s="84" t="str">
        <f>INDEX('حذف از تولید و لیست اصلی'!B:B,MATCH('کاتالوگ مبلمان'!J332,'حذف از تولید و لیست اصلی'!I:I,0))</f>
        <v>-</v>
      </c>
      <c r="F332" s="180" t="str">
        <f>INDEX('حذف از تولید و لیست اصلی'!C:C,MATCH('کاتالوگ مبلمان'!J332,'حذف از تولید و لیست اصلی'!I:I,0))</f>
        <v xml:space="preserve">  متراژ پارچه یک نفره  ( فریم و کف 4 متر + کوسن 1 متر ) </v>
      </c>
      <c r="G332" s="181"/>
      <c r="H332" s="182"/>
      <c r="I332" s="85" t="str">
        <f>INDEX('حذف از تولید و لیست اصلی'!E:E,MATCH('کاتالوگ مبلمان'!J332,'حذف از تولید و لیست اصلی'!I:I,0))</f>
        <v>5متر</v>
      </c>
      <c r="J332" s="64">
        <v>65</v>
      </c>
    </row>
    <row r="333" spans="1:10">
      <c r="A333" s="60"/>
      <c r="B333" s="61"/>
      <c r="D333"/>
      <c r="E333"/>
      <c r="F333"/>
      <c r="G333"/>
      <c r="H333"/>
      <c r="I333"/>
    </row>
    <row r="334" spans="1:10" ht="27" customHeight="1">
      <c r="A334" s="60"/>
      <c r="B334" s="61"/>
      <c r="D334"/>
      <c r="E334"/>
      <c r="F334"/>
      <c r="G334"/>
      <c r="H334"/>
      <c r="I334"/>
    </row>
    <row r="335" spans="1:10">
      <c r="A335" s="60"/>
      <c r="B335" s="61"/>
      <c r="D335"/>
      <c r="E335"/>
      <c r="F335"/>
      <c r="G335"/>
      <c r="H335"/>
      <c r="I335"/>
    </row>
    <row r="336" spans="1:10" ht="33" customHeight="1">
      <c r="A336" s="60"/>
      <c r="B336" s="61"/>
      <c r="D336"/>
      <c r="E336"/>
      <c r="F336"/>
      <c r="G336"/>
      <c r="H336"/>
      <c r="I336"/>
    </row>
    <row r="337" spans="1:10" ht="19.5" customHeight="1">
      <c r="A337" s="60"/>
      <c r="B337" s="61"/>
      <c r="D337"/>
      <c r="E337"/>
      <c r="F337"/>
      <c r="G337"/>
      <c r="H337"/>
      <c r="I337"/>
    </row>
    <row r="338" spans="1:10" ht="32.25" customHeight="1">
      <c r="A338" s="60"/>
      <c r="B338" s="61"/>
      <c r="D338"/>
      <c r="E338"/>
      <c r="F338"/>
      <c r="G338"/>
      <c r="H338"/>
      <c r="I338"/>
    </row>
    <row r="339" spans="1:10">
      <c r="A339" s="60"/>
      <c r="B339" s="61"/>
      <c r="I339" s="74">
        <v>11</v>
      </c>
    </row>
    <row r="340" spans="1:10" ht="22.5" customHeight="1">
      <c r="A340" s="70"/>
      <c r="B340" s="71"/>
      <c r="C340" s="183"/>
      <c r="D340" s="184"/>
      <c r="E340" s="184"/>
      <c r="F340" s="184"/>
      <c r="G340" s="184"/>
      <c r="H340" s="184"/>
      <c r="I340" s="184"/>
    </row>
    <row r="341" spans="1:10" ht="22.5" customHeight="1">
      <c r="A341" s="70"/>
      <c r="B341" s="71"/>
      <c r="C341" s="183"/>
      <c r="D341" s="184"/>
      <c r="E341" s="184"/>
      <c r="F341" s="184"/>
      <c r="G341" s="184"/>
      <c r="H341" s="184"/>
      <c r="I341" s="184"/>
    </row>
    <row r="342" spans="1:10" ht="27.75">
      <c r="A342" s="70"/>
      <c r="B342" s="71"/>
      <c r="C342" s="72"/>
      <c r="D342" s="67" t="s">
        <v>186</v>
      </c>
      <c r="E342" s="67"/>
      <c r="F342" s="67"/>
      <c r="I342" s="68" t="str">
        <f>$M$1</f>
        <v>1405/02/01</v>
      </c>
    </row>
    <row r="343" spans="1:10" ht="45" customHeight="1">
      <c r="A343" s="70"/>
      <c r="B343" s="71"/>
      <c r="C343" s="77"/>
      <c r="D343" s="87" t="s">
        <v>0</v>
      </c>
      <c r="E343" s="88" t="s">
        <v>1</v>
      </c>
      <c r="F343" s="177" t="s">
        <v>448</v>
      </c>
      <c r="G343" s="178"/>
      <c r="H343" s="179"/>
      <c r="I343" s="89" t="s">
        <v>251</v>
      </c>
    </row>
    <row r="344" spans="1:10" ht="60.75" customHeight="1">
      <c r="A344" s="60"/>
      <c r="B344" s="61"/>
      <c r="D344" s="84">
        <v>1</v>
      </c>
      <c r="E344" s="84" t="str">
        <f>INDEX('حذف از تولید و لیست اصلی'!B:B,MATCH('کاتالوگ مبلمان'!J344,'حذف از تولید و لیست اصلی'!I:I,0))</f>
        <v>2110050300</v>
      </c>
      <c r="F344" s="180" t="str">
        <f>INDEX('حذف از تولید و لیست اصلی'!C:C,MATCH('کاتالوگ مبلمان'!J344,'حذف از تولید و لیست اصلی'!I:I,0))</f>
        <v xml:space="preserve">  کاناپه سه نفره کاتیوو  ( 5 عدد کوسن )</v>
      </c>
      <c r="G344" s="181"/>
      <c r="H344" s="182"/>
      <c r="I344" s="85">
        <f>INDEX('حذف از تولید و لیست اصلی'!E:E,MATCH('کاتالوگ مبلمان'!J344,'حذف از تولید و لیست اصلی'!I:I,0))</f>
        <v>2340000000</v>
      </c>
      <c r="J344" s="64">
        <v>66</v>
      </c>
    </row>
    <row r="345" spans="1:10" ht="60.75" customHeight="1">
      <c r="A345" s="60"/>
      <c r="B345" s="61"/>
      <c r="C345" s="78"/>
      <c r="D345" s="86">
        <v>2</v>
      </c>
      <c r="E345" s="84" t="str">
        <f>INDEX('حذف از تولید و لیست اصلی'!B:B,MATCH('کاتالوگ مبلمان'!J345,'حذف از تولید و لیست اصلی'!I:I,0))</f>
        <v>2110050200</v>
      </c>
      <c r="F345" s="180" t="str">
        <f>INDEX('حذف از تولید و لیست اصلی'!C:C,MATCH('کاتالوگ مبلمان'!J345,'حذف از تولید و لیست اصلی'!I:I,0))</f>
        <v xml:space="preserve">  کاناپه دو نفره کاتیوو   ( 4 عدد کوسن )</v>
      </c>
      <c r="G345" s="181"/>
      <c r="H345" s="182"/>
      <c r="I345" s="85">
        <f>INDEX('حذف از تولید و لیست اصلی'!E:E,MATCH('کاتالوگ مبلمان'!J345,'حذف از تولید و لیست اصلی'!I:I,0))</f>
        <v>1870000000</v>
      </c>
      <c r="J345" s="64">
        <v>67</v>
      </c>
    </row>
    <row r="346" spans="1:10" ht="60.75" customHeight="1">
      <c r="A346" s="60"/>
      <c r="B346" s="61"/>
      <c r="D346" s="86">
        <v>3</v>
      </c>
      <c r="E346" s="84" t="str">
        <f>INDEX('حذف از تولید و لیست اصلی'!B:B,MATCH('کاتالوگ مبلمان'!J346,'حذف از تولید و لیست اصلی'!I:I,0))</f>
        <v>2110050100</v>
      </c>
      <c r="F346" s="180" t="str">
        <f>INDEX('حذف از تولید و لیست اصلی'!C:C,MATCH('کاتالوگ مبلمان'!J346,'حذف از تولید و لیست اصلی'!I:I,0))</f>
        <v xml:space="preserve">  مبل یک نفره کاتیوو  (1 عدد کوسن )</v>
      </c>
      <c r="G346" s="181"/>
      <c r="H346" s="182"/>
      <c r="I346" s="85">
        <f>INDEX('حذف از تولید و لیست اصلی'!E:E,MATCH('کاتالوگ مبلمان'!J346,'حذف از تولید و لیست اصلی'!I:I,0))</f>
        <v>701000000</v>
      </c>
      <c r="J346" s="64">
        <v>68</v>
      </c>
    </row>
    <row r="347" spans="1:10" ht="60.75" customHeight="1">
      <c r="A347" s="60"/>
      <c r="B347" s="61"/>
      <c r="D347" s="86">
        <v>4</v>
      </c>
      <c r="E347" s="84">
        <f>INDEX('حذف از تولید و لیست اصلی'!B:B,MATCH('کاتالوگ مبلمان'!J347,'حذف از تولید و لیست اصلی'!I:I,0))</f>
        <v>2110050500</v>
      </c>
      <c r="F347" s="180" t="str">
        <f>INDEX('حذف از تولید و لیست اصلی'!C:C,MATCH('کاتالوگ مبلمان'!J347,'حذف از تولید و لیست اصلی'!I:I,0))</f>
        <v xml:space="preserve">میز جلومبلی بیضی کاتیوو  </v>
      </c>
      <c r="G347" s="181"/>
      <c r="H347" s="182"/>
      <c r="I347" s="85">
        <f>INDEX('حذف از تولید و لیست اصلی'!E:E,MATCH('کاتالوگ مبلمان'!J347,'حذف از تولید و لیست اصلی'!I:I,0))</f>
        <v>790000000</v>
      </c>
      <c r="J347" s="64">
        <v>69</v>
      </c>
    </row>
    <row r="348" spans="1:10" ht="60.75" customHeight="1">
      <c r="A348" s="60"/>
      <c r="B348" s="61"/>
      <c r="D348" s="86">
        <v>5</v>
      </c>
      <c r="E348" s="84" t="str">
        <f>INDEX('حذف از تولید و لیست اصلی'!B:B,MATCH('کاتالوگ مبلمان'!J348,'حذف از تولید و لیست اصلی'!I:I,0))</f>
        <v>-</v>
      </c>
      <c r="F348" s="180" t="str">
        <f>INDEX('حذف از تولید و لیست اصلی'!C:C,MATCH('کاتالوگ مبلمان'!J348,'حذف از تولید و لیست اصلی'!I:I,0))</f>
        <v xml:space="preserve"> متراژ پارچه سه نفره   ( فریم و کف 12/5متر + کوسن 2/5 متر )</v>
      </c>
      <c r="G348" s="181"/>
      <c r="H348" s="182"/>
      <c r="I348" s="85" t="str">
        <f>INDEX('حذف از تولید و لیست اصلی'!E:E,MATCH('کاتالوگ مبلمان'!J348,'حذف از تولید و لیست اصلی'!I:I,0))</f>
        <v>15متر</v>
      </c>
      <c r="J348" s="64">
        <v>70</v>
      </c>
    </row>
    <row r="349" spans="1:10" ht="60.75" customHeight="1">
      <c r="A349" s="60"/>
      <c r="B349" s="61"/>
      <c r="D349" s="86">
        <v>6</v>
      </c>
      <c r="E349" s="84" t="str">
        <f>INDEX('حذف از تولید و لیست اصلی'!B:B,MATCH('کاتالوگ مبلمان'!J349,'حذف از تولید و لیست اصلی'!I:I,0))</f>
        <v>-</v>
      </c>
      <c r="F349" s="180" t="str">
        <f>INDEX('حذف از تولید و لیست اصلی'!C:C,MATCH('کاتالوگ مبلمان'!J349,'حذف از تولید و لیست اصلی'!I:I,0))</f>
        <v xml:space="preserve"> متراژ پارچه دو نفره  ( فریم و کف 9/5 متر + کوسن 2 متر ) </v>
      </c>
      <c r="G349" s="181"/>
      <c r="H349" s="182"/>
      <c r="I349" s="85" t="str">
        <f>INDEX('حذف از تولید و لیست اصلی'!E:E,MATCH('کاتالوگ مبلمان'!J349,'حذف از تولید و لیست اصلی'!I:I,0))</f>
        <v>11/5متر</v>
      </c>
      <c r="J349" s="64">
        <v>71</v>
      </c>
    </row>
    <row r="350" spans="1:10" ht="60.75" customHeight="1">
      <c r="A350" s="60"/>
      <c r="B350" s="61"/>
      <c r="D350" s="86">
        <v>7</v>
      </c>
      <c r="E350" s="84" t="str">
        <f>INDEX('حذف از تولید و لیست اصلی'!B:B,MATCH('کاتالوگ مبلمان'!J350,'حذف از تولید و لیست اصلی'!I:I,0))</f>
        <v>-</v>
      </c>
      <c r="F350" s="180" t="str">
        <f>INDEX('حذف از تولید و لیست اصلی'!C:C,MATCH('کاتالوگ مبلمان'!J350,'حذف از تولید و لیست اصلی'!I:I,0))</f>
        <v xml:space="preserve">  متراژ پارچه یک نفره  ( فریم و کف 4 متر + کوسن 1 متر ) </v>
      </c>
      <c r="G350" s="181"/>
      <c r="H350" s="182"/>
      <c r="I350" s="85" t="str">
        <f>INDEX('حذف از تولید و لیست اصلی'!E:E,MATCH('کاتالوگ مبلمان'!J350,'حذف از تولید و لیست اصلی'!I:I,0))</f>
        <v>5متر</v>
      </c>
      <c r="J350" s="64">
        <v>72</v>
      </c>
    </row>
    <row r="351" spans="1:10">
      <c r="A351" s="60"/>
      <c r="B351" s="61"/>
      <c r="D351"/>
      <c r="E351"/>
      <c r="F351"/>
      <c r="G351"/>
      <c r="H351"/>
      <c r="I351"/>
    </row>
    <row r="352" spans="1:10" ht="32.25" customHeight="1">
      <c r="A352" s="60"/>
      <c r="B352" s="61"/>
      <c r="D352"/>
      <c r="E352"/>
      <c r="F352"/>
      <c r="G352"/>
      <c r="H352"/>
      <c r="I352"/>
    </row>
    <row r="353" spans="1:10">
      <c r="A353" s="60"/>
      <c r="B353" s="61"/>
      <c r="D353"/>
      <c r="E353"/>
      <c r="F353"/>
      <c r="G353"/>
      <c r="H353"/>
      <c r="I353"/>
    </row>
    <row r="354" spans="1:10">
      <c r="A354" s="60"/>
      <c r="B354" s="61"/>
      <c r="D354"/>
      <c r="E354"/>
      <c r="F354"/>
      <c r="G354"/>
      <c r="H354"/>
      <c r="I354"/>
    </row>
    <row r="355" spans="1:10" ht="32.25" customHeight="1">
      <c r="A355" s="60"/>
      <c r="B355" s="61"/>
      <c r="D355"/>
      <c r="E355"/>
      <c r="F355"/>
      <c r="G355"/>
      <c r="H355"/>
      <c r="I355"/>
    </row>
    <row r="356" spans="1:10" ht="32.25" customHeight="1">
      <c r="A356" s="60"/>
      <c r="B356" s="61"/>
      <c r="D356"/>
      <c r="E356"/>
      <c r="F356"/>
      <c r="G356"/>
      <c r="H356"/>
      <c r="I356"/>
    </row>
    <row r="357" spans="1:10">
      <c r="A357" s="60"/>
      <c r="B357" s="61"/>
      <c r="I357" s="28">
        <v>12</v>
      </c>
    </row>
    <row r="358" spans="1:10" ht="22.5" customHeight="1">
      <c r="A358" s="70"/>
      <c r="B358" s="71"/>
      <c r="C358" s="183"/>
      <c r="D358" s="184"/>
      <c r="E358" s="184"/>
      <c r="F358" s="184"/>
      <c r="G358" s="184"/>
      <c r="H358" s="184"/>
      <c r="I358" s="184"/>
    </row>
    <row r="359" spans="1:10" ht="22.5" customHeight="1">
      <c r="A359" s="70"/>
      <c r="B359" s="71"/>
      <c r="C359" s="183"/>
      <c r="D359" s="184"/>
      <c r="E359" s="184"/>
      <c r="F359" s="184"/>
      <c r="G359" s="184"/>
      <c r="H359" s="184"/>
      <c r="I359" s="184"/>
    </row>
    <row r="360" spans="1:10" ht="27.75">
      <c r="A360" s="70"/>
      <c r="B360" s="71"/>
      <c r="C360" s="72"/>
      <c r="D360" s="67" t="s">
        <v>191</v>
      </c>
      <c r="E360" s="67"/>
      <c r="F360" s="67"/>
      <c r="I360" s="68" t="str">
        <f>$M$1</f>
        <v>1405/02/01</v>
      </c>
    </row>
    <row r="361" spans="1:10" ht="45" customHeight="1">
      <c r="A361" s="70"/>
      <c r="B361" s="71"/>
      <c r="C361" s="77"/>
      <c r="D361" s="87" t="s">
        <v>0</v>
      </c>
      <c r="E361" s="88" t="s">
        <v>1</v>
      </c>
      <c r="F361" s="177" t="s">
        <v>448</v>
      </c>
      <c r="G361" s="178"/>
      <c r="H361" s="179"/>
      <c r="I361" s="89" t="s">
        <v>251</v>
      </c>
    </row>
    <row r="362" spans="1:10" ht="25.5" customHeight="1">
      <c r="A362" s="60"/>
      <c r="B362" s="61"/>
      <c r="D362" s="84">
        <v>1</v>
      </c>
      <c r="E362" s="84" t="str">
        <f>INDEX('حذف از تولید و لیست اصلی'!B:B,MATCH('کاتالوگ مبلمان'!J362,'حذف از تولید و لیست اصلی'!I:I,0))</f>
        <v>2110060300</v>
      </c>
      <c r="F362" s="180" t="str">
        <f>INDEX('حذف از تولید و لیست اصلی'!C:C,MATCH('کاتالوگ مبلمان'!J362,'حذف از تولید و لیست اصلی'!I:I,0))</f>
        <v xml:space="preserve">   کاناپه سه نفره چستر ( 2عدد کوسن )</v>
      </c>
      <c r="G362" s="181"/>
      <c r="H362" s="182"/>
      <c r="I362" s="85">
        <f>INDEX('حذف از تولید و لیست اصلی'!E:E,MATCH('کاتالوگ مبلمان'!J362,'حذف از تولید و لیست اصلی'!I:I,0))</f>
        <v>3488000000</v>
      </c>
      <c r="J362" s="64">
        <v>73</v>
      </c>
    </row>
    <row r="363" spans="1:10" ht="25.5" customHeight="1">
      <c r="A363" s="60"/>
      <c r="B363" s="61"/>
      <c r="C363" s="78"/>
      <c r="D363" s="86">
        <v>2</v>
      </c>
      <c r="E363" s="84" t="str">
        <f>INDEX('حذف از تولید و لیست اصلی'!B:B,MATCH('کاتالوگ مبلمان'!J363,'حذف از تولید و لیست اصلی'!I:I,0))</f>
        <v>2110060200</v>
      </c>
      <c r="F363" s="180" t="str">
        <f>INDEX('حذف از تولید و لیست اصلی'!C:C,MATCH('کاتالوگ مبلمان'!J363,'حذف از تولید و لیست اصلی'!I:I,0))</f>
        <v xml:space="preserve">  کاناپه دو نفره چستر ( 2 عدد کوسن )</v>
      </c>
      <c r="G363" s="181"/>
      <c r="H363" s="182"/>
      <c r="I363" s="85">
        <f>INDEX('حذف از تولید و لیست اصلی'!E:E,MATCH('کاتالوگ مبلمان'!J363,'حذف از تولید و لیست اصلی'!I:I,0))</f>
        <v>2589000000</v>
      </c>
      <c r="J363" s="64">
        <v>74</v>
      </c>
    </row>
    <row r="364" spans="1:10" ht="25.5" customHeight="1">
      <c r="A364" s="60"/>
      <c r="B364" s="61"/>
      <c r="D364" s="86">
        <v>3</v>
      </c>
      <c r="E364" s="84" t="str">
        <f>INDEX('حذف از تولید و لیست اصلی'!B:B,MATCH('کاتالوگ مبلمان'!J364,'حذف از تولید و لیست اصلی'!I:I,0))</f>
        <v>2110060700</v>
      </c>
      <c r="F364" s="180" t="str">
        <f>INDEX('حذف از تولید و لیست اصلی'!C:C,MATCH('کاتالوگ مبلمان'!J364,'حذف از تولید و لیست اصلی'!I:I,0))</f>
        <v>مبل یک نفره چستر پشت کوتاه (بدون کوسن)</v>
      </c>
      <c r="G364" s="181"/>
      <c r="H364" s="182"/>
      <c r="I364" s="85">
        <f>INDEX('حذف از تولید و لیست اصلی'!E:E,MATCH('کاتالوگ مبلمان'!J364,'حذف از تولید و لیست اصلی'!I:I,0))</f>
        <v>1998000000</v>
      </c>
      <c r="J364" s="64">
        <v>75</v>
      </c>
    </row>
    <row r="365" spans="1:10" ht="44.25" customHeight="1">
      <c r="A365" s="60"/>
      <c r="B365" s="61"/>
      <c r="D365" s="86">
        <v>4</v>
      </c>
      <c r="E365" s="84" t="str">
        <f>INDEX('حذف از تولید و لیست اصلی'!B:B,MATCH('کاتالوگ مبلمان'!J365,'حذف از تولید و لیست اصلی'!I:I,0))</f>
        <v>-</v>
      </c>
      <c r="F365" s="180" t="str">
        <f>INDEX('حذف از تولید و لیست اصلی'!C:C,MATCH('کاتالوگ مبلمان'!J365,'حذف از تولید و لیست اصلی'!I:I,0))</f>
        <v xml:space="preserve">  متراژ پارچه سه نفره  (فریم 10 متر + تشک 4 متر + کوسن 1 متر )</v>
      </c>
      <c r="G365" s="181"/>
      <c r="H365" s="182"/>
      <c r="I365" s="85" t="str">
        <f>INDEX('حذف از تولید و لیست اصلی'!E:E,MATCH('کاتالوگ مبلمان'!J365,'حذف از تولید و لیست اصلی'!I:I,0))</f>
        <v>15متر</v>
      </c>
      <c r="J365" s="64">
        <v>76</v>
      </c>
    </row>
    <row r="366" spans="1:10" ht="44.25" customHeight="1">
      <c r="A366" s="60"/>
      <c r="B366" s="61"/>
      <c r="D366" s="86">
        <v>5</v>
      </c>
      <c r="E366" s="84" t="str">
        <f>INDEX('حذف از تولید و لیست اصلی'!B:B,MATCH('کاتالوگ مبلمان'!J366,'حذف از تولید و لیست اصلی'!I:I,0))</f>
        <v>-</v>
      </c>
      <c r="F366" s="180" t="str">
        <f>INDEX('حذف از تولید و لیست اصلی'!C:C,MATCH('کاتالوگ مبلمان'!J366,'حذف از تولید و لیست اصلی'!I:I,0))</f>
        <v xml:space="preserve">  متراژ پارچه دو نفره  ( فریم 7 متر + تشک 3 متر + کوسن 1 متر )</v>
      </c>
      <c r="G366" s="181"/>
      <c r="H366" s="182"/>
      <c r="I366" s="85" t="str">
        <f>INDEX('حذف از تولید و لیست اصلی'!E:E,MATCH('کاتالوگ مبلمان'!J366,'حذف از تولید و لیست اصلی'!I:I,0))</f>
        <v>11متر</v>
      </c>
      <c r="J366" s="64">
        <v>77</v>
      </c>
    </row>
    <row r="367" spans="1:10" ht="44.25" customHeight="1">
      <c r="A367" s="60"/>
      <c r="B367" s="61"/>
      <c r="D367" s="86">
        <v>6</v>
      </c>
      <c r="E367" s="84" t="str">
        <f>INDEX('حذف از تولید و لیست اصلی'!B:B,MATCH('کاتالوگ مبلمان'!J367,'حذف از تولید و لیست اصلی'!I:I,0))</f>
        <v>-</v>
      </c>
      <c r="F367" s="180" t="str">
        <f>INDEX('حذف از تولید و لیست اصلی'!C:C,MATCH('کاتالوگ مبلمان'!J367,'حذف از تولید و لیست اصلی'!I:I,0))</f>
        <v xml:space="preserve">  متراژ پارچه یک نفره  ( فریم 6/5 متر + تشک 1/5 متر   )</v>
      </c>
      <c r="G367" s="181"/>
      <c r="H367" s="182"/>
      <c r="I367" s="85" t="str">
        <f>INDEX('حذف از تولید و لیست اصلی'!E:E,MATCH('کاتالوگ مبلمان'!J367,'حذف از تولید و لیست اصلی'!I:I,0))</f>
        <v>8متر</v>
      </c>
      <c r="J367" s="64">
        <v>78</v>
      </c>
    </row>
    <row r="368" spans="1:10">
      <c r="A368" s="60"/>
      <c r="B368" s="61"/>
      <c r="D368"/>
      <c r="E368"/>
      <c r="F368"/>
      <c r="G368"/>
      <c r="H368"/>
      <c r="I368"/>
    </row>
    <row r="369" spans="1:10">
      <c r="A369" s="60"/>
      <c r="B369" s="61"/>
      <c r="D369"/>
      <c r="E369"/>
      <c r="F369"/>
      <c r="G369"/>
      <c r="H369"/>
      <c r="I369"/>
    </row>
    <row r="370" spans="1:10">
      <c r="A370" s="60"/>
      <c r="B370" s="61"/>
    </row>
    <row r="371" spans="1:10" ht="27.75">
      <c r="A371" s="70"/>
      <c r="B371" s="71"/>
      <c r="C371" s="72"/>
      <c r="D371" s="67" t="s">
        <v>193</v>
      </c>
      <c r="E371" s="67"/>
      <c r="F371" s="67"/>
      <c r="I371" s="68"/>
    </row>
    <row r="372" spans="1:10" ht="45" customHeight="1">
      <c r="A372" s="70"/>
      <c r="B372" s="71"/>
      <c r="C372" s="77"/>
      <c r="D372" s="87" t="s">
        <v>0</v>
      </c>
      <c r="E372" s="88" t="s">
        <v>1</v>
      </c>
      <c r="F372" s="177" t="s">
        <v>448</v>
      </c>
      <c r="G372" s="178"/>
      <c r="H372" s="179"/>
      <c r="I372" s="89" t="s">
        <v>251</v>
      </c>
    </row>
    <row r="373" spans="1:10" ht="25.5" customHeight="1">
      <c r="A373" s="60"/>
      <c r="B373" s="61"/>
      <c r="D373" s="84">
        <v>1</v>
      </c>
      <c r="E373" s="84" t="str">
        <f>INDEX('حذف از تولید و لیست اصلی'!B:B,MATCH('کاتالوگ مبلمان'!J373,'حذف از تولید و لیست اصلی'!I:I,0))</f>
        <v>2110060300</v>
      </c>
      <c r="F373" s="180" t="str">
        <f>INDEX('حذف از تولید و لیست اصلی'!C:C,MATCH('کاتالوگ مبلمان'!J373,'حذف از تولید و لیست اصلی'!I:I,0))</f>
        <v xml:space="preserve">   کاناپه سه نفره چستر ( 2عدد کوسن )</v>
      </c>
      <c r="G373" s="181"/>
      <c r="H373" s="182"/>
      <c r="I373" s="85">
        <f>INDEX('حذف از تولید و لیست اصلی'!E:E,MATCH('کاتالوگ مبلمان'!J373,'حذف از تولید و لیست اصلی'!I:I,0))</f>
        <v>2588000000</v>
      </c>
      <c r="J373" s="64">
        <v>79</v>
      </c>
    </row>
    <row r="374" spans="1:10" ht="25.5" customHeight="1">
      <c r="A374" s="60"/>
      <c r="B374" s="61"/>
      <c r="C374" s="78"/>
      <c r="D374" s="86">
        <v>2</v>
      </c>
      <c r="E374" s="84" t="str">
        <f>INDEX('حذف از تولید و لیست اصلی'!B:B,MATCH('کاتالوگ مبلمان'!J374,'حذف از تولید و لیست اصلی'!I:I,0))</f>
        <v>2110060200</v>
      </c>
      <c r="F374" s="180" t="str">
        <f>INDEX('حذف از تولید و لیست اصلی'!C:C,MATCH('کاتالوگ مبلمان'!J374,'حذف از تولید و لیست اصلی'!I:I,0))</f>
        <v xml:space="preserve">  کاناپه دو نفره چستر ( 2 عدد کوسن )</v>
      </c>
      <c r="G374" s="181"/>
      <c r="H374" s="182"/>
      <c r="I374" s="85">
        <f>INDEX('حذف از تولید و لیست اصلی'!E:E,MATCH('کاتالوگ مبلمان'!J374,'حذف از تولید و لیست اصلی'!I:I,0))</f>
        <v>1929000000</v>
      </c>
      <c r="J374" s="64">
        <v>80</v>
      </c>
    </row>
    <row r="375" spans="1:10" ht="25.5" customHeight="1">
      <c r="A375" s="60"/>
      <c r="B375" s="61"/>
      <c r="D375" s="86">
        <v>3</v>
      </c>
      <c r="E375" s="84" t="str">
        <f>INDEX('حذف از تولید و لیست اصلی'!B:B,MATCH('کاتالوگ مبلمان'!J375,'حذف از تولید و لیست اصلی'!I:I,0))</f>
        <v>2110060700</v>
      </c>
      <c r="F375" s="180" t="str">
        <f>INDEX('حذف از تولید و لیست اصلی'!C:C,MATCH('کاتالوگ مبلمان'!J375,'حذف از تولید و لیست اصلی'!I:I,0))</f>
        <v>مبل یک نفره چستر پشت کوتاه (بدون کوسن)</v>
      </c>
      <c r="G375" s="181"/>
      <c r="H375" s="182"/>
      <c r="I375" s="85">
        <f>INDEX('حذف از تولید و لیست اصلی'!E:E,MATCH('کاتالوگ مبلمان'!J375,'حذف از تولید و لیست اصلی'!I:I,0))</f>
        <v>1518000000</v>
      </c>
      <c r="J375" s="64">
        <v>81</v>
      </c>
    </row>
    <row r="376" spans="1:10" ht="48.75" customHeight="1">
      <c r="A376" s="60"/>
      <c r="B376" s="61"/>
      <c r="D376" s="86">
        <v>4</v>
      </c>
      <c r="E376" s="84" t="str">
        <f>INDEX('حذف از تولید و لیست اصلی'!B:B,MATCH('کاتالوگ مبلمان'!J376,'حذف از تولید و لیست اصلی'!I:I,0))</f>
        <v>-</v>
      </c>
      <c r="F376" s="180" t="str">
        <f>INDEX('حذف از تولید و لیست اصلی'!C:C,MATCH('کاتالوگ مبلمان'!J376,'حذف از تولید و لیست اصلی'!I:I,0))</f>
        <v xml:space="preserve">  متراژ پارچه سه نفره  (فریم 10 متر + تشک 4 متر + کوسن 1 متر )</v>
      </c>
      <c r="G376" s="181"/>
      <c r="H376" s="182"/>
      <c r="I376" s="85" t="str">
        <f>INDEX('حذف از تولید و لیست اصلی'!E:E,MATCH('کاتالوگ مبلمان'!J376,'حذف از تولید و لیست اصلی'!I:I,0))</f>
        <v>15متر</v>
      </c>
      <c r="J376" s="64">
        <v>82</v>
      </c>
    </row>
    <row r="377" spans="1:10" ht="48.75" customHeight="1">
      <c r="A377" s="60"/>
      <c r="B377" s="61"/>
      <c r="D377" s="86">
        <v>5</v>
      </c>
      <c r="E377" s="84" t="str">
        <f>INDEX('حذف از تولید و لیست اصلی'!B:B,MATCH('کاتالوگ مبلمان'!J377,'حذف از تولید و لیست اصلی'!I:I,0))</f>
        <v>-</v>
      </c>
      <c r="F377" s="180" t="str">
        <f>INDEX('حذف از تولید و لیست اصلی'!C:C,MATCH('کاتالوگ مبلمان'!J377,'حذف از تولید و لیست اصلی'!I:I,0))</f>
        <v xml:space="preserve">  متراژ پارچه دو نفره  ( فریم 7 متر + تشک 3 متر + کوسن 1 متر )</v>
      </c>
      <c r="G377" s="181"/>
      <c r="H377" s="182"/>
      <c r="I377" s="85" t="str">
        <f>INDEX('حذف از تولید و لیست اصلی'!E:E,MATCH('کاتالوگ مبلمان'!J377,'حذف از تولید و لیست اصلی'!I:I,0))</f>
        <v>11متر</v>
      </c>
      <c r="J377" s="64">
        <v>83</v>
      </c>
    </row>
    <row r="378" spans="1:10" ht="48.75" customHeight="1">
      <c r="A378" s="60"/>
      <c r="B378" s="61"/>
      <c r="D378" s="86">
        <v>6</v>
      </c>
      <c r="E378" s="84" t="str">
        <f>INDEX('حذف از تولید و لیست اصلی'!B:B,MATCH('کاتالوگ مبلمان'!J378,'حذف از تولید و لیست اصلی'!I:I,0))</f>
        <v>-</v>
      </c>
      <c r="F378" s="180" t="str">
        <f>INDEX('حذف از تولید و لیست اصلی'!C:C,MATCH('کاتالوگ مبلمان'!J378,'حذف از تولید و لیست اصلی'!I:I,0))</f>
        <v xml:space="preserve">  متراژ پارچه یک نفره  ( فریم 6/5 متر + تشک 1/5 متر   )</v>
      </c>
      <c r="G378" s="181"/>
      <c r="H378" s="182"/>
      <c r="I378" s="85" t="str">
        <f>INDEX('حذف از تولید و لیست اصلی'!E:E,MATCH('کاتالوگ مبلمان'!J378,'حذف از تولید و لیست اصلی'!I:I,0))</f>
        <v>8متر</v>
      </c>
      <c r="J378" s="64">
        <v>84</v>
      </c>
    </row>
    <row r="379" spans="1:10">
      <c r="A379" s="60"/>
      <c r="B379" s="61"/>
      <c r="D379"/>
      <c r="E379"/>
      <c r="F379"/>
      <c r="G379"/>
      <c r="H379"/>
      <c r="I379"/>
    </row>
    <row r="380" spans="1:10">
      <c r="A380" s="60"/>
      <c r="B380" s="61"/>
      <c r="D380"/>
      <c r="E380"/>
      <c r="F380"/>
      <c r="G380"/>
      <c r="H380"/>
      <c r="I380" s="28">
        <v>13</v>
      </c>
    </row>
    <row r="381" spans="1:10" ht="22.5" customHeight="1">
      <c r="A381" s="70"/>
      <c r="B381" s="71"/>
      <c r="C381" s="183"/>
      <c r="D381" s="184"/>
      <c r="E381" s="184"/>
      <c r="F381" s="184"/>
      <c r="G381" s="184"/>
      <c r="H381" s="184"/>
      <c r="I381" s="184"/>
    </row>
    <row r="382" spans="1:10" ht="22.5" customHeight="1">
      <c r="A382" s="70"/>
      <c r="B382" s="71"/>
      <c r="C382" s="183"/>
      <c r="D382" s="184"/>
      <c r="E382" s="184"/>
      <c r="F382" s="184"/>
      <c r="G382" s="184"/>
      <c r="H382" s="184"/>
      <c r="I382" s="184"/>
    </row>
    <row r="383" spans="1:10" ht="27.75">
      <c r="A383" s="70"/>
      <c r="B383" s="71"/>
      <c r="C383" s="72"/>
      <c r="D383" s="67" t="s">
        <v>153</v>
      </c>
      <c r="E383" s="67"/>
      <c r="F383" s="67"/>
      <c r="I383" s="68" t="str">
        <f>$M$1</f>
        <v>1405/02/01</v>
      </c>
    </row>
    <row r="384" spans="1:10" ht="45" customHeight="1">
      <c r="A384" s="70"/>
      <c r="B384" s="71"/>
      <c r="C384" s="77"/>
      <c r="D384" s="87" t="s">
        <v>0</v>
      </c>
      <c r="E384" s="88" t="s">
        <v>1</v>
      </c>
      <c r="F384" s="177" t="s">
        <v>448</v>
      </c>
      <c r="G384" s="178"/>
      <c r="H384" s="179"/>
      <c r="I384" s="89" t="s">
        <v>251</v>
      </c>
    </row>
    <row r="385" spans="1:10" ht="55.5" customHeight="1">
      <c r="A385" s="60"/>
      <c r="B385" s="61"/>
      <c r="D385" s="84">
        <v>1</v>
      </c>
      <c r="E385" s="84" t="str">
        <f>INDEX('حذف از تولید و لیست اصلی'!B:B,MATCH('کاتالوگ مبلمان'!J385,'حذف از تولید و لیست اصلی'!I:I,0))</f>
        <v>2110080300</v>
      </c>
      <c r="F385" s="180" t="str">
        <f>INDEX('حذف از تولید و لیست اصلی'!C:C,MATCH('کاتالوگ مبلمان'!J385,'حذف از تولید و لیست اصلی'!I:I,0))</f>
        <v xml:space="preserve">  کاناپه سه نفره ماپا (5 عدد کوسن )</v>
      </c>
      <c r="G385" s="181"/>
      <c r="H385" s="182"/>
      <c r="I385" s="85">
        <f>INDEX('حذف از تولید و لیست اصلی'!E:E,MATCH('کاتالوگ مبلمان'!J385,'حذف از تولید و لیست اصلی'!I:I,0))</f>
        <v>1637000000</v>
      </c>
      <c r="J385" s="64">
        <v>85</v>
      </c>
    </row>
    <row r="386" spans="1:10" ht="55.5" customHeight="1">
      <c r="A386" s="60"/>
      <c r="B386" s="61"/>
      <c r="C386" s="78"/>
      <c r="D386" s="86">
        <v>2</v>
      </c>
      <c r="E386" s="84" t="str">
        <f>INDEX('حذف از تولید و لیست اصلی'!B:B,MATCH('کاتالوگ مبلمان'!J386,'حذف از تولید و لیست اصلی'!I:I,0))</f>
        <v>2110080200</v>
      </c>
      <c r="F386" s="180" t="str">
        <f>INDEX('حذف از تولید و لیست اصلی'!C:C,MATCH('کاتالوگ مبلمان'!J386,'حذف از تولید و لیست اصلی'!I:I,0))</f>
        <v xml:space="preserve">  کاناپه دو نفره ماپا ( 4 عدد کوسن )</v>
      </c>
      <c r="G386" s="181"/>
      <c r="H386" s="182"/>
      <c r="I386" s="85">
        <f>INDEX('حذف از تولید و لیست اصلی'!E:E,MATCH('کاتالوگ مبلمان'!J386,'حذف از تولید و لیست اصلی'!I:I,0))</f>
        <v>1247000000</v>
      </c>
      <c r="J386" s="64">
        <v>86</v>
      </c>
    </row>
    <row r="387" spans="1:10" ht="55.5" customHeight="1">
      <c r="A387" s="60"/>
      <c r="B387" s="61"/>
      <c r="D387" s="86">
        <v>3</v>
      </c>
      <c r="E387" s="84" t="str">
        <f>INDEX('حذف از تولید و لیست اصلی'!B:B,MATCH('کاتالوگ مبلمان'!J387,'حذف از تولید و لیست اصلی'!I:I,0))</f>
        <v>2110080100</v>
      </c>
      <c r="F387" s="180" t="str">
        <f>INDEX('حذف از تولید و لیست اصلی'!C:C,MATCH('کاتالوگ مبلمان'!J387,'حذف از تولید و لیست اصلی'!I:I,0))</f>
        <v xml:space="preserve">  مبل یک نفره ماپا ( 1 عدد کوسن )</v>
      </c>
      <c r="G387" s="181"/>
      <c r="H387" s="182"/>
      <c r="I387" s="85">
        <f>INDEX('حذف از تولید و لیست اصلی'!E:E,MATCH('کاتالوگ مبلمان'!J387,'حذف از تولید و لیست اصلی'!I:I,0))</f>
        <v>813000000</v>
      </c>
      <c r="J387" s="64">
        <v>87</v>
      </c>
    </row>
    <row r="388" spans="1:10" ht="55.5" customHeight="1">
      <c r="A388" s="60"/>
      <c r="B388" s="61"/>
      <c r="D388" s="86">
        <v>4</v>
      </c>
      <c r="E388" s="84">
        <f>INDEX('حذف از تولید و لیست اصلی'!B:B,MATCH('کاتالوگ مبلمان'!J388,'حذف از تولید و لیست اصلی'!I:I,0))</f>
        <v>2110080500</v>
      </c>
      <c r="F388" s="180" t="str">
        <f>INDEX('حذف از تولید و لیست اصلی'!C:C,MATCH('کاتالوگ مبلمان'!J388,'حذف از تولید و لیست اصلی'!I:I,0))</f>
        <v>میز جلومبلی مستطیل ماپا</v>
      </c>
      <c r="G388" s="181"/>
      <c r="H388" s="182"/>
      <c r="I388" s="85">
        <f>INDEX('حذف از تولید و لیست اصلی'!E:E,MATCH('کاتالوگ مبلمان'!J388,'حذف از تولید و لیست اصلی'!I:I,0))</f>
        <v>396000000</v>
      </c>
      <c r="J388" s="64">
        <v>88</v>
      </c>
    </row>
    <row r="389" spans="1:10" ht="55.5" customHeight="1">
      <c r="A389" s="60"/>
      <c r="B389" s="61"/>
      <c r="D389" s="86">
        <v>5</v>
      </c>
      <c r="E389" s="84">
        <f>INDEX('حذف از تولید و لیست اصلی'!B:B,MATCH('کاتالوگ مبلمان'!J389,'حذف از تولید و لیست اصلی'!I:I,0))</f>
        <v>2110080600</v>
      </c>
      <c r="F389" s="180" t="str">
        <f>INDEX('حذف از تولید و لیست اصلی'!C:C,MATCH('کاتالوگ مبلمان'!J389,'حذف از تولید و لیست اصلی'!I:I,0))</f>
        <v>میز کنارمبلی ماپا</v>
      </c>
      <c r="G389" s="181"/>
      <c r="H389" s="182"/>
      <c r="I389" s="85">
        <f>INDEX('حذف از تولید و لیست اصلی'!E:E,MATCH('کاتالوگ مبلمان'!J389,'حذف از تولید و لیست اصلی'!I:I,0))</f>
        <v>286000000</v>
      </c>
      <c r="J389" s="64">
        <v>89</v>
      </c>
    </row>
    <row r="390" spans="1:10" ht="55.5" customHeight="1">
      <c r="A390" s="60"/>
      <c r="B390" s="61"/>
      <c r="D390" s="86">
        <v>6</v>
      </c>
      <c r="E390" s="84" t="str">
        <f>INDEX('حذف از تولید و لیست اصلی'!B:B,MATCH('کاتالوگ مبلمان'!J390,'حذف از تولید و لیست اصلی'!I:I,0))</f>
        <v>-</v>
      </c>
      <c r="F390" s="180" t="str">
        <f>INDEX('حذف از تولید و لیست اصلی'!C:C,MATCH('کاتالوگ مبلمان'!J390,'حذف از تولید و لیست اصلی'!I:I,0))</f>
        <v xml:space="preserve">  متراژ پارچه هفت نفره ( فریم 25 + تشک 6/5 + کوسن 3/5 متر )</v>
      </c>
      <c r="G390" s="181"/>
      <c r="H390" s="182"/>
      <c r="I390" s="85" t="str">
        <f>INDEX('حذف از تولید و لیست اصلی'!E:E,MATCH('کاتالوگ مبلمان'!J390,'حذف از تولید و لیست اصلی'!I:I,0))</f>
        <v>35متر</v>
      </c>
      <c r="J390" s="64">
        <v>90</v>
      </c>
    </row>
    <row r="391" spans="1:10" ht="55.5" customHeight="1">
      <c r="A391" s="60"/>
      <c r="B391" s="61"/>
      <c r="D391" s="86">
        <v>7</v>
      </c>
      <c r="E391" s="84" t="str">
        <f>INDEX('حذف از تولید و لیست اصلی'!B:B,MATCH('کاتالوگ مبلمان'!J391,'حذف از تولید و لیست اصلی'!I:I,0))</f>
        <v>-</v>
      </c>
      <c r="F391" s="180" t="str">
        <f>INDEX('حذف از تولید و لیست اصلی'!C:C,MATCH('کاتالوگ مبلمان'!J391,'حذف از تولید و لیست اصلی'!I:I,0))</f>
        <v xml:space="preserve">  متراژ پارچه سه نفره   ( فریم 9 + تشک 3 + کوسن 2 متر )</v>
      </c>
      <c r="G391" s="181"/>
      <c r="H391" s="182"/>
      <c r="I391" s="85" t="str">
        <f>INDEX('حذف از تولید و لیست اصلی'!E:E,MATCH('کاتالوگ مبلمان'!J391,'حذف از تولید و لیست اصلی'!I:I,0))</f>
        <v>14متر</v>
      </c>
      <c r="J391" s="64">
        <v>91</v>
      </c>
    </row>
    <row r="392" spans="1:10" ht="55.5" customHeight="1">
      <c r="A392" s="60"/>
      <c r="B392" s="61"/>
      <c r="D392" s="86">
        <v>8</v>
      </c>
      <c r="E392" s="84" t="str">
        <f>INDEX('حذف از تولید و لیست اصلی'!B:B,MATCH('کاتالوگ مبلمان'!J392,'حذف از تولید و لیست اصلی'!I:I,0))</f>
        <v>-</v>
      </c>
      <c r="F392" s="180" t="str">
        <f>INDEX('حذف از تولید و لیست اصلی'!C:C,MATCH('کاتالوگ مبلمان'!J392,'حذف از تولید و لیست اصلی'!I:I,0))</f>
        <v xml:space="preserve">  متراژ پارچه دو نفره    ( فریم 7 + تشک 2 + کوسن 2 متر )</v>
      </c>
      <c r="G392" s="181"/>
      <c r="H392" s="182"/>
      <c r="I392" s="85" t="str">
        <f>INDEX('حذف از تولید و لیست اصلی'!E:E,MATCH('کاتالوگ مبلمان'!J392,'حذف از تولید و لیست اصلی'!I:I,0))</f>
        <v>11متر</v>
      </c>
      <c r="J392" s="64">
        <v>92</v>
      </c>
    </row>
    <row r="393" spans="1:10" ht="55.5" customHeight="1">
      <c r="A393" s="60"/>
      <c r="B393" s="61"/>
      <c r="D393" s="86">
        <v>9</v>
      </c>
      <c r="E393" s="84" t="str">
        <f>INDEX('حذف از تولید و لیست اصلی'!B:B,MATCH('کاتالوگ مبلمان'!J393,'حذف از تولید و لیست اصلی'!I:I,0))</f>
        <v>-</v>
      </c>
      <c r="F393" s="180" t="str">
        <f>INDEX('حذف از تولید و لیست اصلی'!C:C,MATCH('کاتالوگ مبلمان'!J393,'حذف از تولید و لیست اصلی'!I:I,0))</f>
        <v xml:space="preserve">  متراژ پارچه یک نفره   ( فریم 4/4 + تشک 1/4 + کوسن 0/7 متر )</v>
      </c>
      <c r="G393" s="181"/>
      <c r="H393" s="182"/>
      <c r="I393" s="85" t="str">
        <f>INDEX('حذف از تولید و لیست اصلی'!E:E,MATCH('کاتالوگ مبلمان'!J393,'حذف از تولید و لیست اصلی'!I:I,0))</f>
        <v>6/5متر</v>
      </c>
      <c r="J393" s="64">
        <v>93</v>
      </c>
    </row>
    <row r="394" spans="1:10">
      <c r="A394" s="60"/>
      <c r="B394" s="61"/>
      <c r="G394" s="64"/>
      <c r="H394" s="64"/>
      <c r="I394" s="64"/>
    </row>
    <row r="395" spans="1:10">
      <c r="A395" s="60"/>
      <c r="B395" s="61"/>
      <c r="G395" s="64"/>
      <c r="H395" s="64"/>
      <c r="I395" s="64"/>
    </row>
    <row r="396" spans="1:10">
      <c r="A396" s="60"/>
      <c r="B396" s="61"/>
      <c r="G396" s="64"/>
      <c r="H396" s="64"/>
      <c r="I396" s="64"/>
    </row>
    <row r="397" spans="1:10">
      <c r="A397" s="60"/>
      <c r="B397" s="61"/>
      <c r="G397" s="64"/>
      <c r="H397" s="64"/>
      <c r="I397" s="64"/>
    </row>
    <row r="398" spans="1:10">
      <c r="A398" s="60"/>
      <c r="B398" s="61"/>
      <c r="G398" s="64"/>
      <c r="H398" s="64"/>
      <c r="I398" s="76">
        <v>14</v>
      </c>
    </row>
    <row r="399" spans="1:10" ht="22.5" customHeight="1">
      <c r="A399" s="70"/>
      <c r="B399" s="71"/>
      <c r="C399" s="183"/>
      <c r="D399" s="184"/>
      <c r="E399" s="184"/>
      <c r="F399" s="184"/>
      <c r="G399" s="184"/>
      <c r="H399" s="184"/>
      <c r="I399" s="184"/>
    </row>
    <row r="400" spans="1:10" ht="22.5" customHeight="1">
      <c r="A400" s="70"/>
      <c r="B400" s="71"/>
      <c r="C400" s="183"/>
      <c r="D400" s="184"/>
      <c r="E400" s="184"/>
      <c r="F400" s="184"/>
      <c r="G400" s="184"/>
      <c r="H400" s="184"/>
      <c r="I400" s="184"/>
    </row>
    <row r="401" spans="1:10" ht="27.75">
      <c r="A401" s="70"/>
      <c r="B401" s="71"/>
      <c r="C401" s="72"/>
      <c r="D401" s="67" t="s">
        <v>157</v>
      </c>
      <c r="E401" s="67"/>
      <c r="F401" s="67"/>
      <c r="I401" s="68" t="str">
        <f>$M$1</f>
        <v>1405/02/01</v>
      </c>
    </row>
    <row r="402" spans="1:10" ht="45" customHeight="1">
      <c r="A402" s="70"/>
      <c r="B402" s="71"/>
      <c r="C402" s="77"/>
      <c r="D402" s="87" t="s">
        <v>0</v>
      </c>
      <c r="E402" s="88" t="s">
        <v>1</v>
      </c>
      <c r="F402" s="177" t="s">
        <v>448</v>
      </c>
      <c r="G402" s="178"/>
      <c r="H402" s="179"/>
      <c r="I402" s="89" t="s">
        <v>251</v>
      </c>
    </row>
    <row r="403" spans="1:10" ht="54.75" customHeight="1">
      <c r="A403" s="60"/>
      <c r="B403" s="61"/>
      <c r="D403" s="84">
        <v>1</v>
      </c>
      <c r="E403" s="84" t="str">
        <f>INDEX('حذف از تولید و لیست اصلی'!B:B,MATCH('کاتالوگ مبلمان'!J403,'حذف از تولید و لیست اصلی'!I:I,0))</f>
        <v>2110080300</v>
      </c>
      <c r="F403" s="180" t="str">
        <f>INDEX('حذف از تولید و لیست اصلی'!C:C,MATCH('کاتالوگ مبلمان'!J403,'حذف از تولید و لیست اصلی'!I:I,0))</f>
        <v xml:space="preserve">  کاناپه سه نفره ماپا (5 عدد کوسن )</v>
      </c>
      <c r="G403" s="181"/>
      <c r="H403" s="182"/>
      <c r="I403" s="85">
        <f>INDEX('حذف از تولید و لیست اصلی'!E:E,MATCH('کاتالوگ مبلمان'!J403,'حذف از تولید و لیست اصلی'!I:I,0))</f>
        <v>1217000000</v>
      </c>
      <c r="J403" s="64">
        <v>94</v>
      </c>
    </row>
    <row r="404" spans="1:10" ht="54.75" customHeight="1">
      <c r="A404" s="60"/>
      <c r="B404" s="61"/>
      <c r="C404" s="78"/>
      <c r="D404" s="86">
        <v>2</v>
      </c>
      <c r="E404" s="84" t="str">
        <f>INDEX('حذف از تولید و لیست اصلی'!B:B,MATCH('کاتالوگ مبلمان'!J404,'حذف از تولید و لیست اصلی'!I:I,0))</f>
        <v>2110080200</v>
      </c>
      <c r="F404" s="180" t="str">
        <f>INDEX('حذف از تولید و لیست اصلی'!C:C,MATCH('کاتالوگ مبلمان'!J404,'حذف از تولید و لیست اصلی'!I:I,0))</f>
        <v xml:space="preserve">  کاناپه دو نفره ماپا ( 4 عدد کوسن )</v>
      </c>
      <c r="G404" s="181"/>
      <c r="H404" s="182"/>
      <c r="I404" s="85">
        <f>INDEX('حذف از تولید و لیست اصلی'!E:E,MATCH('کاتالوگ مبلمان'!J404,'حذف از تولید و لیست اصلی'!I:I,0))</f>
        <v>917000000</v>
      </c>
      <c r="J404" s="64">
        <v>95</v>
      </c>
    </row>
    <row r="405" spans="1:10" ht="54.75" customHeight="1">
      <c r="A405" s="60"/>
      <c r="B405" s="61"/>
      <c r="D405" s="86">
        <v>3</v>
      </c>
      <c r="E405" s="84" t="str">
        <f>INDEX('حذف از تولید و لیست اصلی'!B:B,MATCH('کاتالوگ مبلمان'!J405,'حذف از تولید و لیست اصلی'!I:I,0))</f>
        <v>2110080100</v>
      </c>
      <c r="F405" s="180" t="str">
        <f>INDEX('حذف از تولید و لیست اصلی'!C:C,MATCH('کاتالوگ مبلمان'!J405,'حذف از تولید و لیست اصلی'!I:I,0))</f>
        <v xml:space="preserve">  مبل یک نفره ماپا ( 1 عدد کوسن )</v>
      </c>
      <c r="G405" s="181"/>
      <c r="H405" s="182"/>
      <c r="I405" s="85">
        <f>INDEX('حذف از تولید و لیست اصلی'!E:E,MATCH('کاتالوگ مبلمان'!J405,'حذف از تولید و لیست اصلی'!I:I,0))</f>
        <v>618000000</v>
      </c>
      <c r="J405" s="64">
        <v>96</v>
      </c>
    </row>
    <row r="406" spans="1:10" ht="54.75" customHeight="1">
      <c r="A406" s="60"/>
      <c r="B406" s="61"/>
      <c r="D406" s="86">
        <v>4</v>
      </c>
      <c r="E406" s="84">
        <f>INDEX('حذف از تولید و لیست اصلی'!B:B,MATCH('کاتالوگ مبلمان'!J406,'حذف از تولید و لیست اصلی'!I:I,0))</f>
        <v>2110080500</v>
      </c>
      <c r="F406" s="180" t="str">
        <f>INDEX('حذف از تولید و لیست اصلی'!C:C,MATCH('کاتالوگ مبلمان'!J406,'حذف از تولید و لیست اصلی'!I:I,0))</f>
        <v>میز جلومبلی مستطیل ماپا</v>
      </c>
      <c r="G406" s="181"/>
      <c r="H406" s="182"/>
      <c r="I406" s="85">
        <f>INDEX('حذف از تولید و لیست اصلی'!E:E,MATCH('کاتالوگ مبلمان'!J406,'حذف از تولید و لیست اصلی'!I:I,0))</f>
        <v>396000000</v>
      </c>
      <c r="J406" s="64">
        <v>97</v>
      </c>
    </row>
    <row r="407" spans="1:10" ht="54.75" customHeight="1">
      <c r="A407" s="60"/>
      <c r="B407" s="61"/>
      <c r="D407" s="86">
        <v>5</v>
      </c>
      <c r="E407" s="84">
        <f>INDEX('حذف از تولید و لیست اصلی'!B:B,MATCH('کاتالوگ مبلمان'!J407,'حذف از تولید و لیست اصلی'!I:I,0))</f>
        <v>2110080600</v>
      </c>
      <c r="F407" s="180" t="str">
        <f>INDEX('حذف از تولید و لیست اصلی'!C:C,MATCH('کاتالوگ مبلمان'!J407,'حذف از تولید و لیست اصلی'!I:I,0))</f>
        <v>میز کنارمبلی ماپا</v>
      </c>
      <c r="G407" s="181"/>
      <c r="H407" s="182"/>
      <c r="I407" s="85">
        <f>INDEX('حذف از تولید و لیست اصلی'!E:E,MATCH('کاتالوگ مبلمان'!J407,'حذف از تولید و لیست اصلی'!I:I,0))</f>
        <v>286000000</v>
      </c>
      <c r="J407" s="64">
        <v>98</v>
      </c>
    </row>
    <row r="408" spans="1:10" ht="54.75" customHeight="1">
      <c r="A408" s="60"/>
      <c r="B408" s="61"/>
      <c r="D408" s="86">
        <v>6</v>
      </c>
      <c r="E408" s="84" t="str">
        <f>INDEX('حذف از تولید و لیست اصلی'!B:B,MATCH('کاتالوگ مبلمان'!J408,'حذف از تولید و لیست اصلی'!I:I,0))</f>
        <v>-</v>
      </c>
      <c r="F408" s="180" t="str">
        <f>INDEX('حذف از تولید و لیست اصلی'!C:C,MATCH('کاتالوگ مبلمان'!J408,'حذف از تولید و لیست اصلی'!I:I,0))</f>
        <v xml:space="preserve">  متراژ پارچه هفت نفره ( فریم 25 + تشک 6/5 + کوسن 3/5 متر )</v>
      </c>
      <c r="G408" s="181"/>
      <c r="H408" s="182"/>
      <c r="I408" s="85" t="str">
        <f>INDEX('حذف از تولید و لیست اصلی'!E:E,MATCH('کاتالوگ مبلمان'!J408,'حذف از تولید و لیست اصلی'!I:I,0))</f>
        <v>35متر</v>
      </c>
      <c r="J408" s="64">
        <v>99</v>
      </c>
    </row>
    <row r="409" spans="1:10" ht="54.75" customHeight="1">
      <c r="A409" s="60"/>
      <c r="B409" s="61"/>
      <c r="D409" s="86">
        <v>7</v>
      </c>
      <c r="E409" s="84" t="str">
        <f>INDEX('حذف از تولید و لیست اصلی'!B:B,MATCH('کاتالوگ مبلمان'!J409,'حذف از تولید و لیست اصلی'!I:I,0))</f>
        <v>-</v>
      </c>
      <c r="F409" s="180" t="str">
        <f>INDEX('حذف از تولید و لیست اصلی'!C:C,MATCH('کاتالوگ مبلمان'!J409,'حذف از تولید و لیست اصلی'!I:I,0))</f>
        <v xml:space="preserve">  متراژ پارچه سه نفره   ( فریم 9 + تشک 3 + کوسن 2 متر )</v>
      </c>
      <c r="G409" s="181"/>
      <c r="H409" s="182"/>
      <c r="I409" s="85" t="str">
        <f>INDEX('حذف از تولید و لیست اصلی'!E:E,MATCH('کاتالوگ مبلمان'!J409,'حذف از تولید و لیست اصلی'!I:I,0))</f>
        <v>14متر</v>
      </c>
      <c r="J409" s="64">
        <v>100</v>
      </c>
    </row>
    <row r="410" spans="1:10" ht="54.75" customHeight="1">
      <c r="A410" s="60"/>
      <c r="B410" s="61"/>
      <c r="D410" s="86">
        <v>8</v>
      </c>
      <c r="E410" s="84" t="str">
        <f>INDEX('حذف از تولید و لیست اصلی'!B:B,MATCH('کاتالوگ مبلمان'!J410,'حذف از تولید و لیست اصلی'!I:I,0))</f>
        <v>-</v>
      </c>
      <c r="F410" s="180" t="str">
        <f>INDEX('حذف از تولید و لیست اصلی'!C:C,MATCH('کاتالوگ مبلمان'!J410,'حذف از تولید و لیست اصلی'!I:I,0))</f>
        <v xml:space="preserve">  متراژ پارچه دو نفره    ( فریم 7 + تشک 2 + کوسن 2 متر )</v>
      </c>
      <c r="G410" s="181"/>
      <c r="H410" s="182"/>
      <c r="I410" s="85" t="str">
        <f>INDEX('حذف از تولید و لیست اصلی'!E:E,MATCH('کاتالوگ مبلمان'!J410,'حذف از تولید و لیست اصلی'!I:I,0))</f>
        <v>11متر</v>
      </c>
      <c r="J410" s="64">
        <v>101</v>
      </c>
    </row>
    <row r="411" spans="1:10" ht="54.75" customHeight="1">
      <c r="A411" s="60"/>
      <c r="B411" s="61"/>
      <c r="D411" s="86">
        <v>9</v>
      </c>
      <c r="E411" s="84" t="str">
        <f>INDEX('حذف از تولید و لیست اصلی'!B:B,MATCH('کاتالوگ مبلمان'!J411,'حذف از تولید و لیست اصلی'!I:I,0))</f>
        <v>-</v>
      </c>
      <c r="F411" s="180" t="str">
        <f>INDEX('حذف از تولید و لیست اصلی'!C:C,MATCH('کاتالوگ مبلمان'!J411,'حذف از تولید و لیست اصلی'!I:I,0))</f>
        <v xml:space="preserve">  متراژ پارچه یک نفره   ( فریم 4/4 + تشک 1/4 + کوسن 0/7 متر )</v>
      </c>
      <c r="G411" s="181"/>
      <c r="H411" s="182"/>
      <c r="I411" s="85" t="str">
        <f>INDEX('حذف از تولید و لیست اصلی'!E:E,MATCH('کاتالوگ مبلمان'!J411,'حذف از تولید و لیست اصلی'!I:I,0))</f>
        <v>6/5متر</v>
      </c>
      <c r="J411" s="64">
        <v>102</v>
      </c>
    </row>
    <row r="412" spans="1:10">
      <c r="A412" s="60"/>
      <c r="B412" s="61"/>
      <c r="G412" s="64"/>
      <c r="H412" s="64"/>
      <c r="I412" s="64"/>
    </row>
    <row r="413" spans="1:10">
      <c r="A413" s="60"/>
      <c r="B413" s="61"/>
      <c r="G413" s="64"/>
      <c r="H413" s="64"/>
      <c r="I413" s="64"/>
    </row>
    <row r="414" spans="1:10">
      <c r="A414" s="60"/>
      <c r="B414" s="61"/>
      <c r="G414" s="64"/>
      <c r="H414" s="64"/>
      <c r="I414" s="64"/>
    </row>
    <row r="415" spans="1:10">
      <c r="A415" s="60"/>
      <c r="B415" s="61"/>
      <c r="G415" s="64"/>
      <c r="H415" s="64"/>
      <c r="I415" s="64"/>
    </row>
    <row r="416" spans="1:10">
      <c r="A416" s="60"/>
      <c r="B416" s="61"/>
      <c r="G416" s="64"/>
      <c r="H416" s="64"/>
      <c r="I416" s="64"/>
    </row>
    <row r="417" spans="1:10">
      <c r="A417" s="60"/>
      <c r="B417" s="61"/>
      <c r="I417" s="28">
        <v>15</v>
      </c>
    </row>
    <row r="418" spans="1:10" ht="22.5" customHeight="1">
      <c r="A418" s="70"/>
      <c r="B418" s="71"/>
      <c r="C418" s="183"/>
      <c r="D418" s="184"/>
      <c r="E418" s="184"/>
      <c r="F418" s="184"/>
      <c r="G418" s="184"/>
      <c r="H418" s="184"/>
      <c r="I418" s="184"/>
    </row>
    <row r="419" spans="1:10" ht="22.5" customHeight="1">
      <c r="A419" s="70"/>
      <c r="B419" s="71"/>
      <c r="C419" s="183"/>
      <c r="D419" s="184"/>
      <c r="E419" s="184"/>
      <c r="F419" s="184"/>
      <c r="G419" s="184"/>
      <c r="H419" s="184"/>
      <c r="I419" s="184"/>
    </row>
    <row r="420" spans="1:10" ht="27.75">
      <c r="A420" s="70"/>
      <c r="B420" s="71"/>
      <c r="C420" s="72"/>
      <c r="D420" s="67" t="s">
        <v>296</v>
      </c>
      <c r="E420" s="67"/>
      <c r="F420" s="67"/>
      <c r="I420" s="68" t="str">
        <f>$M$1</f>
        <v>1405/02/01</v>
      </c>
    </row>
    <row r="421" spans="1:10" ht="45" customHeight="1">
      <c r="A421" s="70"/>
      <c r="B421" s="71"/>
      <c r="C421" s="77"/>
      <c r="D421" s="87" t="s">
        <v>0</v>
      </c>
      <c r="E421" s="88" t="s">
        <v>1</v>
      </c>
      <c r="F421" s="177" t="s">
        <v>448</v>
      </c>
      <c r="G421" s="178"/>
      <c r="H421" s="179"/>
      <c r="I421" s="89" t="s">
        <v>251</v>
      </c>
    </row>
    <row r="422" spans="1:10" ht="66.75" customHeight="1">
      <c r="A422" s="60"/>
      <c r="B422" s="61"/>
      <c r="D422" s="84">
        <v>1</v>
      </c>
      <c r="E422" s="84" t="str">
        <f>INDEX('حذف از تولید و لیست اصلی'!B:B,MATCH('کاتالوگ مبلمان'!J422,'حذف از تولید و لیست اصلی'!I:I,0))</f>
        <v>21100903000000</v>
      </c>
      <c r="F422" s="180" t="str">
        <f>INDEX('حذف از تولید و لیست اصلی'!C:C,MATCH('کاتالوگ مبلمان'!J422,'حذف از تولید و لیست اصلی'!I:I,0))</f>
        <v xml:space="preserve">   کاناپه سه نفره مورا ( 5 عدد کوسن )</v>
      </c>
      <c r="G422" s="181"/>
      <c r="H422" s="182"/>
      <c r="I422" s="85">
        <f>INDEX('حذف از تولید و لیست اصلی'!E:E,MATCH('کاتالوگ مبلمان'!J422,'حذف از تولید و لیست اصلی'!I:I,0))</f>
        <v>1456000000</v>
      </c>
      <c r="J422" s="64">
        <v>103</v>
      </c>
    </row>
    <row r="423" spans="1:10" ht="66.75" customHeight="1">
      <c r="A423" s="60"/>
      <c r="B423" s="61"/>
      <c r="C423" s="78"/>
      <c r="D423" s="86">
        <v>2</v>
      </c>
      <c r="E423" s="84" t="str">
        <f>INDEX('حذف از تولید و لیست اصلی'!B:B,MATCH('کاتالوگ مبلمان'!J423,'حذف از تولید و لیست اصلی'!I:I,0))</f>
        <v>21100902000000</v>
      </c>
      <c r="F423" s="180" t="str">
        <f>INDEX('حذف از تولید و لیست اصلی'!C:C,MATCH('کاتالوگ مبلمان'!J423,'حذف از تولید و لیست اصلی'!I:I,0))</f>
        <v xml:space="preserve">  کاناپه دو نفره مورا ( 4 عدد کوسن ) </v>
      </c>
      <c r="G423" s="181"/>
      <c r="H423" s="182"/>
      <c r="I423" s="85">
        <f>INDEX('حذف از تولید و لیست اصلی'!E:E,MATCH('کاتالوگ مبلمان'!J423,'حذف از تولید و لیست اصلی'!I:I,0))</f>
        <v>1091000000</v>
      </c>
      <c r="J423" s="64">
        <v>104</v>
      </c>
    </row>
    <row r="424" spans="1:10" ht="66.75" customHeight="1">
      <c r="A424" s="60"/>
      <c r="B424" s="61"/>
      <c r="D424" s="86">
        <v>3</v>
      </c>
      <c r="E424" s="84" t="str">
        <f>INDEX('حذف از تولید و لیست اصلی'!B:B,MATCH('کاتالوگ مبلمان'!J424,'حذف از تولید و لیست اصلی'!I:I,0))</f>
        <v>21100901000000</v>
      </c>
      <c r="F424" s="180" t="str">
        <f>INDEX('حذف از تولید و لیست اصلی'!C:C,MATCH('کاتالوگ مبلمان'!J424,'حذف از تولید و لیست اصلی'!I:I,0))</f>
        <v xml:space="preserve">  مبل یک نفره مورا ( 1عدد کوسن )</v>
      </c>
      <c r="G424" s="181"/>
      <c r="H424" s="182"/>
      <c r="I424" s="85">
        <f>INDEX('حذف از تولید و لیست اصلی'!E:E,MATCH('کاتالوگ مبلمان'!J424,'حذف از تولید و لیست اصلی'!I:I,0))</f>
        <v>738000000</v>
      </c>
      <c r="J424" s="64">
        <v>105</v>
      </c>
    </row>
    <row r="425" spans="1:10" ht="66.75" customHeight="1">
      <c r="A425" s="60"/>
      <c r="B425" s="61"/>
      <c r="D425" s="86">
        <v>4</v>
      </c>
      <c r="E425" s="84" t="str">
        <f>INDEX('حذف از تولید و لیست اصلی'!B:B,MATCH('کاتالوگ مبلمان'!J425,'حذف از تولید و لیست اصلی'!I:I,0))</f>
        <v>-</v>
      </c>
      <c r="F425" s="180" t="str">
        <f>INDEX('حذف از تولید و لیست اصلی'!C:C,MATCH('کاتالوگ مبلمان'!J425,'حذف از تولید و لیست اصلی'!I:I,0))</f>
        <v xml:space="preserve">متراژ پارچه هفت نفره  ( فریم 26 متر + تشک 6متر + کوسن 4/5 متر )  </v>
      </c>
      <c r="G425" s="181"/>
      <c r="H425" s="182"/>
      <c r="I425" s="85" t="str">
        <f>INDEX('حذف از تولید و لیست اصلی'!E:E,MATCH('کاتالوگ مبلمان'!J425,'حذف از تولید و لیست اصلی'!I:I,0))</f>
        <v>36/5متر</v>
      </c>
      <c r="J425" s="64">
        <v>106</v>
      </c>
    </row>
    <row r="426" spans="1:10" ht="66.75" customHeight="1">
      <c r="A426" s="60"/>
      <c r="B426" s="61"/>
      <c r="D426" s="86">
        <v>5</v>
      </c>
      <c r="E426" s="84" t="str">
        <f>INDEX('حذف از تولید و لیست اصلی'!B:B,MATCH('کاتالوگ مبلمان'!J426,'حذف از تولید و لیست اصلی'!I:I,0))</f>
        <v>-</v>
      </c>
      <c r="F426" s="180" t="str">
        <f>INDEX('حذف از تولید و لیست اصلی'!C:C,MATCH('کاتالوگ مبلمان'!J426,'حذف از تولید و لیست اصلی'!I:I,0))</f>
        <v xml:space="preserve">  متراژ پارچه سه نفره   ( فریم 8/5 متر + تشک 2/5 متر + کوسن 2 متر )</v>
      </c>
      <c r="G426" s="181"/>
      <c r="H426" s="182"/>
      <c r="I426" s="85" t="str">
        <f>INDEX('حذف از تولید و لیست اصلی'!E:E,MATCH('کاتالوگ مبلمان'!J426,'حذف از تولید و لیست اصلی'!I:I,0))</f>
        <v>13متر</v>
      </c>
      <c r="J426" s="64">
        <v>107</v>
      </c>
    </row>
    <row r="427" spans="1:10" ht="66.75" customHeight="1">
      <c r="A427" s="60"/>
      <c r="B427" s="61"/>
      <c r="D427" s="86">
        <v>6</v>
      </c>
      <c r="E427" s="84" t="str">
        <f>INDEX('حذف از تولید و لیست اصلی'!B:B,MATCH('کاتالوگ مبلمان'!J427,'حذف از تولید و لیست اصلی'!I:I,0))</f>
        <v>-</v>
      </c>
      <c r="F427" s="180" t="str">
        <f>INDEX('حذف از تولید و لیست اصلی'!C:C,MATCH('کاتالوگ مبلمان'!J427,'حذف از تولید و لیست اصلی'!I:I,0))</f>
        <v xml:space="preserve">  متراژ پارچه دو نفره   ( فریم 7 متر + تشک 2 متر + کوسن 2 متر )</v>
      </c>
      <c r="G427" s="181"/>
      <c r="H427" s="182"/>
      <c r="I427" s="85" t="str">
        <f>INDEX('حذف از تولید و لیست اصلی'!E:E,MATCH('کاتالوگ مبلمان'!J427,'حذف از تولید و لیست اصلی'!I:I,0))</f>
        <v>11متر</v>
      </c>
      <c r="J427" s="64">
        <v>108</v>
      </c>
    </row>
    <row r="428" spans="1:10" ht="66.75" customHeight="1">
      <c r="A428" s="60"/>
      <c r="B428" s="61"/>
      <c r="D428" s="86">
        <v>7</v>
      </c>
      <c r="E428" s="84" t="str">
        <f>INDEX('حذف از تولید و لیست اصلی'!B:B,MATCH('کاتالوگ مبلمان'!J428,'حذف از تولید و لیست اصلی'!I:I,0))</f>
        <v>-</v>
      </c>
      <c r="F428" s="180" t="str">
        <f>INDEX('حذف از تولید و لیست اصلی'!C:C,MATCH('کاتالوگ مبلمان'!J428,'حذف از تولید و لیست اصلی'!I:I,0))</f>
        <v xml:space="preserve">  متراژ پارچه یک نفره  (فریم 5/5 متر + تشک 1/5متر + 55/. متر )</v>
      </c>
      <c r="G428" s="181"/>
      <c r="H428" s="182"/>
      <c r="I428" s="85" t="str">
        <f>INDEX('حذف از تولید و لیست اصلی'!E:E,MATCH('کاتالوگ مبلمان'!J428,'حذف از تولید و لیست اصلی'!I:I,0))</f>
        <v>7/5متر</v>
      </c>
      <c r="J428" s="64">
        <v>109</v>
      </c>
    </row>
    <row r="429" spans="1:10">
      <c r="A429" s="60"/>
      <c r="B429" s="61"/>
      <c r="D429"/>
      <c r="E429"/>
      <c r="F429"/>
      <c r="G429"/>
      <c r="H429"/>
      <c r="I429"/>
    </row>
    <row r="430" spans="1:10">
      <c r="A430" s="60"/>
      <c r="B430" s="61"/>
      <c r="D430"/>
      <c r="E430"/>
      <c r="F430"/>
      <c r="G430"/>
      <c r="H430"/>
      <c r="I430"/>
    </row>
    <row r="431" spans="1:10">
      <c r="A431" s="60"/>
      <c r="B431" s="61"/>
      <c r="D431"/>
      <c r="E431"/>
      <c r="F431"/>
      <c r="G431"/>
      <c r="H431"/>
      <c r="I431"/>
    </row>
    <row r="432" spans="1:10">
      <c r="A432" s="60"/>
      <c r="B432" s="61"/>
      <c r="D432"/>
      <c r="E432"/>
      <c r="F432"/>
      <c r="G432"/>
      <c r="H432"/>
      <c r="I432"/>
    </row>
    <row r="433" spans="1:10">
      <c r="A433" s="60"/>
      <c r="B433" s="61"/>
      <c r="G433" s="64"/>
      <c r="H433" s="64"/>
      <c r="I433" s="64"/>
    </row>
    <row r="434" spans="1:10">
      <c r="A434" s="60"/>
      <c r="B434" s="61"/>
      <c r="G434" s="64"/>
      <c r="H434" s="64"/>
      <c r="I434" s="64"/>
    </row>
    <row r="435" spans="1:10">
      <c r="A435" s="60"/>
      <c r="B435" s="61"/>
      <c r="I435" s="74">
        <v>16</v>
      </c>
    </row>
    <row r="436" spans="1:10" ht="22.5" customHeight="1">
      <c r="A436" s="70"/>
      <c r="B436" s="71"/>
      <c r="C436" s="183"/>
      <c r="D436" s="184"/>
      <c r="E436" s="184"/>
      <c r="F436" s="184"/>
      <c r="G436" s="184"/>
      <c r="H436" s="184"/>
      <c r="I436" s="184"/>
    </row>
    <row r="437" spans="1:10" ht="22.5" customHeight="1">
      <c r="A437" s="70"/>
      <c r="B437" s="71"/>
      <c r="C437" s="183"/>
      <c r="D437" s="184"/>
      <c r="E437" s="184"/>
      <c r="F437" s="184"/>
      <c r="G437" s="184"/>
      <c r="H437" s="184"/>
      <c r="I437" s="184"/>
    </row>
    <row r="438" spans="1:10" ht="27.75">
      <c r="A438" s="70"/>
      <c r="B438" s="71"/>
      <c r="C438" s="72"/>
      <c r="D438" s="67" t="s">
        <v>303</v>
      </c>
      <c r="E438" s="67"/>
      <c r="F438" s="67"/>
      <c r="I438" s="68" t="str">
        <f>$M$1</f>
        <v>1405/02/01</v>
      </c>
    </row>
    <row r="439" spans="1:10" ht="45" customHeight="1">
      <c r="A439" s="70"/>
      <c r="B439" s="71"/>
      <c r="C439" s="77"/>
      <c r="D439" s="87" t="s">
        <v>0</v>
      </c>
      <c r="E439" s="88" t="s">
        <v>1</v>
      </c>
      <c r="F439" s="177" t="s">
        <v>448</v>
      </c>
      <c r="G439" s="178"/>
      <c r="H439" s="179"/>
      <c r="I439" s="89" t="s">
        <v>251</v>
      </c>
    </row>
    <row r="440" spans="1:10" ht="60" customHeight="1">
      <c r="A440" s="60"/>
      <c r="B440" s="61"/>
      <c r="D440" s="84">
        <v>1</v>
      </c>
      <c r="E440" s="84" t="str">
        <f>INDEX('حذف از تولید و لیست اصلی'!B:B,MATCH('کاتالوگ مبلمان'!J440,'حذف از تولید و لیست اصلی'!I:I,0))</f>
        <v>21100903000000</v>
      </c>
      <c r="F440" s="180" t="str">
        <f>INDEX('حذف از تولید و لیست اصلی'!C:C,MATCH('کاتالوگ مبلمان'!J440,'حذف از تولید و لیست اصلی'!I:I,0))</f>
        <v xml:space="preserve">   کاناپه سه نفره مورا ( 5 عدد کوسن )</v>
      </c>
      <c r="G440" s="181"/>
      <c r="H440" s="182"/>
      <c r="I440" s="85">
        <f>INDEX('حذف از تولید و لیست اصلی'!E:E,MATCH('کاتالوگ مبلمان'!J440,'حذف از تولید و لیست اصلی'!I:I,0))</f>
        <v>1196000000</v>
      </c>
      <c r="J440" s="64">
        <v>110</v>
      </c>
    </row>
    <row r="441" spans="1:10" ht="60" customHeight="1">
      <c r="A441" s="60"/>
      <c r="B441" s="61"/>
      <c r="C441" s="78"/>
      <c r="D441" s="86">
        <v>2</v>
      </c>
      <c r="E441" s="84" t="str">
        <f>INDEX('حذف از تولید و لیست اصلی'!B:B,MATCH('کاتالوگ مبلمان'!J441,'حذف از تولید و لیست اصلی'!I:I,0))</f>
        <v>21100902000000</v>
      </c>
      <c r="F441" s="180" t="str">
        <f>INDEX('حذف از تولید و لیست اصلی'!C:C,MATCH('کاتالوگ مبلمان'!J441,'حذف از تولید و لیست اصلی'!I:I,0))</f>
        <v xml:space="preserve">  کاناپه دو نفره مورا ( 4 عدد کوسن ) </v>
      </c>
      <c r="G441" s="181"/>
      <c r="H441" s="182"/>
      <c r="I441" s="85">
        <f>INDEX('حذف از تولید و لیست اصلی'!E:E,MATCH('کاتالوگ مبلمان'!J441,'حذف از تولید و لیست اصلی'!I:I,0))</f>
        <v>871000000</v>
      </c>
      <c r="J441" s="64">
        <v>111</v>
      </c>
    </row>
    <row r="442" spans="1:10" ht="60" customHeight="1">
      <c r="A442" s="60"/>
      <c r="B442" s="61"/>
      <c r="D442" s="86">
        <v>3</v>
      </c>
      <c r="E442" s="84" t="str">
        <f>INDEX('حذف از تولید و لیست اصلی'!B:B,MATCH('کاتالوگ مبلمان'!J442,'حذف از تولید و لیست اصلی'!I:I,0))</f>
        <v>21100901000000</v>
      </c>
      <c r="F442" s="180" t="str">
        <f>INDEX('حذف از تولید و لیست اصلی'!C:C,MATCH('کاتالوگ مبلمان'!J442,'حذف از تولید و لیست اصلی'!I:I,0))</f>
        <v xml:space="preserve">  مبل یک نفره مورا ( 1عدد کوسن )</v>
      </c>
      <c r="G442" s="181"/>
      <c r="H442" s="182"/>
      <c r="I442" s="85">
        <f>INDEX('حذف از تولید و لیست اصلی'!E:E,MATCH('کاتالوگ مبلمان'!J442,'حذف از تولید و لیست اصلی'!I:I,0))</f>
        <v>588000000</v>
      </c>
      <c r="J442" s="64">
        <v>112</v>
      </c>
    </row>
    <row r="443" spans="1:10" ht="60" customHeight="1">
      <c r="A443" s="60"/>
      <c r="B443" s="61"/>
      <c r="D443" s="86">
        <v>4</v>
      </c>
      <c r="E443" s="84" t="str">
        <f>INDEX('حذف از تولید و لیست اصلی'!B:B,MATCH('کاتالوگ مبلمان'!J443,'حذف از تولید و لیست اصلی'!I:I,0))</f>
        <v>-</v>
      </c>
      <c r="F443" s="180" t="str">
        <f>INDEX('حذف از تولید و لیست اصلی'!C:C,MATCH('کاتالوگ مبلمان'!J443,'حذف از تولید و لیست اصلی'!I:I,0))</f>
        <v xml:space="preserve">متراژ پارچه هفت نفره  ( فریم 26 متر + تشک 6متر + کوسن 4/5 متر )  </v>
      </c>
      <c r="G443" s="181"/>
      <c r="H443" s="182"/>
      <c r="I443" s="85" t="str">
        <f>INDEX('حذف از تولید و لیست اصلی'!E:E,MATCH('کاتالوگ مبلمان'!J443,'حذف از تولید و لیست اصلی'!I:I,0))</f>
        <v>36/5متر</v>
      </c>
      <c r="J443" s="64">
        <v>113</v>
      </c>
    </row>
    <row r="444" spans="1:10" ht="60" customHeight="1">
      <c r="A444" s="60"/>
      <c r="B444" s="61"/>
      <c r="D444" s="86">
        <v>5</v>
      </c>
      <c r="E444" s="84" t="str">
        <f>INDEX('حذف از تولید و لیست اصلی'!B:B,MATCH('کاتالوگ مبلمان'!J444,'حذف از تولید و لیست اصلی'!I:I,0))</f>
        <v>-</v>
      </c>
      <c r="F444" s="180" t="str">
        <f>INDEX('حذف از تولید و لیست اصلی'!C:C,MATCH('کاتالوگ مبلمان'!J444,'حذف از تولید و لیست اصلی'!I:I,0))</f>
        <v xml:space="preserve">  متراژ پارچه سه نفره   ( فریم 8/5 متر + تشک 2/5 متر + کوسن 2 متر )</v>
      </c>
      <c r="G444" s="181"/>
      <c r="H444" s="182"/>
      <c r="I444" s="85" t="str">
        <f>INDEX('حذف از تولید و لیست اصلی'!E:E,MATCH('کاتالوگ مبلمان'!J444,'حذف از تولید و لیست اصلی'!I:I,0))</f>
        <v>13متر</v>
      </c>
      <c r="J444" s="64">
        <v>114</v>
      </c>
    </row>
    <row r="445" spans="1:10" ht="60" customHeight="1">
      <c r="A445" s="60"/>
      <c r="B445" s="61"/>
      <c r="D445" s="86">
        <v>6</v>
      </c>
      <c r="E445" s="84" t="str">
        <f>INDEX('حذف از تولید و لیست اصلی'!B:B,MATCH('کاتالوگ مبلمان'!J445,'حذف از تولید و لیست اصلی'!I:I,0))</f>
        <v>-</v>
      </c>
      <c r="F445" s="180" t="str">
        <f>INDEX('حذف از تولید و لیست اصلی'!C:C,MATCH('کاتالوگ مبلمان'!J445,'حذف از تولید و لیست اصلی'!I:I,0))</f>
        <v xml:space="preserve">  متراژ پارچه دو نفره   ( فریم 7 متر + تشک 2 متر + کوسن 2 متر )</v>
      </c>
      <c r="G445" s="181"/>
      <c r="H445" s="182"/>
      <c r="I445" s="85" t="str">
        <f>INDEX('حذف از تولید و لیست اصلی'!E:E,MATCH('کاتالوگ مبلمان'!J445,'حذف از تولید و لیست اصلی'!I:I,0))</f>
        <v>11متر</v>
      </c>
      <c r="J445" s="64">
        <v>115</v>
      </c>
    </row>
    <row r="446" spans="1:10" ht="60" customHeight="1">
      <c r="A446" s="60"/>
      <c r="B446" s="61"/>
      <c r="D446" s="86">
        <v>7</v>
      </c>
      <c r="E446" s="84" t="str">
        <f>INDEX('حذف از تولید و لیست اصلی'!B:B,MATCH('کاتالوگ مبلمان'!J446,'حذف از تولید و لیست اصلی'!I:I,0))</f>
        <v>-</v>
      </c>
      <c r="F446" s="180" t="str">
        <f>INDEX('حذف از تولید و لیست اصلی'!C:C,MATCH('کاتالوگ مبلمان'!J446,'حذف از تولید و لیست اصلی'!I:I,0))</f>
        <v xml:space="preserve">  متراژ پارچه یک نفره  (فریم 5/5 متر + تشک 1/5متر + 55/. متر )</v>
      </c>
      <c r="G446" s="181"/>
      <c r="H446" s="182"/>
      <c r="I446" s="85" t="str">
        <f>INDEX('حذف از تولید و لیست اصلی'!E:E,MATCH('کاتالوگ مبلمان'!J446,'حذف از تولید و لیست اصلی'!I:I,0))</f>
        <v>7/5متر</v>
      </c>
      <c r="J446" s="64">
        <v>116</v>
      </c>
    </row>
    <row r="447" spans="1:10">
      <c r="A447" s="60"/>
      <c r="B447" s="61"/>
      <c r="D447"/>
      <c r="E447"/>
      <c r="F447"/>
      <c r="G447"/>
      <c r="H447"/>
      <c r="I447"/>
    </row>
    <row r="448" spans="1:10">
      <c r="A448" s="60"/>
      <c r="B448" s="61"/>
      <c r="D448"/>
      <c r="E448"/>
      <c r="F448"/>
      <c r="G448"/>
      <c r="H448"/>
      <c r="I448"/>
    </row>
    <row r="449" spans="1:10">
      <c r="A449" s="60"/>
      <c r="B449" s="61"/>
      <c r="D449"/>
      <c r="E449"/>
      <c r="F449"/>
      <c r="G449"/>
      <c r="H449"/>
      <c r="I449"/>
    </row>
    <row r="450" spans="1:10">
      <c r="A450" s="60"/>
      <c r="B450" s="61"/>
      <c r="D450"/>
      <c r="E450"/>
      <c r="F450"/>
      <c r="G450"/>
      <c r="H450"/>
      <c r="I450"/>
    </row>
    <row r="451" spans="1:10">
      <c r="A451" s="60"/>
      <c r="B451" s="61"/>
      <c r="D451"/>
      <c r="E451"/>
      <c r="F451"/>
      <c r="G451"/>
      <c r="H451"/>
      <c r="I451"/>
    </row>
    <row r="452" spans="1:10">
      <c r="A452" s="60"/>
      <c r="B452" s="61"/>
      <c r="G452" s="64"/>
      <c r="H452" s="64"/>
      <c r="I452" s="64"/>
    </row>
    <row r="453" spans="1:10">
      <c r="A453" s="60"/>
      <c r="B453" s="61"/>
      <c r="G453" s="64"/>
      <c r="H453" s="64"/>
      <c r="I453" s="64"/>
    </row>
    <row r="454" spans="1:10">
      <c r="A454" s="60"/>
      <c r="B454" s="61"/>
      <c r="G454" s="64"/>
      <c r="H454" s="64"/>
      <c r="I454" s="64"/>
    </row>
    <row r="455" spans="1:10">
      <c r="A455" s="60"/>
      <c r="B455" s="61"/>
      <c r="G455" s="64"/>
      <c r="H455" s="64"/>
      <c r="I455" s="64"/>
    </row>
    <row r="456" spans="1:10">
      <c r="A456" s="60"/>
      <c r="B456" s="61"/>
      <c r="I456" s="28">
        <v>17</v>
      </c>
    </row>
    <row r="457" spans="1:10" ht="22.5" customHeight="1">
      <c r="A457" s="70"/>
      <c r="B457" s="71"/>
      <c r="C457" s="183"/>
      <c r="D457" s="184"/>
      <c r="E457" s="184"/>
      <c r="F457" s="184"/>
      <c r="G457" s="184"/>
      <c r="H457" s="184"/>
      <c r="I457" s="184"/>
    </row>
    <row r="458" spans="1:10" ht="22.5" customHeight="1">
      <c r="A458" s="70"/>
      <c r="B458" s="71"/>
      <c r="C458" s="183"/>
      <c r="D458" s="184"/>
      <c r="E458" s="184"/>
      <c r="F458" s="184"/>
      <c r="G458" s="184"/>
      <c r="H458" s="184"/>
      <c r="I458" s="184"/>
    </row>
    <row r="459" spans="1:10" ht="27.75">
      <c r="A459" s="70"/>
      <c r="B459" s="71"/>
      <c r="C459" s="72"/>
      <c r="D459" s="67" t="s">
        <v>311</v>
      </c>
      <c r="E459" s="67"/>
      <c r="F459" s="67"/>
      <c r="I459" s="68" t="str">
        <f>$M$1</f>
        <v>1405/02/01</v>
      </c>
    </row>
    <row r="460" spans="1:10" ht="45" customHeight="1">
      <c r="A460" s="70"/>
      <c r="B460" s="71"/>
      <c r="C460" s="77"/>
      <c r="D460" s="87" t="s">
        <v>0</v>
      </c>
      <c r="E460" s="88" t="s">
        <v>1</v>
      </c>
      <c r="F460" s="177" t="s">
        <v>448</v>
      </c>
      <c r="G460" s="178"/>
      <c r="H460" s="179"/>
      <c r="I460" s="89" t="s">
        <v>251</v>
      </c>
    </row>
    <row r="461" spans="1:10" ht="57" customHeight="1">
      <c r="A461" s="60"/>
      <c r="B461" s="61"/>
      <c r="D461" s="84">
        <v>1</v>
      </c>
      <c r="E461" s="84" t="str">
        <f>INDEX('حذف از تولید و لیست اصلی'!B:B,MATCH('کاتالوگ مبلمان'!J461,'حذف از تولید و لیست اصلی'!I:I,0))</f>
        <v>211010030000</v>
      </c>
      <c r="F461" s="180" t="str">
        <f>INDEX('حذف از تولید و لیست اصلی'!C:C,MATCH('کاتالوگ مبلمان'!J461,'حذف از تولید و لیست اصلی'!I:I,0))</f>
        <v xml:space="preserve">کاناپه سه نفره نوئل </v>
      </c>
      <c r="G461" s="181"/>
      <c r="H461" s="182"/>
      <c r="I461" s="85">
        <f>INDEX('حذف از تولید و لیست اصلی'!E:E,MATCH('کاتالوگ مبلمان'!J461,'حذف از تولید و لیست اصلی'!I:I,0))</f>
        <v>1221000000</v>
      </c>
      <c r="J461" s="64">
        <v>117</v>
      </c>
    </row>
    <row r="462" spans="1:10" ht="57" customHeight="1">
      <c r="A462" s="60"/>
      <c r="B462" s="61"/>
      <c r="C462" s="78"/>
      <c r="D462" s="86">
        <v>2</v>
      </c>
      <c r="E462" s="84" t="str">
        <f>INDEX('حذف از تولید و لیست اصلی'!B:B,MATCH('کاتالوگ مبلمان'!J462,'حذف از تولید و لیست اصلی'!I:I,0))</f>
        <v>211010020000</v>
      </c>
      <c r="F462" s="180" t="str">
        <f>INDEX('حذف از تولید و لیست اصلی'!C:C,MATCH('کاتالوگ مبلمان'!J462,'حذف از تولید و لیست اصلی'!I:I,0))</f>
        <v xml:space="preserve">کاناپه دو نفره نوئل </v>
      </c>
      <c r="G462" s="181"/>
      <c r="H462" s="182"/>
      <c r="I462" s="85">
        <f>INDEX('حذف از تولید و لیست اصلی'!E:E,MATCH('کاتالوگ مبلمان'!J462,'حذف از تولید و لیست اصلی'!I:I,0))</f>
        <v>910000000</v>
      </c>
      <c r="J462" s="64">
        <v>118</v>
      </c>
    </row>
    <row r="463" spans="1:10" ht="57" customHeight="1">
      <c r="A463" s="60"/>
      <c r="B463" s="61"/>
      <c r="D463" s="86">
        <v>3</v>
      </c>
      <c r="E463" s="84" t="str">
        <f>INDEX('حذف از تولید و لیست اصلی'!B:B,MATCH('کاتالوگ مبلمان'!J463,'حذف از تولید و لیست اصلی'!I:I,0))</f>
        <v>211010010000</v>
      </c>
      <c r="F463" s="180" t="str">
        <f>INDEX('حذف از تولید و لیست اصلی'!C:C,MATCH('کاتالوگ مبلمان'!J463,'حذف از تولید و لیست اصلی'!I:I,0))</f>
        <v xml:space="preserve">مبل یک نفره نوئل </v>
      </c>
      <c r="G463" s="181"/>
      <c r="H463" s="182"/>
      <c r="I463" s="85">
        <f>INDEX('حذف از تولید و لیست اصلی'!E:E,MATCH('کاتالوگ مبلمان'!J463,'حذف از تولید و لیست اصلی'!I:I,0))</f>
        <v>572000000</v>
      </c>
      <c r="J463" s="64">
        <v>119</v>
      </c>
    </row>
    <row r="464" spans="1:10" ht="57" customHeight="1">
      <c r="A464" s="60"/>
      <c r="B464" s="61"/>
      <c r="D464" s="86">
        <v>4</v>
      </c>
      <c r="E464" s="84" t="str">
        <f>INDEX('حذف از تولید و لیست اصلی'!B:B,MATCH('کاتالوگ مبلمان'!J464,'حذف از تولید و لیست اصلی'!I:I,0))</f>
        <v>21101005000000</v>
      </c>
      <c r="F464" s="180" t="str">
        <f>INDEX('حذف از تولید و لیست اصلی'!C:C,MATCH('کاتالوگ مبلمان'!J464,'حذف از تولید و لیست اصلی'!I:I,0))</f>
        <v>میز جلو مبلی نوئل</v>
      </c>
      <c r="G464" s="181"/>
      <c r="H464" s="182"/>
      <c r="I464" s="85">
        <f>INDEX('حذف از تولید و لیست اصلی'!E:E,MATCH('کاتالوگ مبلمان'!J464,'حذف از تولید و لیست اصلی'!I:I,0))</f>
        <v>346000000</v>
      </c>
      <c r="J464" s="64">
        <v>120</v>
      </c>
    </row>
    <row r="465" spans="1:10" ht="57" customHeight="1">
      <c r="A465" s="60"/>
      <c r="B465" s="61"/>
      <c r="D465" s="86">
        <v>5</v>
      </c>
      <c r="E465" s="84" t="str">
        <f>INDEX('حذف از تولید و لیست اصلی'!B:B,MATCH('کاتالوگ مبلمان'!J465,'حذف از تولید و لیست اصلی'!I:I,0))</f>
        <v>21101006000000</v>
      </c>
      <c r="F465" s="180" t="str">
        <f>INDEX('حذف از تولید و لیست اصلی'!C:C,MATCH('کاتالوگ مبلمان'!J465,'حذف از تولید و لیست اصلی'!I:I,0))</f>
        <v>میز کنار مبلی نوئل</v>
      </c>
      <c r="G465" s="181"/>
      <c r="H465" s="182"/>
      <c r="I465" s="85">
        <f>INDEX('حذف از تولید و لیست اصلی'!E:E,MATCH('کاتالوگ مبلمان'!J465,'حذف از تولید و لیست اصلی'!I:I,0))</f>
        <v>265000000</v>
      </c>
      <c r="J465" s="64">
        <v>121</v>
      </c>
    </row>
    <row r="466" spans="1:10" ht="57" customHeight="1">
      <c r="A466" s="60"/>
      <c r="B466" s="61"/>
      <c r="D466" s="86">
        <v>6</v>
      </c>
      <c r="E466" s="84" t="str">
        <f>INDEX('حذف از تولید و لیست اصلی'!B:B,MATCH('کاتالوگ مبلمان'!J466,'حذف از تولید و لیست اصلی'!I:I,0))</f>
        <v>_</v>
      </c>
      <c r="F466" s="180" t="str">
        <f>INDEX('حذف از تولید و لیست اصلی'!C:C,MATCH('کاتالوگ مبلمان'!J466,'حذف از تولید و لیست اصلی'!I:I,0))</f>
        <v>متراژ پارچه سه نفره ( فریم 7متر تشک 2.5 متر کوسن 2 متر)</v>
      </c>
      <c r="G466" s="181"/>
      <c r="H466" s="182"/>
      <c r="I466" s="85" t="str">
        <f>INDEX('حذف از تولید و لیست اصلی'!E:E,MATCH('کاتالوگ مبلمان'!J466,'حذف از تولید و لیست اصلی'!I:I,0))</f>
        <v>11.5متر</v>
      </c>
      <c r="J466" s="64">
        <v>122</v>
      </c>
    </row>
    <row r="467" spans="1:10" ht="57" customHeight="1">
      <c r="A467" s="60"/>
      <c r="B467" s="61"/>
      <c r="D467" s="86">
        <v>7</v>
      </c>
      <c r="E467" s="84" t="str">
        <f>INDEX('حذف از تولید و لیست اصلی'!B:B,MATCH('کاتالوگ مبلمان'!J467,'حذف از تولید و لیست اصلی'!I:I,0))</f>
        <v>_</v>
      </c>
      <c r="F467" s="180" t="str">
        <f>INDEX('حذف از تولید و لیست اصلی'!C:C,MATCH('کاتالوگ مبلمان'!J467,'حذف از تولید و لیست اصلی'!I:I,0))</f>
        <v>متراژ پارچه دو نفره ( فریم 5.5متر تشک 2 متر کوسن 1 متر)</v>
      </c>
      <c r="G467" s="181"/>
      <c r="H467" s="182"/>
      <c r="I467" s="85" t="str">
        <f>INDEX('حذف از تولید و لیست اصلی'!E:E,MATCH('کاتالوگ مبلمان'!J467,'حذف از تولید و لیست اصلی'!I:I,0))</f>
        <v>8.5متر</v>
      </c>
      <c r="J467" s="64">
        <v>123</v>
      </c>
    </row>
    <row r="468" spans="1:10" ht="57" customHeight="1">
      <c r="A468" s="60"/>
      <c r="B468" s="61"/>
      <c r="D468" s="86">
        <v>8</v>
      </c>
      <c r="E468" s="84" t="str">
        <f>INDEX('حذف از تولید و لیست اصلی'!B:B,MATCH('کاتالوگ مبلمان'!J468,'حذف از تولید و لیست اصلی'!I:I,0))</f>
        <v>_</v>
      </c>
      <c r="F468" s="180" t="str">
        <f>INDEX('حذف از تولید و لیست اصلی'!C:C,MATCH('کاتالوگ مبلمان'!J468,'حذف از تولید و لیست اصلی'!I:I,0))</f>
        <v>متراژ پارچه یک نفره ( فریم 2.5متر تشک 1 متر کوسن 1 متر)</v>
      </c>
      <c r="G468" s="181"/>
      <c r="H468" s="182"/>
      <c r="I468" s="85" t="str">
        <f>INDEX('حذف از تولید و لیست اصلی'!E:E,MATCH('کاتالوگ مبلمان'!J468,'حذف از تولید و لیست اصلی'!I:I,0))</f>
        <v>4.5متر</v>
      </c>
      <c r="J468" s="64">
        <v>124</v>
      </c>
    </row>
    <row r="469" spans="1:10">
      <c r="A469" s="60"/>
      <c r="B469" s="61"/>
      <c r="D469"/>
      <c r="E469"/>
      <c r="F469"/>
      <c r="G469"/>
      <c r="H469"/>
      <c r="I469"/>
    </row>
    <row r="470" spans="1:10">
      <c r="A470" s="60"/>
      <c r="B470" s="61"/>
      <c r="D470"/>
      <c r="E470"/>
      <c r="F470"/>
      <c r="G470"/>
      <c r="H470"/>
      <c r="I470"/>
    </row>
    <row r="471" spans="1:10">
      <c r="A471" s="60"/>
      <c r="B471" s="61"/>
      <c r="D471"/>
      <c r="E471"/>
      <c r="F471"/>
      <c r="G471"/>
      <c r="H471"/>
      <c r="I471"/>
    </row>
    <row r="472" spans="1:10">
      <c r="A472" s="60"/>
      <c r="B472" s="61"/>
      <c r="D472"/>
      <c r="E472"/>
      <c r="F472"/>
      <c r="G472"/>
      <c r="H472"/>
      <c r="I472"/>
    </row>
    <row r="473" spans="1:10">
      <c r="A473" s="60"/>
      <c r="B473" s="61"/>
      <c r="G473" s="64"/>
      <c r="H473" s="64"/>
      <c r="I473" s="64"/>
    </row>
    <row r="474" spans="1:10">
      <c r="A474" s="60"/>
      <c r="B474" s="61"/>
      <c r="G474" s="64"/>
      <c r="H474" s="64"/>
      <c r="I474" s="64"/>
    </row>
    <row r="475" spans="1:10">
      <c r="A475" s="60"/>
      <c r="B475" s="61"/>
      <c r="G475" s="64"/>
      <c r="H475" s="64"/>
      <c r="I475" s="64"/>
    </row>
    <row r="476" spans="1:10">
      <c r="A476" s="60"/>
      <c r="B476" s="61"/>
      <c r="I476" s="74">
        <v>18</v>
      </c>
    </row>
    <row r="477" spans="1:10" ht="22.5" customHeight="1">
      <c r="A477" s="70"/>
      <c r="B477" s="71"/>
      <c r="C477" s="183"/>
      <c r="D477" s="184"/>
      <c r="E477" s="184"/>
      <c r="F477" s="184"/>
      <c r="G477" s="184"/>
      <c r="H477" s="184"/>
      <c r="I477" s="184"/>
    </row>
    <row r="478" spans="1:10" ht="22.5" customHeight="1">
      <c r="A478" s="70"/>
      <c r="B478" s="71"/>
      <c r="C478" s="183"/>
      <c r="D478" s="184"/>
      <c r="E478" s="184"/>
      <c r="F478" s="184"/>
      <c r="G478" s="184"/>
      <c r="H478" s="184"/>
      <c r="I478" s="184"/>
    </row>
    <row r="479" spans="1:10" ht="27.75">
      <c r="A479" s="70"/>
      <c r="B479" s="71"/>
      <c r="C479" s="72"/>
      <c r="D479" s="67" t="s">
        <v>329</v>
      </c>
      <c r="E479" s="67"/>
      <c r="F479" s="67"/>
      <c r="I479" s="68" t="str">
        <f>$M$1</f>
        <v>1405/02/01</v>
      </c>
    </row>
    <row r="480" spans="1:10" ht="45" customHeight="1">
      <c r="A480" s="70"/>
      <c r="B480" s="71"/>
      <c r="C480" s="77"/>
      <c r="D480" s="87" t="s">
        <v>0</v>
      </c>
      <c r="E480" s="88" t="s">
        <v>1</v>
      </c>
      <c r="F480" s="177" t="s">
        <v>448</v>
      </c>
      <c r="G480" s="178"/>
      <c r="H480" s="179"/>
      <c r="I480" s="89" t="s">
        <v>251</v>
      </c>
    </row>
    <row r="481" spans="1:10" ht="55.5" customHeight="1">
      <c r="A481" s="60"/>
      <c r="B481" s="61"/>
      <c r="D481" s="84">
        <v>1</v>
      </c>
      <c r="E481" s="84" t="str">
        <f>INDEX('حذف از تولید و لیست اصلی'!B:B,MATCH('کاتالوگ مبلمان'!J481,'حذف از تولید و لیست اصلی'!I:I,0))</f>
        <v>211010030000</v>
      </c>
      <c r="F481" s="180" t="str">
        <f>INDEX('حذف از تولید و لیست اصلی'!C:C,MATCH('کاتالوگ مبلمان'!J481,'حذف از تولید و لیست اصلی'!I:I,0))</f>
        <v xml:space="preserve">کاناپه سه نفره نوئل </v>
      </c>
      <c r="G481" s="181"/>
      <c r="H481" s="182"/>
      <c r="I481" s="85">
        <f>INDEX('حذف از تولید و لیست اصلی'!E:E,MATCH('کاتالوگ مبلمان'!J481,'حذف از تولید و لیست اصلی'!I:I,0))</f>
        <v>991000000</v>
      </c>
      <c r="J481" s="64">
        <v>125</v>
      </c>
    </row>
    <row r="482" spans="1:10" ht="55.5" customHeight="1">
      <c r="A482" s="60"/>
      <c r="B482" s="61"/>
      <c r="C482" s="78"/>
      <c r="D482" s="86">
        <v>2</v>
      </c>
      <c r="E482" s="84" t="str">
        <f>INDEX('حذف از تولید و لیست اصلی'!B:B,MATCH('کاتالوگ مبلمان'!J482,'حذف از تولید و لیست اصلی'!I:I,0))</f>
        <v>211010020000</v>
      </c>
      <c r="F482" s="180" t="str">
        <f>INDEX('حذف از تولید و لیست اصلی'!C:C,MATCH('کاتالوگ مبلمان'!J482,'حذف از تولید و لیست اصلی'!I:I,0))</f>
        <v xml:space="preserve">کاناپه دو نفره نوئل </v>
      </c>
      <c r="G482" s="181"/>
      <c r="H482" s="182"/>
      <c r="I482" s="85">
        <f>INDEX('حذف از تولید و لیست اصلی'!E:E,MATCH('کاتالوگ مبلمان'!J482,'حذف از تولید و لیست اصلی'!I:I,0))</f>
        <v>740000000</v>
      </c>
      <c r="J482" s="64">
        <v>126</v>
      </c>
    </row>
    <row r="483" spans="1:10" ht="55.5" customHeight="1">
      <c r="A483" s="60"/>
      <c r="B483" s="61"/>
      <c r="D483" s="86">
        <v>3</v>
      </c>
      <c r="E483" s="84" t="str">
        <f>INDEX('حذف از تولید و لیست اصلی'!B:B,MATCH('کاتالوگ مبلمان'!J483,'حذف از تولید و لیست اصلی'!I:I,0))</f>
        <v>211010010000</v>
      </c>
      <c r="F483" s="180" t="str">
        <f>INDEX('حذف از تولید و لیست اصلی'!C:C,MATCH('کاتالوگ مبلمان'!J483,'حذف از تولید و لیست اصلی'!I:I,0))</f>
        <v xml:space="preserve">مبل یک نفره نوئل </v>
      </c>
      <c r="G483" s="181"/>
      <c r="H483" s="182"/>
      <c r="I483" s="85">
        <f>INDEX('حذف از تولید و لیست اصلی'!E:E,MATCH('کاتالوگ مبلمان'!J483,'حذف از تولید و لیست اصلی'!I:I,0))</f>
        <v>482000000</v>
      </c>
      <c r="J483" s="64">
        <v>127</v>
      </c>
    </row>
    <row r="484" spans="1:10" ht="55.5" customHeight="1">
      <c r="A484" s="60"/>
      <c r="B484" s="61"/>
      <c r="D484" s="86">
        <v>4</v>
      </c>
      <c r="E484" s="84" t="str">
        <f>INDEX('حذف از تولید و لیست اصلی'!B:B,MATCH('کاتالوگ مبلمان'!J484,'حذف از تولید و لیست اصلی'!I:I,0))</f>
        <v>21101005000000</v>
      </c>
      <c r="F484" s="180" t="str">
        <f>INDEX('حذف از تولید و لیست اصلی'!C:C,MATCH('کاتالوگ مبلمان'!J484,'حذف از تولید و لیست اصلی'!I:I,0))</f>
        <v>میز جلو مبلی نوئل</v>
      </c>
      <c r="G484" s="181"/>
      <c r="H484" s="182"/>
      <c r="I484" s="85">
        <f>INDEX('حذف از تولید و لیست اصلی'!E:E,MATCH('کاتالوگ مبلمان'!J484,'حذف از تولید و لیست اصلی'!I:I,0))</f>
        <v>346000000</v>
      </c>
      <c r="J484" s="64">
        <v>128</v>
      </c>
    </row>
    <row r="485" spans="1:10" ht="55.5" customHeight="1">
      <c r="A485" s="60"/>
      <c r="B485" s="61"/>
      <c r="D485" s="86">
        <v>5</v>
      </c>
      <c r="E485" s="84" t="str">
        <f>INDEX('حذف از تولید و لیست اصلی'!B:B,MATCH('کاتالوگ مبلمان'!J485,'حذف از تولید و لیست اصلی'!I:I,0))</f>
        <v>21101006000000</v>
      </c>
      <c r="F485" s="180" t="str">
        <f>INDEX('حذف از تولید و لیست اصلی'!C:C,MATCH('کاتالوگ مبلمان'!J485,'حذف از تولید و لیست اصلی'!I:I,0))</f>
        <v>میز کنار مبلی نوئل</v>
      </c>
      <c r="G485" s="181"/>
      <c r="H485" s="182"/>
      <c r="I485" s="85">
        <f>INDEX('حذف از تولید و لیست اصلی'!E:E,MATCH('کاتالوگ مبلمان'!J485,'حذف از تولید و لیست اصلی'!I:I,0))</f>
        <v>265000000</v>
      </c>
      <c r="J485" s="64">
        <v>129</v>
      </c>
    </row>
    <row r="486" spans="1:10" ht="55.5" customHeight="1">
      <c r="A486" s="60"/>
      <c r="B486" s="61"/>
      <c r="D486" s="86">
        <v>6</v>
      </c>
      <c r="E486" s="84" t="str">
        <f>INDEX('حذف از تولید و لیست اصلی'!B:B,MATCH('کاتالوگ مبلمان'!J486,'حذف از تولید و لیست اصلی'!I:I,0))</f>
        <v>_</v>
      </c>
      <c r="F486" s="180" t="str">
        <f>INDEX('حذف از تولید و لیست اصلی'!C:C,MATCH('کاتالوگ مبلمان'!J486,'حذف از تولید و لیست اصلی'!I:I,0))</f>
        <v>متراژ پارچه سه نفره ( فریم 7متر تشک 2.5 متر کوسن 2 متر)</v>
      </c>
      <c r="G486" s="181"/>
      <c r="H486" s="182"/>
      <c r="I486" s="85" t="str">
        <f>INDEX('حذف از تولید و لیست اصلی'!E:E,MATCH('کاتالوگ مبلمان'!J486,'حذف از تولید و لیست اصلی'!I:I,0))</f>
        <v>11.5متر</v>
      </c>
      <c r="J486" s="64">
        <v>130</v>
      </c>
    </row>
    <row r="487" spans="1:10" ht="55.5" customHeight="1">
      <c r="A487" s="60"/>
      <c r="B487" s="61"/>
      <c r="D487" s="86">
        <v>7</v>
      </c>
      <c r="E487" s="84" t="str">
        <f>INDEX('حذف از تولید و لیست اصلی'!B:B,MATCH('کاتالوگ مبلمان'!J487,'حذف از تولید و لیست اصلی'!I:I,0))</f>
        <v>_</v>
      </c>
      <c r="F487" s="180" t="str">
        <f>INDEX('حذف از تولید و لیست اصلی'!C:C,MATCH('کاتالوگ مبلمان'!J487,'حذف از تولید و لیست اصلی'!I:I,0))</f>
        <v>متراژ پارچه دو نفره ( فریم 5.5متر تشک 2 متر کوسن 1 متر)</v>
      </c>
      <c r="G487" s="181"/>
      <c r="H487" s="182"/>
      <c r="I487" s="85" t="str">
        <f>INDEX('حذف از تولید و لیست اصلی'!E:E,MATCH('کاتالوگ مبلمان'!J487,'حذف از تولید و لیست اصلی'!I:I,0))</f>
        <v>8.5متر</v>
      </c>
      <c r="J487" s="64">
        <v>131</v>
      </c>
    </row>
    <row r="488" spans="1:10" ht="55.5" customHeight="1">
      <c r="A488" s="60"/>
      <c r="B488" s="61"/>
      <c r="D488" s="86">
        <v>8</v>
      </c>
      <c r="E488" s="84" t="str">
        <f>INDEX('حذف از تولید و لیست اصلی'!B:B,MATCH('کاتالوگ مبلمان'!J488,'حذف از تولید و لیست اصلی'!I:I,0))</f>
        <v>_</v>
      </c>
      <c r="F488" s="180" t="str">
        <f>INDEX('حذف از تولید و لیست اصلی'!C:C,MATCH('کاتالوگ مبلمان'!J488,'حذف از تولید و لیست اصلی'!I:I,0))</f>
        <v>متراژ پارچه یک نفره ( فریم 2.5متر تشک 1 متر کوسن 1 متر)</v>
      </c>
      <c r="G488" s="181"/>
      <c r="H488" s="182"/>
      <c r="I488" s="85" t="str">
        <f>INDEX('حذف از تولید و لیست اصلی'!E:E,MATCH('کاتالوگ مبلمان'!J488,'حذف از تولید و لیست اصلی'!I:I,0))</f>
        <v>4.5متر</v>
      </c>
      <c r="J488" s="64">
        <v>132</v>
      </c>
    </row>
    <row r="489" spans="1:10">
      <c r="A489" s="60"/>
      <c r="B489" s="61"/>
      <c r="D489"/>
      <c r="E489"/>
      <c r="F489"/>
      <c r="G489"/>
      <c r="H489"/>
      <c r="I489"/>
    </row>
    <row r="490" spans="1:10">
      <c r="A490" s="60"/>
      <c r="B490" s="61"/>
      <c r="D490"/>
      <c r="E490"/>
      <c r="F490"/>
      <c r="G490"/>
      <c r="H490"/>
      <c r="I490"/>
    </row>
    <row r="491" spans="1:10">
      <c r="A491" s="60"/>
      <c r="B491" s="61"/>
      <c r="D491"/>
      <c r="E491"/>
      <c r="F491"/>
      <c r="G491"/>
      <c r="H491"/>
      <c r="I491"/>
    </row>
    <row r="492" spans="1:10">
      <c r="A492" s="60"/>
      <c r="B492" s="61"/>
      <c r="D492"/>
      <c r="E492"/>
      <c r="F492"/>
      <c r="G492"/>
      <c r="H492"/>
      <c r="I492"/>
    </row>
    <row r="493" spans="1:10">
      <c r="A493" s="60"/>
      <c r="B493" s="61"/>
      <c r="G493" s="64"/>
      <c r="H493" s="64"/>
      <c r="I493" s="64"/>
    </row>
    <row r="494" spans="1:10">
      <c r="A494" s="60"/>
      <c r="B494" s="61"/>
      <c r="G494" s="64"/>
      <c r="H494" s="64"/>
      <c r="I494" s="64"/>
    </row>
    <row r="495" spans="1:10">
      <c r="A495" s="60"/>
      <c r="B495" s="61"/>
      <c r="G495" s="64"/>
      <c r="H495" s="64"/>
      <c r="I495" s="64"/>
    </row>
    <row r="496" spans="1:10">
      <c r="A496" s="60"/>
      <c r="B496" s="61"/>
      <c r="I496" s="28">
        <v>19</v>
      </c>
    </row>
    <row r="497" spans="1:10" ht="22.5" customHeight="1">
      <c r="A497" s="70"/>
      <c r="B497" s="71"/>
      <c r="C497" s="183"/>
      <c r="D497" s="184"/>
      <c r="E497" s="184"/>
      <c r="F497" s="184"/>
      <c r="G497" s="184"/>
      <c r="H497" s="184"/>
      <c r="I497" s="184"/>
    </row>
    <row r="498" spans="1:10" ht="22.5" customHeight="1">
      <c r="A498" s="70"/>
      <c r="B498" s="71"/>
      <c r="C498" s="183"/>
      <c r="D498" s="184"/>
      <c r="E498" s="184"/>
      <c r="F498" s="184"/>
      <c r="G498" s="184"/>
      <c r="H498" s="184"/>
      <c r="I498" s="184"/>
    </row>
    <row r="499" spans="1:10" ht="27.75">
      <c r="A499" s="70"/>
      <c r="B499" s="71"/>
      <c r="C499" s="72"/>
      <c r="D499" s="67" t="s">
        <v>718</v>
      </c>
      <c r="E499" s="67"/>
      <c r="F499" s="67"/>
      <c r="I499" s="68" t="str">
        <f>$M$1</f>
        <v>1405/02/01</v>
      </c>
    </row>
    <row r="500" spans="1:10" ht="45" customHeight="1">
      <c r="A500" s="70"/>
      <c r="B500" s="71"/>
      <c r="C500" s="77"/>
      <c r="D500" s="75" t="s">
        <v>0</v>
      </c>
      <c r="E500" s="69" t="s">
        <v>1</v>
      </c>
      <c r="F500" s="199" t="s">
        <v>448</v>
      </c>
      <c r="G500" s="200"/>
      <c r="H500" s="201"/>
      <c r="I500" s="68" t="s">
        <v>251</v>
      </c>
    </row>
    <row r="501" spans="1:10" ht="52.5" customHeight="1">
      <c r="A501" s="60"/>
      <c r="B501" s="61"/>
      <c r="D501" s="84">
        <v>1</v>
      </c>
      <c r="E501" s="84" t="str">
        <f>INDEX('حذف از تولید و لیست اصلی'!B:B,MATCH('کاتالوگ مبلمان'!J501,'حذف از تولید و لیست اصلی'!I:I,0))</f>
        <v>2110110300</v>
      </c>
      <c r="F501" s="180" t="str">
        <f>INDEX('حذف از تولید و لیست اصلی'!C:C,MATCH('کاتالوگ مبلمان'!J501,'حذف از تولید و لیست اصلی'!I:I,0))</f>
        <v xml:space="preserve">   کاناپه سه نفره پاندو ( 2 عدد کوسن )</v>
      </c>
      <c r="G501" s="181"/>
      <c r="H501" s="182"/>
      <c r="I501" s="85">
        <f>INDEX('حذف از تولید و لیست اصلی'!E:E,MATCH('کاتالوگ مبلمان'!J501,'حذف از تولید و لیست اصلی'!I:I,0))</f>
        <v>1345000000</v>
      </c>
      <c r="J501" s="64">
        <v>133</v>
      </c>
    </row>
    <row r="502" spans="1:10" ht="52.5" customHeight="1">
      <c r="A502" s="60"/>
      <c r="B502" s="61"/>
      <c r="C502" s="78"/>
      <c r="D502" s="86">
        <v>2</v>
      </c>
      <c r="E502" s="84" t="str">
        <f>INDEX('حذف از تولید و لیست اصلی'!B:B,MATCH('کاتالوگ مبلمان'!J502,'حذف از تولید و لیست اصلی'!I:I,0))</f>
        <v>2110110200</v>
      </c>
      <c r="F502" s="180" t="str">
        <f>INDEX('حذف از تولید و لیست اصلی'!C:C,MATCH('کاتالوگ مبلمان'!J502,'حذف از تولید و لیست اصلی'!I:I,0))</f>
        <v xml:space="preserve">  کاناپه دو نفره پاندو ( 2عدد کوسن ) </v>
      </c>
      <c r="G502" s="181"/>
      <c r="H502" s="182"/>
      <c r="I502" s="85">
        <f>INDEX('حذف از تولید و لیست اصلی'!E:E,MATCH('کاتالوگ مبلمان'!J502,'حذف از تولید و لیست اصلی'!I:I,0))</f>
        <v>1030000000</v>
      </c>
      <c r="J502" s="64">
        <v>134</v>
      </c>
    </row>
    <row r="503" spans="1:10" ht="52.5" customHeight="1">
      <c r="A503" s="60"/>
      <c r="B503" s="61"/>
      <c r="D503" s="86">
        <v>3</v>
      </c>
      <c r="E503" s="84" t="str">
        <f>INDEX('حذف از تولید و لیست اصلی'!B:B,MATCH('کاتالوگ مبلمان'!J503,'حذف از تولید و لیست اصلی'!I:I,0))</f>
        <v>2110110100</v>
      </c>
      <c r="F503" s="180" t="str">
        <f>INDEX('حذف از تولید و لیست اصلی'!C:C,MATCH('کاتالوگ مبلمان'!J503,'حذف از تولید و لیست اصلی'!I:I,0))</f>
        <v xml:space="preserve">  مبل یک نفره پاندو ( بدون کوسن )</v>
      </c>
      <c r="G503" s="181"/>
      <c r="H503" s="182"/>
      <c r="I503" s="85">
        <f>INDEX('حذف از تولید و لیست اصلی'!E:E,MATCH('کاتالوگ مبلمان'!J503,'حذف از تولید و لیست اصلی'!I:I,0))</f>
        <v>681000000</v>
      </c>
      <c r="J503" s="64">
        <v>135</v>
      </c>
    </row>
    <row r="504" spans="1:10" ht="52.5" customHeight="1">
      <c r="A504" s="60"/>
      <c r="B504" s="61"/>
      <c r="D504" s="86">
        <v>4</v>
      </c>
      <c r="E504" s="84" t="str">
        <f>INDEX('حذف از تولید و لیست اصلی'!B:B,MATCH('کاتالوگ مبلمان'!J504,'حذف از تولید و لیست اصلی'!I:I,0))</f>
        <v>2110110500</v>
      </c>
      <c r="F504" s="180" t="str">
        <f>INDEX('حذف از تولید و لیست اصلی'!C:C,MATCH('کاتالوگ مبلمان'!J504,'حذف از تولید و لیست اصلی'!I:I,0))</f>
        <v>میز جلو مبلی مستطیل پاندو</v>
      </c>
      <c r="G504" s="181"/>
      <c r="H504" s="182"/>
      <c r="I504" s="85">
        <f>INDEX('حذف از تولید و لیست اصلی'!E:E,MATCH('کاتالوگ مبلمان'!J504,'حذف از تولید و لیست اصلی'!I:I,0))</f>
        <v>295000000</v>
      </c>
      <c r="J504" s="64">
        <v>136</v>
      </c>
    </row>
    <row r="505" spans="1:10" ht="52.5" customHeight="1">
      <c r="A505" s="60"/>
      <c r="B505" s="61"/>
      <c r="D505" s="86">
        <v>5</v>
      </c>
      <c r="E505" s="84" t="str">
        <f>INDEX('حذف از تولید و لیست اصلی'!B:B,MATCH('کاتالوگ مبلمان'!J505,'حذف از تولید و لیست اصلی'!I:I,0))</f>
        <v>2110110400</v>
      </c>
      <c r="F505" s="180" t="str">
        <f>INDEX('حذف از تولید و لیست اصلی'!C:C,MATCH('کاتالوگ مبلمان'!J505,'حذف از تولید و لیست اصلی'!I:I,0))</f>
        <v xml:space="preserve">  میز جلو مبلی مربع پاندو</v>
      </c>
      <c r="G505" s="181"/>
      <c r="H505" s="182"/>
      <c r="I505" s="85">
        <f>INDEX('حذف از تولید و لیست اصلی'!E:E,MATCH('کاتالوگ مبلمان'!J505,'حذف از تولید و لیست اصلی'!I:I,0))</f>
        <v>295000000</v>
      </c>
      <c r="J505" s="64">
        <v>137</v>
      </c>
    </row>
    <row r="506" spans="1:10" ht="52.5" customHeight="1">
      <c r="A506" s="60"/>
      <c r="B506" s="61"/>
      <c r="D506" s="86">
        <v>6</v>
      </c>
      <c r="E506" s="84" t="str">
        <f>INDEX('حذف از تولید و لیست اصلی'!B:B,MATCH('کاتالوگ مبلمان'!J506,'حذف از تولید و لیست اصلی'!I:I,0))</f>
        <v>2110110600</v>
      </c>
      <c r="F506" s="180" t="str">
        <f>INDEX('حذف از تولید و لیست اصلی'!C:C,MATCH('کاتالوگ مبلمان'!J506,'حذف از تولید و لیست اصلی'!I:I,0))</f>
        <v xml:space="preserve">   میز کنار مبلی پاندو</v>
      </c>
      <c r="G506" s="181"/>
      <c r="H506" s="182"/>
      <c r="I506" s="85">
        <f>INDEX('حذف از تولید و لیست اصلی'!E:E,MATCH('کاتالوگ مبلمان'!J506,'حذف از تولید و لیست اصلی'!I:I,0))</f>
        <v>252000000</v>
      </c>
      <c r="J506" s="64">
        <v>138</v>
      </c>
    </row>
    <row r="507" spans="1:10" ht="52.5" customHeight="1">
      <c r="A507" s="60"/>
      <c r="B507" s="61"/>
      <c r="D507" s="86">
        <v>7</v>
      </c>
      <c r="E507" s="84" t="str">
        <f>INDEX('حذف از تولید و لیست اصلی'!B:B,MATCH('کاتالوگ مبلمان'!J507,'حذف از تولید و لیست اصلی'!I:I,0))</f>
        <v>-</v>
      </c>
      <c r="F507" s="180" t="str">
        <f>INDEX('حذف از تولید و لیست اصلی'!C:C,MATCH('کاتالوگ مبلمان'!J507,'حذف از تولید و لیست اصلی'!I:I,0))</f>
        <v xml:space="preserve">متراژ پارچه هفت نفره  ( فریم 24 متر + تشک 9 متر + کوسن 2 متر )  </v>
      </c>
      <c r="G507" s="181"/>
      <c r="H507" s="182"/>
      <c r="I507" s="85" t="str">
        <f>INDEX('حذف از تولید و لیست اصلی'!E:E,MATCH('کاتالوگ مبلمان'!J507,'حذف از تولید و لیست اصلی'!I:I,0))</f>
        <v>35متر</v>
      </c>
      <c r="J507" s="64">
        <v>139</v>
      </c>
    </row>
    <row r="508" spans="1:10" ht="52.5" customHeight="1">
      <c r="A508" s="60"/>
      <c r="B508" s="61"/>
      <c r="D508" s="86">
        <v>8</v>
      </c>
      <c r="E508" s="84" t="str">
        <f>INDEX('حذف از تولید و لیست اصلی'!B:B,MATCH('کاتالوگ مبلمان'!J508,'حذف از تولید و لیست اصلی'!I:I,0))</f>
        <v>-</v>
      </c>
      <c r="F508" s="180" t="str">
        <f>INDEX('حذف از تولید و لیست اصلی'!C:C,MATCH('کاتالوگ مبلمان'!J508,'حذف از تولید و لیست اصلی'!I:I,0))</f>
        <v xml:space="preserve">  متراژ پارچه سه نفره   ( فریم 9 متر + تشک 3 متر + کوسن 1 متر )</v>
      </c>
      <c r="G508" s="181"/>
      <c r="H508" s="182"/>
      <c r="I508" s="85" t="str">
        <f>INDEX('حذف از تولید و لیست اصلی'!E:E,MATCH('کاتالوگ مبلمان'!J508,'حذف از تولید و لیست اصلی'!I:I,0))</f>
        <v>13متر</v>
      </c>
      <c r="J508" s="64">
        <v>140</v>
      </c>
    </row>
    <row r="509" spans="1:10" ht="52.5" customHeight="1">
      <c r="A509" s="60"/>
      <c r="B509" s="61"/>
      <c r="D509" s="86">
        <v>9</v>
      </c>
      <c r="E509" s="84" t="str">
        <f>INDEX('حذف از تولید و لیست اصلی'!B:B,MATCH('کاتالوگ مبلمان'!J509,'حذف از تولید و لیست اصلی'!I:I,0))</f>
        <v>-</v>
      </c>
      <c r="F509" s="180" t="str">
        <f>INDEX('حذف از تولید و لیست اصلی'!C:C,MATCH('کاتالوگ مبلمان'!J509,'حذف از تولید و لیست اصلی'!I:I,0))</f>
        <v xml:space="preserve">  متراژ پارچه دو نفره   ( فریم 7متر + تشک 3 متر + کوسن 1 متر )</v>
      </c>
      <c r="G509" s="181"/>
      <c r="H509" s="182"/>
      <c r="I509" s="85" t="str">
        <f>INDEX('حذف از تولید و لیست اصلی'!E:E,MATCH('کاتالوگ مبلمان'!J509,'حذف از تولید و لیست اصلی'!I:I,0))</f>
        <v>11متر</v>
      </c>
      <c r="J509" s="64">
        <v>141</v>
      </c>
    </row>
    <row r="510" spans="1:10" ht="52.5" customHeight="1">
      <c r="A510" s="60"/>
      <c r="B510" s="61"/>
      <c r="D510" s="86">
        <v>10</v>
      </c>
      <c r="E510" s="84" t="str">
        <f>INDEX('حذف از تولید و لیست اصلی'!B:B,MATCH('کاتالوگ مبلمان'!J510,'حذف از تولید و لیست اصلی'!I:I,0))</f>
        <v>-</v>
      </c>
      <c r="F510" s="180" t="str">
        <f>INDEX('حذف از تولید و لیست اصلی'!C:C,MATCH('کاتالوگ مبلمان'!J510,'حذف از تولید و لیست اصلی'!I:I,0))</f>
        <v xml:space="preserve">  متراژ پارچه یک نفره  (فریم 5 متر + تشک 2متر)</v>
      </c>
      <c r="G510" s="181"/>
      <c r="H510" s="182"/>
      <c r="I510" s="85" t="str">
        <f>INDEX('حذف از تولید و لیست اصلی'!E:E,MATCH('کاتالوگ مبلمان'!J510,'حذف از تولید و لیست اصلی'!I:I,0))</f>
        <v>7متر</v>
      </c>
      <c r="J510" s="64">
        <v>142</v>
      </c>
    </row>
    <row r="511" spans="1:10">
      <c r="A511" s="60"/>
      <c r="B511" s="61"/>
      <c r="D511"/>
      <c r="E511"/>
      <c r="F511"/>
      <c r="G511"/>
      <c r="H511"/>
      <c r="I511"/>
    </row>
    <row r="512" spans="1:10">
      <c r="A512" s="60"/>
      <c r="B512" s="61"/>
      <c r="D512"/>
      <c r="E512"/>
      <c r="F512"/>
      <c r="G512"/>
      <c r="H512"/>
      <c r="I512"/>
    </row>
    <row r="513" spans="1:10">
      <c r="A513" s="60"/>
      <c r="B513" s="61"/>
      <c r="D513"/>
      <c r="E513"/>
      <c r="F513"/>
      <c r="G513"/>
      <c r="H513"/>
      <c r="I513"/>
    </row>
    <row r="514" spans="1:10">
      <c r="A514" s="60"/>
      <c r="B514" s="61"/>
      <c r="I514" s="74">
        <v>20</v>
      </c>
    </row>
    <row r="515" spans="1:10" ht="22.5" customHeight="1">
      <c r="A515" s="70"/>
      <c r="B515" s="71"/>
      <c r="C515" s="183"/>
      <c r="D515" s="184"/>
      <c r="E515" s="184"/>
      <c r="F515" s="184"/>
      <c r="G515" s="184"/>
      <c r="H515" s="184"/>
      <c r="I515" s="184"/>
    </row>
    <row r="516" spans="1:10" ht="22.5" customHeight="1">
      <c r="A516" s="70"/>
      <c r="B516" s="71"/>
      <c r="C516" s="183"/>
      <c r="D516" s="184"/>
      <c r="E516" s="184"/>
      <c r="F516" s="184"/>
      <c r="G516" s="184"/>
      <c r="H516" s="184"/>
      <c r="I516" s="184"/>
    </row>
    <row r="517" spans="1:10" ht="27.75">
      <c r="A517" s="70"/>
      <c r="B517" s="71"/>
      <c r="C517" s="72"/>
      <c r="D517" s="67" t="s">
        <v>1103</v>
      </c>
      <c r="E517" s="67"/>
      <c r="F517" s="67"/>
      <c r="I517" s="68" t="str">
        <f>$M$1</f>
        <v>1405/02/01</v>
      </c>
    </row>
    <row r="518" spans="1:10" ht="45" customHeight="1">
      <c r="A518" s="70"/>
      <c r="B518" s="71"/>
      <c r="C518" s="77"/>
      <c r="D518" s="87" t="s">
        <v>0</v>
      </c>
      <c r="E518" s="88" t="s">
        <v>1</v>
      </c>
      <c r="F518" s="177" t="s">
        <v>448</v>
      </c>
      <c r="G518" s="178"/>
      <c r="H518" s="179"/>
      <c r="I518" s="89" t="s">
        <v>251</v>
      </c>
    </row>
    <row r="519" spans="1:10" ht="52.5" customHeight="1">
      <c r="A519" s="60"/>
      <c r="B519" s="61"/>
      <c r="D519" s="84">
        <v>1</v>
      </c>
      <c r="E519" s="84" t="str">
        <f>INDEX('حذف از تولید و لیست اصلی'!B:B,MATCH('کاتالوگ مبلمان'!J519,'حذف از تولید و لیست اصلی'!I:I,0))</f>
        <v>2110110300</v>
      </c>
      <c r="F519" s="180" t="str">
        <f>INDEX('حذف از تولید و لیست اصلی'!C:C,MATCH('کاتالوگ مبلمان'!J519,'حذف از تولید و لیست اصلی'!I:I,0))</f>
        <v xml:space="preserve">   کاناپه سه نفره پاندو ( 2 عدد کوسن )</v>
      </c>
      <c r="G519" s="181"/>
      <c r="H519" s="182"/>
      <c r="I519" s="85">
        <f>INDEX('حذف از تولید و لیست اصلی'!E:E,MATCH('کاتالوگ مبلمان'!J519,'حذف از تولید و لیست اصلی'!I:I,0))</f>
        <v>1085000000</v>
      </c>
      <c r="J519" s="64">
        <v>143</v>
      </c>
    </row>
    <row r="520" spans="1:10" ht="52.5" customHeight="1">
      <c r="A520" s="60"/>
      <c r="B520" s="61"/>
      <c r="C520" s="78"/>
      <c r="D520" s="86">
        <v>2</v>
      </c>
      <c r="E520" s="84" t="str">
        <f>INDEX('حذف از تولید و لیست اصلی'!B:B,MATCH('کاتالوگ مبلمان'!J520,'حذف از تولید و لیست اصلی'!I:I,0))</f>
        <v>2110110200</v>
      </c>
      <c r="F520" s="180" t="str">
        <f>INDEX('حذف از تولید و لیست اصلی'!C:C,MATCH('کاتالوگ مبلمان'!J520,'حذف از تولید و لیست اصلی'!I:I,0))</f>
        <v xml:space="preserve">  کاناپه دو نفره پاندو ( 2عدد کوسن ) </v>
      </c>
      <c r="G520" s="181"/>
      <c r="H520" s="182"/>
      <c r="I520" s="85">
        <f>INDEX('حذف از تولید و لیست اصلی'!E:E,MATCH('کاتالوگ مبلمان'!J520,'حذف از تولید و لیست اصلی'!I:I,0))</f>
        <v>810000000</v>
      </c>
      <c r="J520" s="64">
        <v>144</v>
      </c>
    </row>
    <row r="521" spans="1:10" ht="52.5" customHeight="1">
      <c r="A521" s="60"/>
      <c r="B521" s="61"/>
      <c r="D521" s="86">
        <v>3</v>
      </c>
      <c r="E521" s="84" t="str">
        <f>INDEX('حذف از تولید و لیست اصلی'!B:B,MATCH('کاتالوگ مبلمان'!J521,'حذف از تولید و لیست اصلی'!I:I,0))</f>
        <v>2110110100</v>
      </c>
      <c r="F521" s="180" t="str">
        <f>INDEX('حذف از تولید و لیست اصلی'!C:C,MATCH('کاتالوگ مبلمان'!J521,'حذف از تولید و لیست اصلی'!I:I,0))</f>
        <v xml:space="preserve">  مبل یک نفره پاندو ( بدون کوسن )</v>
      </c>
      <c r="G521" s="181"/>
      <c r="H521" s="182"/>
      <c r="I521" s="85">
        <f>INDEX('حذف از تولید و لیست اصلی'!E:E,MATCH('کاتالوگ مبلمان'!J521,'حذف از تولید و لیست اصلی'!I:I,0))</f>
        <v>541000000</v>
      </c>
      <c r="J521" s="64">
        <v>145</v>
      </c>
    </row>
    <row r="522" spans="1:10" ht="52.5" customHeight="1">
      <c r="A522" s="60"/>
      <c r="B522" s="61"/>
      <c r="D522" s="86">
        <v>4</v>
      </c>
      <c r="E522" s="84" t="str">
        <f>INDEX('حذف از تولید و لیست اصلی'!B:B,MATCH('کاتالوگ مبلمان'!J522,'حذف از تولید و لیست اصلی'!I:I,0))</f>
        <v>2110110500</v>
      </c>
      <c r="F522" s="180" t="str">
        <f>INDEX('حذف از تولید و لیست اصلی'!C:C,MATCH('کاتالوگ مبلمان'!J522,'حذف از تولید و لیست اصلی'!I:I,0))</f>
        <v>میز جلو مبلی مستطیل پاندو</v>
      </c>
      <c r="G522" s="181"/>
      <c r="H522" s="182"/>
      <c r="I522" s="85">
        <f>INDEX('حذف از تولید و لیست اصلی'!E:E,MATCH('کاتالوگ مبلمان'!J522,'حذف از تولید و لیست اصلی'!I:I,0))</f>
        <v>295000000</v>
      </c>
      <c r="J522" s="64">
        <v>146</v>
      </c>
    </row>
    <row r="523" spans="1:10" ht="52.5" customHeight="1">
      <c r="A523" s="60"/>
      <c r="B523" s="61"/>
      <c r="D523" s="86">
        <v>5</v>
      </c>
      <c r="E523" s="84" t="str">
        <f>INDEX('حذف از تولید و لیست اصلی'!B:B,MATCH('کاتالوگ مبلمان'!J523,'حذف از تولید و لیست اصلی'!I:I,0))</f>
        <v>2110110400</v>
      </c>
      <c r="F523" s="180" t="str">
        <f>INDEX('حذف از تولید و لیست اصلی'!C:C,MATCH('کاتالوگ مبلمان'!J523,'حذف از تولید و لیست اصلی'!I:I,0))</f>
        <v xml:space="preserve">  میز جلو مبلی مربع پاندو</v>
      </c>
      <c r="G523" s="181"/>
      <c r="H523" s="182"/>
      <c r="I523" s="85">
        <f>INDEX('حذف از تولید و لیست اصلی'!E:E,MATCH('کاتالوگ مبلمان'!J523,'حذف از تولید و لیست اصلی'!I:I,0))</f>
        <v>295000000</v>
      </c>
      <c r="J523" s="64">
        <v>147</v>
      </c>
    </row>
    <row r="524" spans="1:10" ht="52.5" customHeight="1">
      <c r="A524" s="60"/>
      <c r="B524" s="61"/>
      <c r="D524" s="86">
        <v>6</v>
      </c>
      <c r="E524" s="84" t="str">
        <f>INDEX('حذف از تولید و لیست اصلی'!B:B,MATCH('کاتالوگ مبلمان'!J524,'حذف از تولید و لیست اصلی'!I:I,0))</f>
        <v>2110110600</v>
      </c>
      <c r="F524" s="180" t="str">
        <f>INDEX('حذف از تولید و لیست اصلی'!C:C,MATCH('کاتالوگ مبلمان'!J524,'حذف از تولید و لیست اصلی'!I:I,0))</f>
        <v xml:space="preserve">   میز کنار مبلی پاندو</v>
      </c>
      <c r="G524" s="181"/>
      <c r="H524" s="182"/>
      <c r="I524" s="85">
        <f>INDEX('حذف از تولید و لیست اصلی'!E:E,MATCH('کاتالوگ مبلمان'!J524,'حذف از تولید و لیست اصلی'!I:I,0))</f>
        <v>252000000</v>
      </c>
      <c r="J524" s="64">
        <v>148</v>
      </c>
    </row>
    <row r="525" spans="1:10" ht="52.5" customHeight="1">
      <c r="A525" s="60"/>
      <c r="B525" s="61"/>
      <c r="D525" s="86">
        <v>7</v>
      </c>
      <c r="E525" s="84" t="str">
        <f>INDEX('حذف از تولید و لیست اصلی'!B:B,MATCH('کاتالوگ مبلمان'!J525,'حذف از تولید و لیست اصلی'!I:I,0))</f>
        <v>-</v>
      </c>
      <c r="F525" s="180" t="str">
        <f>INDEX('حذف از تولید و لیست اصلی'!C:C,MATCH('کاتالوگ مبلمان'!J525,'حذف از تولید و لیست اصلی'!I:I,0))</f>
        <v xml:space="preserve">متراژ پارچه هفت نفره  ( فریم 24 متر + تشک 9 متر + کوسن 2 متر )  </v>
      </c>
      <c r="G525" s="181"/>
      <c r="H525" s="182"/>
      <c r="I525" s="85" t="str">
        <f>INDEX('حذف از تولید و لیست اصلی'!E:E,MATCH('کاتالوگ مبلمان'!J525,'حذف از تولید و لیست اصلی'!I:I,0))</f>
        <v>35متر</v>
      </c>
      <c r="J525" s="64">
        <v>149</v>
      </c>
    </row>
    <row r="526" spans="1:10" ht="52.5" customHeight="1">
      <c r="A526" s="60"/>
      <c r="B526" s="61"/>
      <c r="D526" s="86">
        <v>8</v>
      </c>
      <c r="E526" s="84" t="str">
        <f>INDEX('حذف از تولید و لیست اصلی'!B:B,MATCH('کاتالوگ مبلمان'!J526,'حذف از تولید و لیست اصلی'!I:I,0))</f>
        <v>-</v>
      </c>
      <c r="F526" s="180" t="str">
        <f>INDEX('حذف از تولید و لیست اصلی'!C:C,MATCH('کاتالوگ مبلمان'!J526,'حذف از تولید و لیست اصلی'!I:I,0))</f>
        <v xml:space="preserve">  متراژ پارچه سه نفره   ( فریم 9 متر + تشک 3 متر + کوسن 1 متر )</v>
      </c>
      <c r="G526" s="181"/>
      <c r="H526" s="182"/>
      <c r="I526" s="85" t="str">
        <f>INDEX('حذف از تولید و لیست اصلی'!E:E,MATCH('کاتالوگ مبلمان'!J526,'حذف از تولید و لیست اصلی'!I:I,0))</f>
        <v>13متر</v>
      </c>
      <c r="J526" s="64">
        <v>150</v>
      </c>
    </row>
    <row r="527" spans="1:10" ht="52.5" customHeight="1">
      <c r="A527" s="60"/>
      <c r="B527" s="61"/>
      <c r="D527" s="86">
        <v>9</v>
      </c>
      <c r="E527" s="84" t="str">
        <f>INDEX('حذف از تولید و لیست اصلی'!B:B,MATCH('کاتالوگ مبلمان'!J527,'حذف از تولید و لیست اصلی'!I:I,0))</f>
        <v>-</v>
      </c>
      <c r="F527" s="180" t="str">
        <f>INDEX('حذف از تولید و لیست اصلی'!C:C,MATCH('کاتالوگ مبلمان'!J527,'حذف از تولید و لیست اصلی'!I:I,0))</f>
        <v xml:space="preserve">  متراژ پارچه دو نفره   ( فریم 7متر + تشک 3 متر + کوسن 1 متر )</v>
      </c>
      <c r="G527" s="181"/>
      <c r="H527" s="182"/>
      <c r="I527" s="85" t="str">
        <f>INDEX('حذف از تولید و لیست اصلی'!E:E,MATCH('کاتالوگ مبلمان'!J527,'حذف از تولید و لیست اصلی'!I:I,0))</f>
        <v>11متر</v>
      </c>
      <c r="J527" s="64">
        <v>151</v>
      </c>
    </row>
    <row r="528" spans="1:10" ht="52.5" customHeight="1">
      <c r="A528" s="60"/>
      <c r="B528" s="61"/>
      <c r="D528" s="86">
        <v>10</v>
      </c>
      <c r="E528" s="84" t="str">
        <f>INDEX('حذف از تولید و لیست اصلی'!B:B,MATCH('کاتالوگ مبلمان'!J528,'حذف از تولید و لیست اصلی'!I:I,0))</f>
        <v>-</v>
      </c>
      <c r="F528" s="180" t="str">
        <f>INDEX('حذف از تولید و لیست اصلی'!C:C,MATCH('کاتالوگ مبلمان'!J528,'حذف از تولید و لیست اصلی'!I:I,0))</f>
        <v xml:space="preserve">  متراژ پارچه یک نفره  (فریم 5 متر + تشک 2متر)</v>
      </c>
      <c r="G528" s="181"/>
      <c r="H528" s="182"/>
      <c r="I528" s="85" t="str">
        <f>INDEX('حذف از تولید و لیست اصلی'!E:E,MATCH('کاتالوگ مبلمان'!J528,'حذف از تولید و لیست اصلی'!I:I,0))</f>
        <v>7متر</v>
      </c>
      <c r="J528" s="64">
        <v>152</v>
      </c>
    </row>
    <row r="529" spans="1:10">
      <c r="A529" s="60"/>
      <c r="B529" s="61"/>
      <c r="D529"/>
      <c r="E529"/>
      <c r="F529"/>
      <c r="G529"/>
      <c r="H529"/>
      <c r="I529"/>
    </row>
    <row r="530" spans="1:10">
      <c r="A530" s="60"/>
      <c r="B530" s="61"/>
      <c r="D530"/>
      <c r="E530"/>
      <c r="F530"/>
      <c r="G530"/>
      <c r="H530"/>
      <c r="I530"/>
    </row>
    <row r="531" spans="1:10">
      <c r="A531" s="60"/>
      <c r="B531" s="61"/>
      <c r="D531"/>
      <c r="E531"/>
      <c r="F531"/>
      <c r="G531"/>
      <c r="H531"/>
      <c r="I531"/>
    </row>
    <row r="532" spans="1:10">
      <c r="A532" s="60"/>
      <c r="B532" s="61"/>
      <c r="I532" s="74">
        <v>21</v>
      </c>
    </row>
    <row r="533" spans="1:10" ht="22.5" customHeight="1">
      <c r="A533" s="70"/>
      <c r="B533" s="71"/>
      <c r="C533" s="183"/>
      <c r="D533" s="184"/>
      <c r="E533" s="184"/>
      <c r="F533" s="184"/>
      <c r="G533" s="184"/>
      <c r="H533" s="184"/>
      <c r="I533" s="184"/>
    </row>
    <row r="534" spans="1:10" ht="22.5" customHeight="1">
      <c r="A534" s="70"/>
      <c r="B534" s="71"/>
      <c r="C534" s="183"/>
      <c r="D534" s="184"/>
      <c r="E534" s="184"/>
      <c r="F534" s="184"/>
      <c r="G534" s="184"/>
      <c r="H534" s="184"/>
      <c r="I534" s="184"/>
    </row>
    <row r="535" spans="1:10" ht="27.75">
      <c r="A535" s="70"/>
      <c r="B535" s="71"/>
      <c r="C535" s="72"/>
      <c r="D535" s="67" t="s">
        <v>334</v>
      </c>
      <c r="E535" s="67"/>
      <c r="F535" s="67"/>
      <c r="I535" s="68" t="str">
        <f>$M$1</f>
        <v>1405/02/01</v>
      </c>
    </row>
    <row r="536" spans="1:10" ht="45" customHeight="1">
      <c r="A536" s="70"/>
      <c r="B536" s="71"/>
      <c r="C536" s="77"/>
      <c r="D536" s="87" t="s">
        <v>0</v>
      </c>
      <c r="E536" s="88" t="s">
        <v>1</v>
      </c>
      <c r="F536" s="177" t="s">
        <v>448</v>
      </c>
      <c r="G536" s="178"/>
      <c r="H536" s="179"/>
      <c r="I536" s="89" t="s">
        <v>251</v>
      </c>
    </row>
    <row r="537" spans="1:10" ht="54" customHeight="1">
      <c r="A537" s="60"/>
      <c r="B537" s="61"/>
      <c r="D537" s="84">
        <v>1</v>
      </c>
      <c r="E537" s="84" t="str">
        <f>INDEX('حذف از تولید و لیست اصلی'!B:B,MATCH('کاتالوگ مبلمان'!J537,'حذف از تولید و لیست اصلی'!I:I,0))</f>
        <v>21101203000000</v>
      </c>
      <c r="F537" s="180" t="str">
        <f>INDEX('حذف از تولید و لیست اصلی'!C:C,MATCH('کاتالوگ مبلمان'!J537,'حذف از تولید و لیست اصلی'!I:I,0))</f>
        <v xml:space="preserve">  کاناپه سه نفره پیناس ( 5 عدد کوسن)</v>
      </c>
      <c r="G537" s="181"/>
      <c r="H537" s="182"/>
      <c r="I537" s="85">
        <f>INDEX('حذف از تولید و لیست اصلی'!E:E,MATCH('کاتالوگ مبلمان'!J537,'حذف از تولید و لیست اصلی'!I:I,0))</f>
        <v>1321000000</v>
      </c>
      <c r="J537" s="64">
        <v>153</v>
      </c>
    </row>
    <row r="538" spans="1:10" ht="54" customHeight="1">
      <c r="A538" s="60"/>
      <c r="B538" s="61"/>
      <c r="C538" s="78"/>
      <c r="D538" s="86">
        <v>2</v>
      </c>
      <c r="E538" s="84" t="str">
        <f>INDEX('حذف از تولید و لیست اصلی'!B:B,MATCH('کاتالوگ مبلمان'!J538,'حذف از تولید و لیست اصلی'!I:I,0))</f>
        <v>21101202000000</v>
      </c>
      <c r="F538" s="180" t="str">
        <f>INDEX('حذف از تولید و لیست اصلی'!C:C,MATCH('کاتالوگ مبلمان'!J538,'حذف از تولید و لیست اصلی'!I:I,0))</f>
        <v xml:space="preserve">  کاناپه دو نفره پیناس (5 عدد کوسن )</v>
      </c>
      <c r="G538" s="181"/>
      <c r="H538" s="182"/>
      <c r="I538" s="85">
        <f>INDEX('حذف از تولید و لیست اصلی'!E:E,MATCH('کاتالوگ مبلمان'!J538,'حذف از تولید و لیست اصلی'!I:I,0))</f>
        <v>979000000</v>
      </c>
      <c r="J538" s="64">
        <v>154</v>
      </c>
    </row>
    <row r="539" spans="1:10" ht="54" customHeight="1">
      <c r="A539" s="60"/>
      <c r="B539" s="61"/>
      <c r="D539" s="86">
        <v>3</v>
      </c>
      <c r="E539" s="84" t="str">
        <f>INDEX('حذف از تولید و لیست اصلی'!B:B,MATCH('کاتالوگ مبلمان'!J539,'حذف از تولید و لیست اصلی'!I:I,0))</f>
        <v>21101201000000</v>
      </c>
      <c r="F539" s="180" t="str">
        <f>INDEX('حذف از تولید و لیست اصلی'!C:C,MATCH('کاتالوگ مبلمان'!J539,'حذف از تولید و لیست اصلی'!I:I,0))</f>
        <v xml:space="preserve">  مبل یک نفره پیناس کلاسیک (1 عدد کوسن )</v>
      </c>
      <c r="G539" s="181"/>
      <c r="H539" s="182"/>
      <c r="I539" s="85">
        <f>INDEX('حذف از تولید و لیست اصلی'!E:E,MATCH('کاتالوگ مبلمان'!J539,'حذف از تولید و لیست اصلی'!I:I,0))</f>
        <v>664000000</v>
      </c>
      <c r="J539" s="64">
        <v>155</v>
      </c>
    </row>
    <row r="540" spans="1:10" ht="54" customHeight="1">
      <c r="A540" s="60"/>
      <c r="B540" s="61"/>
      <c r="D540" s="86">
        <v>4</v>
      </c>
      <c r="E540" s="84" t="str">
        <f>INDEX('حذف از تولید و لیست اصلی'!B:B,MATCH('کاتالوگ مبلمان'!J540,'حذف از تولید و لیست اصلی'!I:I,0))</f>
        <v>21101207000000</v>
      </c>
      <c r="F540" s="180" t="str">
        <f>INDEX('حذف از تولید و لیست اصلی'!C:C,MATCH('کاتالوگ مبلمان'!J540,'حذف از تولید و لیست اصلی'!I:I,0))</f>
        <v xml:space="preserve">  مبل یک نفره پیناس مدرن (1 عدد کوسن )</v>
      </c>
      <c r="G540" s="181"/>
      <c r="H540" s="182"/>
      <c r="I540" s="85">
        <f>INDEX('حذف از تولید و لیست اصلی'!E:E,MATCH('کاتالوگ مبلمان'!J540,'حذف از تولید و لیست اصلی'!I:I,0))</f>
        <v>664000000</v>
      </c>
      <c r="J540" s="64">
        <v>156</v>
      </c>
    </row>
    <row r="541" spans="1:10" ht="54" customHeight="1">
      <c r="A541" s="60"/>
      <c r="B541" s="61"/>
      <c r="D541" s="86">
        <v>5</v>
      </c>
      <c r="E541" s="84" t="str">
        <f>INDEX('حذف از تولید و لیست اصلی'!B:B,MATCH('کاتالوگ مبلمان'!J541,'حذف از تولید و لیست اصلی'!I:I,0))</f>
        <v>-</v>
      </c>
      <c r="F541" s="180" t="str">
        <f>INDEX('حذف از تولید و لیست اصلی'!C:C,MATCH('کاتالوگ مبلمان'!J541,'حذف از تولید و لیست اصلی'!I:I,0))</f>
        <v xml:space="preserve">  متراژ پارچه هفت نفره ( فریم 22 متر + تشک 8 متر + کوسن 5 متر)</v>
      </c>
      <c r="G541" s="181"/>
      <c r="H541" s="182"/>
      <c r="I541" s="85" t="str">
        <f>INDEX('حذف از تولید و لیست اصلی'!E:E,MATCH('کاتالوگ مبلمان'!J541,'حذف از تولید و لیست اصلی'!I:I,0))</f>
        <v>35متر</v>
      </c>
      <c r="J541" s="64">
        <v>157</v>
      </c>
    </row>
    <row r="542" spans="1:10" ht="54" customHeight="1">
      <c r="A542" s="60"/>
      <c r="B542" s="61"/>
      <c r="D542" s="86">
        <v>6</v>
      </c>
      <c r="E542" s="84" t="str">
        <f>INDEX('حذف از تولید و لیست اصلی'!B:B,MATCH('کاتالوگ مبلمان'!J542,'حذف از تولید و لیست اصلی'!I:I,0))</f>
        <v>-</v>
      </c>
      <c r="F542" s="180" t="str">
        <f>INDEX('حذف از تولید و لیست اصلی'!C:C,MATCH('کاتالوگ مبلمان'!J542,'حذف از تولید و لیست اصلی'!I:I,0))</f>
        <v xml:space="preserve">  متراژ پارچه سه نفره ( فریم 7 متر + تشک 3 متر + کوسن 2 متر )</v>
      </c>
      <c r="G542" s="181"/>
      <c r="H542" s="182"/>
      <c r="I542" s="85" t="str">
        <f>INDEX('حذف از تولید و لیست اصلی'!E:E,MATCH('کاتالوگ مبلمان'!J542,'حذف از تولید و لیست اصلی'!I:I,0))</f>
        <v>12متر</v>
      </c>
      <c r="J542" s="64">
        <v>158</v>
      </c>
    </row>
    <row r="543" spans="1:10" ht="54" customHeight="1">
      <c r="A543" s="60"/>
      <c r="B543" s="61"/>
      <c r="D543" s="86">
        <v>7</v>
      </c>
      <c r="E543" s="84" t="str">
        <f>INDEX('حذف از تولید و لیست اصلی'!B:B,MATCH('کاتالوگ مبلمان'!J543,'حذف از تولید و لیست اصلی'!I:I,0))</f>
        <v>-</v>
      </c>
      <c r="F543" s="180" t="str">
        <f>INDEX('حذف از تولید و لیست اصلی'!C:C,MATCH('کاتالوگ مبلمان'!J543,'حذف از تولید و لیست اصلی'!I:I,0))</f>
        <v xml:space="preserve">  متراژ پارچه دو نفره   (فریم 6 متر + تشک 2 متر+ کوسن 2 متر )</v>
      </c>
      <c r="G543" s="181"/>
      <c r="H543" s="182"/>
      <c r="I543" s="85" t="str">
        <f>INDEX('حذف از تولید و لیست اصلی'!E:E,MATCH('کاتالوگ مبلمان'!J543,'حذف از تولید و لیست اصلی'!I:I,0))</f>
        <v>10متر</v>
      </c>
      <c r="J543" s="64">
        <v>159</v>
      </c>
    </row>
    <row r="544" spans="1:10" ht="54" customHeight="1">
      <c r="A544" s="60"/>
      <c r="B544" s="61"/>
      <c r="D544" s="86">
        <v>8</v>
      </c>
      <c r="E544" s="84" t="str">
        <f>INDEX('حذف از تولید و لیست اصلی'!B:B,MATCH('کاتالوگ مبلمان'!J544,'حذف از تولید و لیست اصلی'!I:I,0))</f>
        <v>-</v>
      </c>
      <c r="F544" s="180" t="str">
        <f>INDEX('حذف از تولید و لیست اصلی'!C:C,MATCH('کاتالوگ مبلمان'!J544,'حذف از تولید و لیست اصلی'!I:I,0))</f>
        <v xml:space="preserve">  متراژ پارچه یک نفره (مدرن و کلاسیک)(فریم 4/8 متر + تشک 1/5 متر + کوسن 1 متر )</v>
      </c>
      <c r="G544" s="181"/>
      <c r="H544" s="182"/>
      <c r="I544" s="85" t="str">
        <f>INDEX('حذف از تولید و لیست اصلی'!E:E,MATCH('کاتالوگ مبلمان'!J544,'حذف از تولید و لیست اصلی'!I:I,0))</f>
        <v>7متر</v>
      </c>
      <c r="J544" s="64">
        <v>160</v>
      </c>
    </row>
    <row r="545" spans="1:10">
      <c r="A545" s="60"/>
      <c r="B545" s="61"/>
      <c r="D545"/>
      <c r="E545"/>
      <c r="F545"/>
      <c r="G545"/>
      <c r="H545"/>
      <c r="I545"/>
    </row>
    <row r="546" spans="1:10">
      <c r="A546" s="60"/>
      <c r="B546" s="61"/>
      <c r="G546" s="64"/>
      <c r="H546" s="64"/>
      <c r="I546" s="64"/>
    </row>
    <row r="547" spans="1:10">
      <c r="A547" s="60"/>
      <c r="B547" s="61"/>
      <c r="G547" s="64"/>
      <c r="H547" s="64"/>
      <c r="I547" s="64"/>
    </row>
    <row r="548" spans="1:10">
      <c r="A548" s="60"/>
      <c r="B548" s="61"/>
      <c r="G548" s="64"/>
      <c r="H548" s="64"/>
      <c r="I548" s="64"/>
    </row>
    <row r="549" spans="1:10">
      <c r="A549" s="60"/>
      <c r="B549" s="61"/>
      <c r="G549" s="64"/>
      <c r="H549" s="64"/>
      <c r="I549" s="64"/>
    </row>
    <row r="550" spans="1:10">
      <c r="A550" s="60"/>
      <c r="B550" s="61"/>
      <c r="G550" s="64"/>
      <c r="H550" s="64"/>
      <c r="I550" s="64"/>
    </row>
    <row r="551" spans="1:10">
      <c r="A551" s="60"/>
      <c r="B551" s="61"/>
      <c r="G551" s="64"/>
      <c r="H551" s="64"/>
      <c r="I551" s="64"/>
    </row>
    <row r="552" spans="1:10">
      <c r="A552" s="60"/>
      <c r="B552" s="61"/>
      <c r="G552" s="64"/>
      <c r="H552" s="64"/>
      <c r="I552" s="64"/>
    </row>
    <row r="553" spans="1:10">
      <c r="A553" s="60"/>
      <c r="B553" s="61"/>
      <c r="I553" s="74">
        <v>22</v>
      </c>
    </row>
    <row r="554" spans="1:10" ht="22.5" customHeight="1">
      <c r="A554" s="70"/>
      <c r="B554" s="71"/>
      <c r="C554" s="183"/>
      <c r="D554" s="184"/>
      <c r="E554" s="184"/>
      <c r="F554" s="184"/>
      <c r="G554" s="184"/>
      <c r="H554" s="184"/>
      <c r="I554" s="184"/>
    </row>
    <row r="555" spans="1:10" ht="22.5" customHeight="1">
      <c r="A555" s="70"/>
      <c r="B555" s="71"/>
      <c r="C555" s="183"/>
      <c r="D555" s="184"/>
      <c r="E555" s="184"/>
      <c r="F555" s="184"/>
      <c r="G555" s="184"/>
      <c r="H555" s="184"/>
      <c r="I555" s="184"/>
    </row>
    <row r="556" spans="1:10" ht="27.75">
      <c r="A556" s="70"/>
      <c r="B556" s="71"/>
      <c r="C556" s="72"/>
      <c r="D556" s="67" t="s">
        <v>339</v>
      </c>
      <c r="E556" s="67"/>
      <c r="F556" s="67"/>
      <c r="I556" s="68" t="str">
        <f>$M$1</f>
        <v>1405/02/01</v>
      </c>
    </row>
    <row r="557" spans="1:10" ht="45" customHeight="1">
      <c r="A557" s="70"/>
      <c r="B557" s="71"/>
      <c r="C557" s="77"/>
      <c r="D557" s="87" t="s">
        <v>0</v>
      </c>
      <c r="E557" s="88" t="s">
        <v>1</v>
      </c>
      <c r="F557" s="177" t="s">
        <v>448</v>
      </c>
      <c r="G557" s="178"/>
      <c r="H557" s="179"/>
      <c r="I557" s="89" t="s">
        <v>251</v>
      </c>
    </row>
    <row r="558" spans="1:10" ht="53.25" customHeight="1">
      <c r="A558" s="60"/>
      <c r="B558" s="61"/>
      <c r="D558" s="84">
        <v>1</v>
      </c>
      <c r="E558" s="84" t="str">
        <f>INDEX('حذف از تولید و لیست اصلی'!B:B,MATCH('کاتالوگ مبلمان'!J558,'حذف از تولید و لیست اصلی'!I:I,0))</f>
        <v>21101203000000</v>
      </c>
      <c r="F558" s="180" t="str">
        <f>INDEX('حذف از تولید و لیست اصلی'!C:C,MATCH('کاتالوگ مبلمان'!J558,'حذف از تولید و لیست اصلی'!I:I,0))</f>
        <v xml:space="preserve">  کاناپه سه نفره پیناس ( 5 عدد کوسن)</v>
      </c>
      <c r="G558" s="181"/>
      <c r="H558" s="182"/>
      <c r="I558" s="85">
        <f>INDEX('حذف از تولید و لیست اصلی'!E:E,MATCH('کاتالوگ مبلمان'!J558,'حذف از تولید و لیست اصلی'!I:I,0))</f>
        <v>1081000000</v>
      </c>
      <c r="J558" s="64">
        <v>161</v>
      </c>
    </row>
    <row r="559" spans="1:10" ht="53.25" customHeight="1">
      <c r="A559" s="60"/>
      <c r="B559" s="61"/>
      <c r="C559" s="78"/>
      <c r="D559" s="86">
        <v>2</v>
      </c>
      <c r="E559" s="84" t="str">
        <f>INDEX('حذف از تولید و لیست اصلی'!B:B,MATCH('کاتالوگ مبلمان'!J559,'حذف از تولید و لیست اصلی'!I:I,0))</f>
        <v>21101202000000</v>
      </c>
      <c r="F559" s="180" t="str">
        <f>INDEX('حذف از تولید و لیست اصلی'!C:C,MATCH('کاتالوگ مبلمان'!J559,'حذف از تولید و لیست اصلی'!I:I,0))</f>
        <v xml:space="preserve">  کاناپه دو نفره پیناس (5 عدد کوسن )</v>
      </c>
      <c r="G559" s="181"/>
      <c r="H559" s="182"/>
      <c r="I559" s="85">
        <f>INDEX('حذف از تولید و لیست اصلی'!E:E,MATCH('کاتالوگ مبلمان'!J559,'حذف از تولید و لیست اصلی'!I:I,0))</f>
        <v>779000000</v>
      </c>
      <c r="J559" s="64">
        <v>162</v>
      </c>
    </row>
    <row r="560" spans="1:10" ht="53.25" customHeight="1">
      <c r="A560" s="60"/>
      <c r="B560" s="61"/>
      <c r="D560" s="86">
        <v>3</v>
      </c>
      <c r="E560" s="84" t="str">
        <f>INDEX('حذف از تولید و لیست اصلی'!B:B,MATCH('کاتالوگ مبلمان'!J560,'حذف از تولید و لیست اصلی'!I:I,0))</f>
        <v>21101201000000</v>
      </c>
      <c r="F560" s="180" t="str">
        <f>INDEX('حذف از تولید و لیست اصلی'!C:C,MATCH('کاتالوگ مبلمان'!J560,'حذف از تولید و لیست اصلی'!I:I,0))</f>
        <v xml:space="preserve">  مبل یک نفره پیناس کلاسیک (1 عدد کوسن )</v>
      </c>
      <c r="G560" s="181"/>
      <c r="H560" s="182"/>
      <c r="I560" s="85">
        <f>INDEX('حذف از تولید و لیست اصلی'!E:E,MATCH('کاتالوگ مبلمان'!J560,'حذف از تولید و لیست اصلی'!I:I,0))</f>
        <v>524000000</v>
      </c>
      <c r="J560" s="64">
        <v>163</v>
      </c>
    </row>
    <row r="561" spans="1:10" ht="53.25" customHeight="1">
      <c r="A561" s="60"/>
      <c r="B561" s="61"/>
      <c r="D561" s="86">
        <v>4</v>
      </c>
      <c r="E561" s="84" t="str">
        <f>INDEX('حذف از تولید و لیست اصلی'!B:B,MATCH('کاتالوگ مبلمان'!J561,'حذف از تولید و لیست اصلی'!I:I,0))</f>
        <v>21101201000000</v>
      </c>
      <c r="F561" s="180" t="str">
        <f>INDEX('حذف از تولید و لیست اصلی'!C:C,MATCH('کاتالوگ مبلمان'!J561,'حذف از تولید و لیست اصلی'!I:I,0))</f>
        <v xml:space="preserve">  مبل یک نفره پیناس مدرن (1 عدد کوسن )</v>
      </c>
      <c r="G561" s="181"/>
      <c r="H561" s="182"/>
      <c r="I561" s="85">
        <f>INDEX('حذف از تولید و لیست اصلی'!E:E,MATCH('کاتالوگ مبلمان'!J561,'حذف از تولید و لیست اصلی'!I:I,0))</f>
        <v>524000000</v>
      </c>
      <c r="J561" s="64">
        <v>164</v>
      </c>
    </row>
    <row r="562" spans="1:10" ht="53.25" customHeight="1">
      <c r="A562" s="60"/>
      <c r="B562" s="61"/>
      <c r="D562" s="86">
        <v>5</v>
      </c>
      <c r="E562" s="84" t="str">
        <f>INDEX('حذف از تولید و لیست اصلی'!B:B,MATCH('کاتالوگ مبلمان'!J562,'حذف از تولید و لیست اصلی'!I:I,0))</f>
        <v>-</v>
      </c>
      <c r="F562" s="180" t="str">
        <f>INDEX('حذف از تولید و لیست اصلی'!C:C,MATCH('کاتالوگ مبلمان'!J562,'حذف از تولید و لیست اصلی'!I:I,0))</f>
        <v xml:space="preserve">  متراژ پارچه هفت نفره ( فریم 22 متر + تشک 8 متر + کوسن 5 متر)</v>
      </c>
      <c r="G562" s="181"/>
      <c r="H562" s="182"/>
      <c r="I562" s="85" t="str">
        <f>INDEX('حذف از تولید و لیست اصلی'!E:E,MATCH('کاتالوگ مبلمان'!J562,'حذف از تولید و لیست اصلی'!I:I,0))</f>
        <v>35متر</v>
      </c>
      <c r="J562" s="64">
        <v>165</v>
      </c>
    </row>
    <row r="563" spans="1:10" ht="53.25" customHeight="1">
      <c r="A563" s="60"/>
      <c r="B563" s="61"/>
      <c r="D563" s="86">
        <v>6</v>
      </c>
      <c r="E563" s="84" t="str">
        <f>INDEX('حذف از تولید و لیست اصلی'!B:B,MATCH('کاتالوگ مبلمان'!J563,'حذف از تولید و لیست اصلی'!I:I,0))</f>
        <v>-</v>
      </c>
      <c r="F563" s="180" t="str">
        <f>INDEX('حذف از تولید و لیست اصلی'!C:C,MATCH('کاتالوگ مبلمان'!J563,'حذف از تولید و لیست اصلی'!I:I,0))</f>
        <v xml:space="preserve">  متراژ پارچه سه نفره ( فریم 7 متر + تشک 3 متر + کوسن 2 متر )</v>
      </c>
      <c r="G563" s="181"/>
      <c r="H563" s="182"/>
      <c r="I563" s="85" t="str">
        <f>INDEX('حذف از تولید و لیست اصلی'!E:E,MATCH('کاتالوگ مبلمان'!J563,'حذف از تولید و لیست اصلی'!I:I,0))</f>
        <v>12متر</v>
      </c>
      <c r="J563" s="64">
        <v>166</v>
      </c>
    </row>
    <row r="564" spans="1:10" ht="53.25" customHeight="1">
      <c r="A564" s="60"/>
      <c r="B564" s="61"/>
      <c r="D564" s="86">
        <v>7</v>
      </c>
      <c r="E564" s="84" t="str">
        <f>INDEX('حذف از تولید و لیست اصلی'!B:B,MATCH('کاتالوگ مبلمان'!J564,'حذف از تولید و لیست اصلی'!I:I,0))</f>
        <v>-</v>
      </c>
      <c r="F564" s="180" t="str">
        <f>INDEX('حذف از تولید و لیست اصلی'!C:C,MATCH('کاتالوگ مبلمان'!J564,'حذف از تولید و لیست اصلی'!I:I,0))</f>
        <v xml:space="preserve">  متراژ پارچه دو نفره   (فریم 6 متر + تشک 2 متر+ کوسن 2 متر )</v>
      </c>
      <c r="G564" s="181"/>
      <c r="H564" s="182"/>
      <c r="I564" s="85" t="str">
        <f>INDEX('حذف از تولید و لیست اصلی'!E:E,MATCH('کاتالوگ مبلمان'!J564,'حذف از تولید و لیست اصلی'!I:I,0))</f>
        <v>10متر</v>
      </c>
      <c r="J564" s="64">
        <v>167</v>
      </c>
    </row>
    <row r="565" spans="1:10" ht="53.25" customHeight="1">
      <c r="A565" s="60"/>
      <c r="B565" s="61"/>
      <c r="D565" s="86">
        <v>8</v>
      </c>
      <c r="E565" s="84" t="str">
        <f>INDEX('حذف از تولید و لیست اصلی'!B:B,MATCH('کاتالوگ مبلمان'!J565,'حذف از تولید و لیست اصلی'!I:I,0))</f>
        <v>-</v>
      </c>
      <c r="F565" s="180" t="str">
        <f>INDEX('حذف از تولید و لیست اصلی'!C:C,MATCH('کاتالوگ مبلمان'!J565,'حذف از تولید و لیست اصلی'!I:I,0))</f>
        <v xml:space="preserve">  متراژ پارچه یک نفره (مدرن و کلاسیک)(فریم 4/8 متر + تشک 1/5 متر + کوسن 1 متر )</v>
      </c>
      <c r="G565" s="181"/>
      <c r="H565" s="182"/>
      <c r="I565" s="85" t="str">
        <f>INDEX('حذف از تولید و لیست اصلی'!E:E,MATCH('کاتالوگ مبلمان'!J565,'حذف از تولید و لیست اصلی'!I:I,0))</f>
        <v>7متر</v>
      </c>
      <c r="J565" s="64">
        <v>168</v>
      </c>
    </row>
    <row r="566" spans="1:10">
      <c r="A566" s="60"/>
      <c r="B566" s="61"/>
      <c r="D566"/>
      <c r="E566"/>
      <c r="F566"/>
      <c r="G566"/>
      <c r="H566"/>
      <c r="I566"/>
    </row>
    <row r="567" spans="1:10">
      <c r="A567" s="60"/>
      <c r="B567" s="61"/>
      <c r="G567" s="64"/>
      <c r="H567" s="64"/>
      <c r="I567" s="64"/>
    </row>
    <row r="568" spans="1:10">
      <c r="A568" s="60"/>
      <c r="B568" s="61"/>
      <c r="G568" s="64"/>
      <c r="H568" s="64"/>
      <c r="I568" s="64"/>
    </row>
    <row r="569" spans="1:10">
      <c r="A569" s="60"/>
      <c r="B569" s="61"/>
      <c r="G569" s="64"/>
      <c r="H569" s="64"/>
      <c r="I569" s="64"/>
    </row>
    <row r="570" spans="1:10">
      <c r="A570" s="60"/>
      <c r="B570" s="61"/>
      <c r="G570" s="64"/>
      <c r="H570" s="64"/>
      <c r="I570" s="64"/>
    </row>
    <row r="571" spans="1:10">
      <c r="A571" s="60"/>
      <c r="B571" s="61"/>
      <c r="G571" s="64"/>
      <c r="H571" s="64"/>
      <c r="I571" s="64"/>
    </row>
    <row r="572" spans="1:10">
      <c r="A572" s="60"/>
      <c r="B572" s="61"/>
      <c r="G572" s="64"/>
      <c r="H572" s="64"/>
      <c r="I572" s="64"/>
    </row>
    <row r="573" spans="1:10">
      <c r="A573" s="60"/>
      <c r="B573" s="61"/>
      <c r="G573" s="64"/>
      <c r="H573" s="64"/>
      <c r="I573" s="64"/>
    </row>
    <row r="574" spans="1:10">
      <c r="A574" s="60"/>
      <c r="B574" s="61"/>
      <c r="I574" s="28">
        <v>23</v>
      </c>
    </row>
    <row r="575" spans="1:10" ht="22.5" customHeight="1">
      <c r="A575" s="70"/>
      <c r="B575" s="71"/>
      <c r="C575" s="183"/>
      <c r="D575" s="184"/>
      <c r="E575" s="184"/>
      <c r="F575" s="184"/>
      <c r="G575" s="184"/>
      <c r="H575" s="184"/>
      <c r="I575" s="184"/>
    </row>
    <row r="576" spans="1:10" ht="22.5" customHeight="1">
      <c r="A576" s="70"/>
      <c r="B576" s="71"/>
      <c r="C576" s="183"/>
      <c r="D576" s="184"/>
      <c r="E576" s="184"/>
      <c r="F576" s="184"/>
      <c r="G576" s="184"/>
      <c r="H576" s="184"/>
      <c r="I576" s="184"/>
    </row>
    <row r="577" spans="1:10" ht="27.75">
      <c r="A577" s="70"/>
      <c r="B577" s="71"/>
      <c r="C577" s="72"/>
      <c r="D577" s="67" t="s">
        <v>187</v>
      </c>
      <c r="E577" s="67"/>
      <c r="F577" s="67"/>
      <c r="I577" s="68" t="str">
        <f>$M$1</f>
        <v>1405/02/01</v>
      </c>
    </row>
    <row r="578" spans="1:10" ht="45" customHeight="1">
      <c r="A578" s="70"/>
      <c r="B578" s="71"/>
      <c r="C578" s="77"/>
      <c r="D578" s="87" t="s">
        <v>0</v>
      </c>
      <c r="E578" s="88" t="s">
        <v>1</v>
      </c>
      <c r="F578" s="177" t="s">
        <v>448</v>
      </c>
      <c r="G578" s="178"/>
      <c r="H578" s="179"/>
      <c r="I578" s="89" t="s">
        <v>251</v>
      </c>
    </row>
    <row r="579" spans="1:10" ht="52.5" customHeight="1">
      <c r="A579" s="60"/>
      <c r="B579" s="61"/>
      <c r="D579" s="84">
        <v>1</v>
      </c>
      <c r="E579" s="84" t="str">
        <f>INDEX('حذف از تولید و لیست اصلی'!B:B,MATCH('کاتالوگ مبلمان'!J579,'حذف از تولید و لیست اصلی'!I:I,0))</f>
        <v>2110140000</v>
      </c>
      <c r="F579" s="180" t="str">
        <f>INDEX('حذف از تولید و لیست اصلی'!C:C,MATCH('کاتالوگ مبلمان'!J579,'حذف از تولید و لیست اصلی'!I:I,0))</f>
        <v xml:space="preserve">  مبل هفت نفره داگلاس  ( یکعدد سه  نفره + یکعدد دو نفره + دو عدد یک نفره )</v>
      </c>
      <c r="G579" s="181"/>
      <c r="H579" s="182"/>
      <c r="I579" s="85">
        <f>INDEX('حذف از تولید و لیست اصلی'!E:E,MATCH('کاتالوگ مبلمان'!J579,'حذف از تولید و لیست اصلی'!I:I,0))</f>
        <v>4921000000</v>
      </c>
      <c r="J579" s="64">
        <v>169</v>
      </c>
    </row>
    <row r="580" spans="1:10" ht="52.5" customHeight="1">
      <c r="A580" s="60"/>
      <c r="B580" s="61"/>
      <c r="C580" s="78"/>
      <c r="D580" s="86">
        <v>2</v>
      </c>
      <c r="E580" s="84" t="str">
        <f>INDEX('حذف از تولید و لیست اصلی'!B:B,MATCH('کاتالوگ مبلمان'!J580,'حذف از تولید و لیست اصلی'!I:I,0))</f>
        <v>2110140300</v>
      </c>
      <c r="F580" s="180" t="str">
        <f>INDEX('حذف از تولید و لیست اصلی'!C:C,MATCH('کاتالوگ مبلمان'!J580,'حذف از تولید و لیست اصلی'!I:I,0))</f>
        <v xml:space="preserve">  کاناپه سه نفره داگلاس ( 4عدد کوسن )</v>
      </c>
      <c r="G580" s="181"/>
      <c r="H580" s="182"/>
      <c r="I580" s="85">
        <f>INDEX('حذف از تولید و لیست اصلی'!E:E,MATCH('کاتالوگ مبلمان'!J580,'حذف از تولید و لیست اصلی'!I:I,0))</f>
        <v>1873000000</v>
      </c>
      <c r="J580" s="64">
        <v>170</v>
      </c>
    </row>
    <row r="581" spans="1:10" ht="52.5" customHeight="1">
      <c r="A581" s="60"/>
      <c r="B581" s="61"/>
      <c r="D581" s="86">
        <v>3</v>
      </c>
      <c r="E581" s="84" t="str">
        <f>INDEX('حذف از تولید و لیست اصلی'!B:B,MATCH('کاتالوگ مبلمان'!J581,'حذف از تولید و لیست اصلی'!I:I,0))</f>
        <v>2110140200</v>
      </c>
      <c r="F581" s="180" t="str">
        <f>INDEX('حذف از تولید و لیست اصلی'!C:C,MATCH('کاتالوگ مبلمان'!J581,'حذف از تولید و لیست اصلی'!I:I,0))</f>
        <v xml:space="preserve"> کاناپه دو نفره داگلاس ( 2 عدد کوسن )</v>
      </c>
      <c r="G581" s="181"/>
      <c r="H581" s="182"/>
      <c r="I581" s="85">
        <f>INDEX('حذف از تولید و لیست اصلی'!E:E,MATCH('کاتالوگ مبلمان'!J581,'حذف از تولید و لیست اصلی'!I:I,0))</f>
        <v>1268000000</v>
      </c>
      <c r="J581" s="64">
        <v>171</v>
      </c>
    </row>
    <row r="582" spans="1:10" ht="52.5" customHeight="1">
      <c r="A582" s="60"/>
      <c r="B582" s="61"/>
      <c r="D582" s="86">
        <v>4</v>
      </c>
      <c r="E582" s="84" t="str">
        <f>INDEX('حذف از تولید و لیست اصلی'!B:B,MATCH('کاتالوگ مبلمان'!J582,'حذف از تولید و لیست اصلی'!I:I,0))</f>
        <v>2110140100</v>
      </c>
      <c r="F582" s="180" t="str">
        <f>INDEX('حذف از تولید و لیست اصلی'!C:C,MATCH('کاتالوگ مبلمان'!J582,'حذف از تولید و لیست اصلی'!I:I,0))</f>
        <v xml:space="preserve"> مبل یک نفره داگلاس ( بدون کوسن )</v>
      </c>
      <c r="G582" s="181"/>
      <c r="H582" s="182"/>
      <c r="I582" s="85">
        <f>INDEX('حذف از تولید و لیست اصلی'!E:E,MATCH('کاتالوگ مبلمان'!J582,'حذف از تولید و لیست اصلی'!I:I,0))</f>
        <v>890000000</v>
      </c>
      <c r="J582" s="64">
        <v>172</v>
      </c>
    </row>
    <row r="583" spans="1:10" ht="52.5" customHeight="1">
      <c r="A583" s="60"/>
      <c r="B583" s="61"/>
      <c r="D583" s="86">
        <v>5</v>
      </c>
      <c r="E583" s="84" t="str">
        <f>INDEX('حذف از تولید و لیست اصلی'!B:B,MATCH('کاتالوگ مبلمان'!J583,'حذف از تولید و لیست اصلی'!I:I,0))</f>
        <v>-</v>
      </c>
      <c r="F583" s="180" t="str">
        <f>INDEX('حذف از تولید و لیست اصلی'!C:C,MATCH('کاتالوگ مبلمان'!J583,'حذف از تولید و لیست اصلی'!I:I,0))</f>
        <v xml:space="preserve">  متراژ پارچه مبل هفت نفره (فریم14متر+کف10/5متر+کوسن3/5متر)</v>
      </c>
      <c r="G583" s="181"/>
      <c r="H583" s="182"/>
      <c r="I583" s="85">
        <f>INDEX('حذف از تولید و لیست اصلی'!E:E,MATCH('کاتالوگ مبلمان'!J583,'حذف از تولید و لیست اصلی'!I:I,0))</f>
        <v>28</v>
      </c>
      <c r="J583" s="64">
        <v>173</v>
      </c>
    </row>
    <row r="584" spans="1:10" ht="52.5" customHeight="1">
      <c r="A584" s="60"/>
      <c r="B584" s="61"/>
      <c r="D584" s="86">
        <v>6</v>
      </c>
      <c r="E584" s="84" t="str">
        <f>INDEX('حذف از تولید و لیست اصلی'!B:B,MATCH('کاتالوگ مبلمان'!J584,'حذف از تولید و لیست اصلی'!I:I,0))</f>
        <v>-</v>
      </c>
      <c r="F584" s="180" t="str">
        <f>INDEX('حذف از تولید و لیست اصلی'!C:C,MATCH('کاتالوگ مبلمان'!J584,'حذف از تولید و لیست اصلی'!I:I,0))</f>
        <v xml:space="preserve">  متراژ پارچه سه نفره (فریم4/5متر+کف4متر+کوسن2/5متر)</v>
      </c>
      <c r="G584" s="181"/>
      <c r="H584" s="182"/>
      <c r="I584" s="85">
        <f>INDEX('حذف از تولید و لیست اصلی'!E:E,MATCH('کاتالوگ مبلمان'!J584,'حذف از تولید و لیست اصلی'!I:I,0))</f>
        <v>11</v>
      </c>
      <c r="J584" s="64">
        <v>174</v>
      </c>
    </row>
    <row r="585" spans="1:10" ht="52.5" customHeight="1">
      <c r="A585" s="60"/>
      <c r="B585" s="61"/>
      <c r="D585" s="86">
        <v>7</v>
      </c>
      <c r="E585" s="84" t="str">
        <f>INDEX('حذف از تولید و لیست اصلی'!B:B,MATCH('کاتالوگ مبلمان'!J585,'حذف از تولید و لیست اصلی'!I:I,0))</f>
        <v>-</v>
      </c>
      <c r="F585" s="180" t="str">
        <f>INDEX('حذف از تولید و لیست اصلی'!C:C,MATCH('کاتالوگ مبلمان'!J585,'حذف از تولید و لیست اصلی'!I:I,0))</f>
        <v xml:space="preserve">  متراژ پارچه دو نفره (فریم4متر+کف3/5متر+کوسن1متر)</v>
      </c>
      <c r="G585" s="181"/>
      <c r="H585" s="182"/>
      <c r="I585" s="85" t="str">
        <f>INDEX('حذف از تولید و لیست اصلی'!E:E,MATCH('کاتالوگ مبلمان'!J585,'حذف از تولید و لیست اصلی'!I:I,0))</f>
        <v>8/5</v>
      </c>
      <c r="J585" s="64">
        <v>175</v>
      </c>
    </row>
    <row r="586" spans="1:10" ht="52.5" customHeight="1">
      <c r="A586" s="60"/>
      <c r="B586" s="61"/>
      <c r="D586" s="86">
        <v>8</v>
      </c>
      <c r="E586" s="84" t="str">
        <f>INDEX('حذف از تولید و لیست اصلی'!B:B,MATCH('کاتالوگ مبلمان'!J586,'حذف از تولید و لیست اصلی'!I:I,0))</f>
        <v>-</v>
      </c>
      <c r="F586" s="180" t="str">
        <f>INDEX('حذف از تولید و لیست اصلی'!C:C,MATCH('کاتالوگ مبلمان'!J586,'حذف از تولید و لیست اصلی'!I:I,0))</f>
        <v xml:space="preserve">  متراژ پارچه یکعدد یک نفره (فریم3متر+کف1/8متر)</v>
      </c>
      <c r="G586" s="181"/>
      <c r="H586" s="182"/>
      <c r="I586" s="85" t="str">
        <f>INDEX('حذف از تولید و لیست اصلی'!E:E,MATCH('کاتالوگ مبلمان'!J586,'حذف از تولید و لیست اصلی'!I:I,0))</f>
        <v>4/8</v>
      </c>
      <c r="J586" s="64">
        <v>176</v>
      </c>
    </row>
    <row r="587" spans="1:10">
      <c r="A587" s="60"/>
      <c r="B587" s="61"/>
      <c r="D587"/>
      <c r="E587"/>
      <c r="F587"/>
      <c r="G587"/>
      <c r="H587"/>
      <c r="I587"/>
    </row>
    <row r="588" spans="1:10">
      <c r="A588" s="60"/>
      <c r="B588" s="61"/>
      <c r="G588" s="64"/>
      <c r="H588" s="64"/>
      <c r="I588" s="64"/>
    </row>
    <row r="589" spans="1:10">
      <c r="A589" s="60"/>
      <c r="B589" s="61"/>
      <c r="G589" s="64"/>
      <c r="H589" s="64"/>
      <c r="I589" s="64"/>
    </row>
    <row r="590" spans="1:10">
      <c r="A590" s="60"/>
      <c r="B590" s="61"/>
      <c r="G590" s="64"/>
      <c r="H590" s="64"/>
      <c r="I590" s="64"/>
    </row>
    <row r="591" spans="1:10">
      <c r="A591" s="60"/>
      <c r="B591" s="61"/>
      <c r="G591" s="64"/>
      <c r="H591" s="64"/>
      <c r="I591" s="64"/>
    </row>
    <row r="592" spans="1:10">
      <c r="A592" s="60"/>
      <c r="B592" s="61"/>
      <c r="G592" s="64"/>
      <c r="H592" s="64"/>
      <c r="I592" s="64"/>
    </row>
    <row r="593" spans="1:10">
      <c r="A593" s="60"/>
      <c r="B593" s="61"/>
      <c r="D593" s="28"/>
      <c r="E593" s="28"/>
      <c r="F593" s="28"/>
      <c r="G593" s="65"/>
      <c r="I593" s="74"/>
    </row>
    <row r="594" spans="1:10">
      <c r="A594" s="60"/>
      <c r="B594" s="61"/>
      <c r="D594" s="28"/>
      <c r="E594" s="28"/>
      <c r="F594" s="28"/>
      <c r="G594" s="65"/>
      <c r="I594" s="74"/>
    </row>
    <row r="595" spans="1:10">
      <c r="A595" s="60"/>
      <c r="B595" s="61"/>
      <c r="D595" s="28"/>
      <c r="E595" s="28"/>
      <c r="F595" s="28"/>
      <c r="G595" s="65"/>
      <c r="I595" s="74"/>
    </row>
    <row r="596" spans="1:10">
      <c r="A596" s="60"/>
      <c r="B596" s="61"/>
      <c r="I596" s="74">
        <v>24</v>
      </c>
    </row>
    <row r="597" spans="1:10" ht="22.5" customHeight="1">
      <c r="A597" s="70"/>
      <c r="B597" s="71"/>
      <c r="C597" s="183"/>
      <c r="D597" s="184"/>
      <c r="E597" s="184"/>
      <c r="F597" s="184"/>
      <c r="G597" s="184"/>
      <c r="H597" s="184"/>
      <c r="I597" s="184"/>
    </row>
    <row r="598" spans="1:10" ht="22.5" customHeight="1">
      <c r="A598" s="70"/>
      <c r="B598" s="71"/>
      <c r="C598" s="183"/>
      <c r="D598" s="184"/>
      <c r="E598" s="184"/>
      <c r="F598" s="184"/>
      <c r="G598" s="184"/>
      <c r="H598" s="184"/>
      <c r="I598" s="184"/>
    </row>
    <row r="599" spans="1:10" ht="27.75">
      <c r="A599" s="70"/>
      <c r="B599" s="71"/>
      <c r="C599" s="72"/>
      <c r="D599" s="67" t="s">
        <v>190</v>
      </c>
      <c r="E599" s="67"/>
      <c r="F599" s="67"/>
      <c r="I599" s="68" t="str">
        <f>$M$1</f>
        <v>1405/02/01</v>
      </c>
    </row>
    <row r="600" spans="1:10" ht="45" customHeight="1">
      <c r="A600" s="70"/>
      <c r="B600" s="71"/>
      <c r="C600" s="77"/>
      <c r="D600" s="87" t="s">
        <v>0</v>
      </c>
      <c r="E600" s="88" t="s">
        <v>1</v>
      </c>
      <c r="F600" s="177" t="s">
        <v>448</v>
      </c>
      <c r="G600" s="178"/>
      <c r="H600" s="179"/>
      <c r="I600" s="89" t="s">
        <v>251</v>
      </c>
    </row>
    <row r="601" spans="1:10" ht="53.25" customHeight="1">
      <c r="A601" s="60"/>
      <c r="B601" s="61"/>
      <c r="D601" s="84">
        <v>1</v>
      </c>
      <c r="E601" s="84" t="str">
        <f>INDEX('حذف از تولید و لیست اصلی'!B:B,MATCH('کاتالوگ مبلمان'!J601,'حذف از تولید و لیست اصلی'!I:I,0))</f>
        <v>2110140000</v>
      </c>
      <c r="F601" s="180" t="str">
        <f>INDEX('حذف از تولید و لیست اصلی'!C:C,MATCH('کاتالوگ مبلمان'!J601,'حذف از تولید و لیست اصلی'!I:I,0))</f>
        <v xml:space="preserve">  مبل هفت نفره داگلاس  ( یکعدد سه  نفره + یکعدد دو نفره + دو عدد یک نفره )</v>
      </c>
      <c r="G601" s="181"/>
      <c r="H601" s="182"/>
      <c r="I601" s="85">
        <f>INDEX('حذف از تولید و لیست اصلی'!E:E,MATCH('کاتالوگ مبلمان'!J601,'حذف از تولید و لیست اصلی'!I:I,0))</f>
        <v>4339000000</v>
      </c>
      <c r="J601" s="64">
        <v>177</v>
      </c>
    </row>
    <row r="602" spans="1:10" ht="53.25" customHeight="1">
      <c r="A602" s="60"/>
      <c r="B602" s="61"/>
      <c r="C602" s="78"/>
      <c r="D602" s="86">
        <v>2</v>
      </c>
      <c r="E602" s="84" t="str">
        <f>INDEX('حذف از تولید و لیست اصلی'!B:B,MATCH('کاتالوگ مبلمان'!J602,'حذف از تولید و لیست اصلی'!I:I,0))</f>
        <v>2110140300</v>
      </c>
      <c r="F602" s="180" t="str">
        <f>INDEX('حذف از تولید و لیست اصلی'!C:C,MATCH('کاتالوگ مبلمان'!J602,'حذف از تولید و لیست اصلی'!I:I,0))</f>
        <v xml:space="preserve">  کاناپه سه نفره داگلاس ( 4عدد کوسن )</v>
      </c>
      <c r="G602" s="181"/>
      <c r="H602" s="182"/>
      <c r="I602" s="85">
        <f>INDEX('حذف از تولید و لیست اصلی'!E:E,MATCH('کاتالوگ مبلمان'!J602,'حذف از تولید و لیست اصلی'!I:I,0))</f>
        <v>1653000000</v>
      </c>
      <c r="J602" s="64">
        <v>178</v>
      </c>
    </row>
    <row r="603" spans="1:10" ht="53.25" customHeight="1">
      <c r="A603" s="60"/>
      <c r="B603" s="61"/>
      <c r="D603" s="86">
        <v>3</v>
      </c>
      <c r="E603" s="84" t="str">
        <f>INDEX('حذف از تولید و لیست اصلی'!B:B,MATCH('کاتالوگ مبلمان'!J603,'حذف از تولید و لیست اصلی'!I:I,0))</f>
        <v>2110140200</v>
      </c>
      <c r="F603" s="180" t="str">
        <f>INDEX('حذف از تولید و لیست اصلی'!C:C,MATCH('کاتالوگ مبلمان'!J603,'حذف از تولید و لیست اصلی'!I:I,0))</f>
        <v xml:space="preserve"> کاناپه دو نفره داگلاس ( 2 عدد کوسن )</v>
      </c>
      <c r="G603" s="181"/>
      <c r="H603" s="182"/>
      <c r="I603" s="85">
        <f>INDEX('حذف از تولید و لیست اصلی'!E:E,MATCH('کاتالوگ مبلمان'!J603,'حذف از تولید و لیست اصلی'!I:I,0))</f>
        <v>1098000000</v>
      </c>
      <c r="J603" s="64">
        <v>179</v>
      </c>
    </row>
    <row r="604" spans="1:10" ht="53.25" customHeight="1">
      <c r="A604" s="60"/>
      <c r="B604" s="61"/>
      <c r="D604" s="86">
        <v>4</v>
      </c>
      <c r="E604" s="84" t="str">
        <f>INDEX('حذف از تولید و لیست اصلی'!B:B,MATCH('کاتالوگ مبلمان'!J604,'حذف از تولید و لیست اصلی'!I:I,0))</f>
        <v>2110140100</v>
      </c>
      <c r="F604" s="180" t="str">
        <f>INDEX('حذف از تولید و لیست اصلی'!C:C,MATCH('کاتالوگ مبلمان'!J604,'حذف از تولید و لیست اصلی'!I:I,0))</f>
        <v xml:space="preserve"> مبل یک نفره داگلاس ( بدون کوسن )</v>
      </c>
      <c r="G604" s="181"/>
      <c r="H604" s="182"/>
      <c r="I604" s="85">
        <f>INDEX('حذف از تولید و لیست اصلی'!E:E,MATCH('کاتالوگ مبلمان'!J604,'حذف از تولید و لیست اصلی'!I:I,0))</f>
        <v>794000000</v>
      </c>
      <c r="J604" s="64">
        <v>180</v>
      </c>
    </row>
    <row r="605" spans="1:10" ht="53.25" customHeight="1">
      <c r="A605" s="60"/>
      <c r="B605" s="61"/>
      <c r="D605" s="86">
        <v>5</v>
      </c>
      <c r="E605" s="84" t="str">
        <f>INDEX('حذف از تولید و لیست اصلی'!B:B,MATCH('کاتالوگ مبلمان'!J605,'حذف از تولید و لیست اصلی'!I:I,0))</f>
        <v>-</v>
      </c>
      <c r="F605" s="180" t="str">
        <f>INDEX('حذف از تولید و لیست اصلی'!C:C,MATCH('کاتالوگ مبلمان'!J605,'حذف از تولید و لیست اصلی'!I:I,0))</f>
        <v xml:space="preserve">  متراژ پارچه مبل هفت نفره (فریم14متر+کف10/5متر+کوسن3/5متر)</v>
      </c>
      <c r="G605" s="181"/>
      <c r="H605" s="182"/>
      <c r="I605" s="85">
        <f>INDEX('حذف از تولید و لیست اصلی'!E:E,MATCH('کاتالوگ مبلمان'!J605,'حذف از تولید و لیست اصلی'!I:I,0))</f>
        <v>28</v>
      </c>
      <c r="J605" s="64">
        <v>181</v>
      </c>
    </row>
    <row r="606" spans="1:10" ht="53.25" customHeight="1">
      <c r="A606" s="60"/>
      <c r="B606" s="61"/>
      <c r="D606" s="86">
        <v>6</v>
      </c>
      <c r="E606" s="84" t="str">
        <f>INDEX('حذف از تولید و لیست اصلی'!B:B,MATCH('کاتالوگ مبلمان'!J606,'حذف از تولید و لیست اصلی'!I:I,0))</f>
        <v>-</v>
      </c>
      <c r="F606" s="180" t="str">
        <f>INDEX('حذف از تولید و لیست اصلی'!C:C,MATCH('کاتالوگ مبلمان'!J606,'حذف از تولید و لیست اصلی'!I:I,0))</f>
        <v xml:space="preserve">  متراژ پارچه سه نفره (فریم4/5متر+کف4متر+کوسن2/5متر)</v>
      </c>
      <c r="G606" s="181"/>
      <c r="H606" s="182"/>
      <c r="I606" s="85">
        <f>INDEX('حذف از تولید و لیست اصلی'!E:E,MATCH('کاتالوگ مبلمان'!J606,'حذف از تولید و لیست اصلی'!I:I,0))</f>
        <v>11</v>
      </c>
      <c r="J606" s="64">
        <v>182</v>
      </c>
    </row>
    <row r="607" spans="1:10" ht="53.25" customHeight="1">
      <c r="A607" s="60"/>
      <c r="B607" s="61"/>
      <c r="D607" s="86">
        <v>7</v>
      </c>
      <c r="E607" s="84" t="str">
        <f>INDEX('حذف از تولید و لیست اصلی'!B:B,MATCH('کاتالوگ مبلمان'!J607,'حذف از تولید و لیست اصلی'!I:I,0))</f>
        <v>-</v>
      </c>
      <c r="F607" s="180" t="str">
        <f>INDEX('حذف از تولید و لیست اصلی'!C:C,MATCH('کاتالوگ مبلمان'!J607,'حذف از تولید و لیست اصلی'!I:I,0))</f>
        <v xml:space="preserve">  متراژ پارچه دو نفره (فریم4متر+کف3/5متر+کوسن1متر)</v>
      </c>
      <c r="G607" s="181"/>
      <c r="H607" s="182"/>
      <c r="I607" s="85" t="str">
        <f>INDEX('حذف از تولید و لیست اصلی'!E:E,MATCH('کاتالوگ مبلمان'!J607,'حذف از تولید و لیست اصلی'!I:I,0))</f>
        <v>8/5</v>
      </c>
      <c r="J607" s="64">
        <v>183</v>
      </c>
    </row>
    <row r="608" spans="1:10" ht="53.25" customHeight="1">
      <c r="A608" s="60"/>
      <c r="B608" s="61"/>
      <c r="D608" s="86">
        <v>8</v>
      </c>
      <c r="E608" s="84" t="str">
        <f>INDEX('حذف از تولید و لیست اصلی'!B:B,MATCH('کاتالوگ مبلمان'!J608,'حذف از تولید و لیست اصلی'!I:I,0))</f>
        <v>-</v>
      </c>
      <c r="F608" s="180" t="str">
        <f>INDEX('حذف از تولید و لیست اصلی'!C:C,MATCH('کاتالوگ مبلمان'!J608,'حذف از تولید و لیست اصلی'!I:I,0))</f>
        <v xml:space="preserve">  متراژ پارچه یکعدد یک نفره (فریم3متر+کف1/8متر)</v>
      </c>
      <c r="G608" s="181"/>
      <c r="H608" s="182"/>
      <c r="I608" s="85" t="str">
        <f>INDEX('حذف از تولید و لیست اصلی'!E:E,MATCH('کاتالوگ مبلمان'!J608,'حذف از تولید و لیست اصلی'!I:I,0))</f>
        <v>4/8</v>
      </c>
      <c r="J608" s="64">
        <v>184</v>
      </c>
    </row>
    <row r="609" spans="1:10">
      <c r="A609" s="60"/>
      <c r="B609" s="61"/>
      <c r="D609"/>
      <c r="E609"/>
      <c r="F609"/>
      <c r="G609"/>
      <c r="H609"/>
      <c r="I609"/>
    </row>
    <row r="610" spans="1:10">
      <c r="A610" s="60"/>
      <c r="B610" s="61"/>
      <c r="D610"/>
      <c r="E610"/>
      <c r="F610"/>
      <c r="G610" s="64"/>
      <c r="H610" s="64"/>
      <c r="I610" s="64"/>
    </row>
    <row r="611" spans="1:10">
      <c r="A611" s="60"/>
      <c r="B611" s="61"/>
      <c r="D611"/>
      <c r="E611"/>
      <c r="F611"/>
      <c r="G611" s="64"/>
      <c r="H611" s="64"/>
      <c r="I611" s="64"/>
    </row>
    <row r="612" spans="1:10">
      <c r="A612" s="60"/>
      <c r="B612" s="61"/>
      <c r="D612"/>
      <c r="E612"/>
      <c r="F612"/>
      <c r="G612" s="64"/>
      <c r="H612" s="64"/>
      <c r="I612" s="64"/>
    </row>
    <row r="613" spans="1:10">
      <c r="A613" s="60"/>
      <c r="B613" s="61"/>
      <c r="D613"/>
      <c r="E613"/>
      <c r="F613"/>
      <c r="G613" s="64"/>
      <c r="H613" s="64"/>
      <c r="I613" s="64"/>
    </row>
    <row r="614" spans="1:10">
      <c r="A614" s="60"/>
      <c r="B614" s="61"/>
      <c r="D614"/>
      <c r="E614"/>
      <c r="F614"/>
      <c r="G614" s="64"/>
      <c r="H614" s="64"/>
      <c r="I614" s="64"/>
    </row>
    <row r="615" spans="1:10">
      <c r="A615" s="60"/>
      <c r="B615" s="61"/>
      <c r="D615"/>
      <c r="E615"/>
      <c r="F615"/>
      <c r="G615" s="64"/>
      <c r="H615" s="64"/>
      <c r="I615" s="64"/>
    </row>
    <row r="616" spans="1:10">
      <c r="A616" s="60"/>
      <c r="B616" s="61"/>
      <c r="D616"/>
      <c r="E616"/>
      <c r="F616"/>
      <c r="G616" s="64"/>
      <c r="H616" s="64"/>
      <c r="I616" s="64"/>
    </row>
    <row r="617" spans="1:10">
      <c r="A617" s="60"/>
      <c r="B617" s="61"/>
      <c r="I617" s="28">
        <v>25</v>
      </c>
    </row>
    <row r="618" spans="1:10" ht="22.5" customHeight="1">
      <c r="A618" s="70"/>
      <c r="B618" s="71"/>
      <c r="C618" s="183"/>
      <c r="D618" s="184"/>
      <c r="E618" s="184"/>
      <c r="F618" s="184"/>
      <c r="G618" s="184"/>
      <c r="H618" s="184"/>
      <c r="I618" s="184"/>
    </row>
    <row r="619" spans="1:10" ht="22.5" customHeight="1">
      <c r="A619" s="70"/>
      <c r="B619" s="71"/>
      <c r="C619" s="183"/>
      <c r="D619" s="184"/>
      <c r="E619" s="184"/>
      <c r="F619" s="184"/>
      <c r="G619" s="184"/>
      <c r="H619" s="184"/>
      <c r="I619" s="184"/>
    </row>
    <row r="620" spans="1:10" ht="27.75">
      <c r="A620" s="70"/>
      <c r="B620" s="71"/>
      <c r="C620" s="72"/>
      <c r="D620" s="67" t="s">
        <v>13</v>
      </c>
      <c r="E620" s="67"/>
      <c r="F620" s="67"/>
      <c r="I620" s="68" t="str">
        <f>$M$1</f>
        <v>1405/02/01</v>
      </c>
    </row>
    <row r="621" spans="1:10" ht="45" customHeight="1">
      <c r="A621" s="70"/>
      <c r="B621" s="71"/>
      <c r="C621" s="77"/>
      <c r="D621" s="87" t="s">
        <v>0</v>
      </c>
      <c r="E621" s="88" t="s">
        <v>1</v>
      </c>
      <c r="F621" s="177" t="s">
        <v>448</v>
      </c>
      <c r="G621" s="178"/>
      <c r="H621" s="179"/>
      <c r="I621" s="89" t="s">
        <v>251</v>
      </c>
    </row>
    <row r="622" spans="1:10" ht="54.75" customHeight="1">
      <c r="A622" s="60"/>
      <c r="B622" s="61"/>
      <c r="D622" s="84">
        <v>1</v>
      </c>
      <c r="E622" s="84" t="str">
        <f>INDEX('حذف از تولید و لیست اصلی'!B:B,MATCH('کاتالوگ مبلمان'!J622,'حذف از تولید و لیست اصلی'!I:I,0))</f>
        <v>2110170000</v>
      </c>
      <c r="F622" s="180" t="str">
        <f>INDEX('حذف از تولید و لیست اصلی'!C:C,MATCH('کاتالوگ مبلمان'!J622,'حذف از تولید و لیست اصلی'!I:I,0))</f>
        <v xml:space="preserve">  مبل هفت نفره میپل ( یکعدد سه  نفره + یکعدد دو نفره + دو عدد یک نفره + یک عدد میز جلو مبلی + یک عدد میز کنار مبلی )</v>
      </c>
      <c r="G622" s="181"/>
      <c r="H622" s="182"/>
      <c r="I622" s="85">
        <f>INDEX('حذف از تولید و لیست اصلی'!E:E,MATCH('کاتالوگ مبلمان'!J622,'حذف از تولید و لیست اصلی'!I:I,0))</f>
        <v>8132000000</v>
      </c>
      <c r="J622" s="64">
        <v>185</v>
      </c>
    </row>
    <row r="623" spans="1:10" ht="54.75" customHeight="1">
      <c r="A623" s="60"/>
      <c r="B623" s="61"/>
      <c r="C623" s="78"/>
      <c r="D623" s="86">
        <v>2</v>
      </c>
      <c r="E623" s="84" t="str">
        <f>INDEX('حذف از تولید و لیست اصلی'!B:B,MATCH('کاتالوگ مبلمان'!J623,'حذف از تولید و لیست اصلی'!I:I,0))</f>
        <v>2110170300</v>
      </c>
      <c r="F623" s="180" t="str">
        <f>INDEX('حذف از تولید و لیست اصلی'!C:C,MATCH('کاتالوگ مبلمان'!J623,'حذف از تولید و لیست اصلی'!I:I,0))</f>
        <v xml:space="preserve">  کاناپه سه نفره میپل  ( 2عدد تکیه گاه + 2عدد کوسن)</v>
      </c>
      <c r="G623" s="181"/>
      <c r="H623" s="182"/>
      <c r="I623" s="85">
        <f>INDEX('حذف از تولید و لیست اصلی'!E:E,MATCH('کاتالوگ مبلمان'!J623,'حذف از تولید و لیست اصلی'!I:I,0))</f>
        <v>2498000000</v>
      </c>
      <c r="J623" s="64">
        <v>186</v>
      </c>
    </row>
    <row r="624" spans="1:10" ht="54.75" customHeight="1">
      <c r="A624" s="60"/>
      <c r="B624" s="61"/>
      <c r="D624" s="86">
        <v>3</v>
      </c>
      <c r="E624" s="84" t="str">
        <f>INDEX('حذف از تولید و لیست اصلی'!B:B,MATCH('کاتالوگ مبلمان'!J624,'حذف از تولید و لیست اصلی'!I:I,0))</f>
        <v>2110170200</v>
      </c>
      <c r="F624" s="180" t="str">
        <f>INDEX('حذف از تولید و لیست اصلی'!C:C,MATCH('کاتالوگ مبلمان'!J624,'حذف از تولید و لیست اصلی'!I:I,0))</f>
        <v xml:space="preserve"> کاناپه دو نفره میپل ( 2عدد تکیه گاه + 2عدد کوسن )</v>
      </c>
      <c r="G624" s="181"/>
      <c r="H624" s="182"/>
      <c r="I624" s="85">
        <f>INDEX('حذف از تولید و لیست اصلی'!E:E,MATCH('کاتالوگ مبلمان'!J624,'حذف از تولید و لیست اصلی'!I:I,0))</f>
        <v>1877000000</v>
      </c>
      <c r="J624" s="64">
        <v>187</v>
      </c>
    </row>
    <row r="625" spans="1:10" ht="54.75" customHeight="1">
      <c r="A625" s="60"/>
      <c r="B625" s="61"/>
      <c r="D625" s="86">
        <v>4</v>
      </c>
      <c r="E625" s="84" t="str">
        <f>INDEX('حذف از تولید و لیست اصلی'!B:B,MATCH('کاتالوگ مبلمان'!J625,'حذف از تولید و لیست اصلی'!I:I,0))</f>
        <v>2110170100</v>
      </c>
      <c r="F625" s="180" t="str">
        <f>INDEX('حذف از تولید و لیست اصلی'!C:C,MATCH('کاتالوگ مبلمان'!J625,'حذف از تولید و لیست اصلی'!I:I,0))</f>
        <v xml:space="preserve"> مبل یک نفره میپل ( 1عدد تکیه گاه )</v>
      </c>
      <c r="G625" s="181"/>
      <c r="H625" s="182"/>
      <c r="I625" s="85">
        <f>INDEX('حذف از تولید و لیست اصلی'!E:E,MATCH('کاتالوگ مبلمان'!J625,'حذف از تولید و لیست اصلی'!I:I,0))</f>
        <v>1241000000</v>
      </c>
      <c r="J625" s="64">
        <v>188</v>
      </c>
    </row>
    <row r="626" spans="1:10" ht="66" customHeight="1">
      <c r="A626" s="60"/>
      <c r="B626" s="61"/>
      <c r="D626" s="86">
        <v>5</v>
      </c>
      <c r="E626" s="84" t="str">
        <f>INDEX('حذف از تولید و لیست اصلی'!B:B,MATCH('کاتالوگ مبلمان'!J626,'حذف از تولید و لیست اصلی'!I:I,0))</f>
        <v>-</v>
      </c>
      <c r="F626" s="180" t="str">
        <f>INDEX('حذف از تولید و لیست اصلی'!C:C,MATCH('کاتالوگ مبلمان'!J626,'حذف از تولید و لیست اصلی'!I:I,0))</f>
        <v xml:space="preserve">  متراژ پارچه مبل هفت نفره(فریم بیرون 20متر، پشت + تشک + فریم داخل +تکیه گاه + کوسن 27متر)</v>
      </c>
      <c r="G626" s="181"/>
      <c r="H626" s="182"/>
      <c r="I626" s="85" t="str">
        <f>INDEX('حذف از تولید و لیست اصلی'!E:E,MATCH('کاتالوگ مبلمان'!J626,'حذف از تولید و لیست اصلی'!I:I,0))</f>
        <v>47متر</v>
      </c>
      <c r="J626" s="64">
        <v>189</v>
      </c>
    </row>
    <row r="627" spans="1:10" ht="54.75" customHeight="1">
      <c r="A627" s="60"/>
      <c r="B627" s="61"/>
      <c r="D627" s="86">
        <v>6</v>
      </c>
      <c r="E627" s="84" t="str">
        <f>INDEX('حذف از تولید و لیست اصلی'!B:B,MATCH('کاتالوگ مبلمان'!J627,'حذف از تولید و لیست اصلی'!I:I,0))</f>
        <v>-</v>
      </c>
      <c r="F627" s="180" t="str">
        <f>INDEX('حذف از تولید و لیست اصلی'!C:C,MATCH('کاتالوگ مبلمان'!J627,'حذف از تولید و لیست اصلی'!I:I,0))</f>
        <v xml:space="preserve">  متراژ پارچه سه نفره (فریم بیرون 6 متر، پشت + تشک + فریم داخل+تکیه گاه و کوسن 10/5 متر)</v>
      </c>
      <c r="G627" s="181"/>
      <c r="H627" s="182"/>
      <c r="I627" s="85" t="str">
        <f>INDEX('حذف از تولید و لیست اصلی'!E:E,MATCH('کاتالوگ مبلمان'!J627,'حذف از تولید و لیست اصلی'!I:I,0))</f>
        <v>16/5متر</v>
      </c>
      <c r="J627" s="64">
        <v>190</v>
      </c>
    </row>
    <row r="628" spans="1:10" ht="54.75" customHeight="1">
      <c r="A628" s="60"/>
      <c r="B628" s="61"/>
      <c r="D628" s="86">
        <v>7</v>
      </c>
      <c r="E628" s="84" t="str">
        <f>INDEX('حذف از تولید و لیست اصلی'!B:B,MATCH('کاتالوگ مبلمان'!J628,'حذف از تولید و لیست اصلی'!I:I,0))</f>
        <v>-</v>
      </c>
      <c r="F628" s="180" t="str">
        <f>INDEX('حذف از تولید و لیست اصلی'!C:C,MATCH('کاتالوگ مبلمان'!J628,'حذف از تولید و لیست اصلی'!I:I,0))</f>
        <v xml:space="preserve">  متراژ پارچه دو نفره (فریم بیرون 5 متر، پشت + تشک + فریم داخل+تکیه گاه و کوسن 8/5 متر)</v>
      </c>
      <c r="G628" s="181"/>
      <c r="H628" s="182"/>
      <c r="I628" s="85" t="str">
        <f>INDEX('حذف از تولید و لیست اصلی'!E:E,MATCH('کاتالوگ مبلمان'!J628,'حذف از تولید و لیست اصلی'!I:I,0))</f>
        <v>13/5متر</v>
      </c>
      <c r="J628" s="64">
        <v>191</v>
      </c>
    </row>
    <row r="629" spans="1:10" ht="54.75" customHeight="1">
      <c r="A629" s="60"/>
      <c r="B629" s="61"/>
      <c r="D629" s="86">
        <v>8</v>
      </c>
      <c r="E629" s="84" t="str">
        <f>INDEX('حذف از تولید و لیست اصلی'!B:B,MATCH('کاتالوگ مبلمان'!J629,'حذف از تولید و لیست اصلی'!I:I,0))</f>
        <v>-</v>
      </c>
      <c r="F629" s="180" t="str">
        <f>INDEX('حذف از تولید و لیست اصلی'!C:C,MATCH('کاتالوگ مبلمان'!J629,'حذف از تولید و لیست اصلی'!I:I,0))</f>
        <v xml:space="preserve">  متراژ پارچه یکعدد یک نفره (فریم بیرون 4/5 متر، پشت + تشک + فریم داخل + تکیه گاه 4 متر)</v>
      </c>
      <c r="G629" s="181"/>
      <c r="H629" s="182"/>
      <c r="I629" s="85" t="str">
        <f>INDEX('حذف از تولید و لیست اصلی'!E:E,MATCH('کاتالوگ مبلمان'!J629,'حذف از تولید و لیست اصلی'!I:I,0))</f>
        <v>8/5متر</v>
      </c>
      <c r="J629" s="64">
        <v>192</v>
      </c>
    </row>
    <row r="630" spans="1:10">
      <c r="A630" s="60"/>
      <c r="B630" s="61"/>
      <c r="D630"/>
      <c r="E630"/>
      <c r="F630"/>
      <c r="G630"/>
      <c r="H630"/>
      <c r="I630"/>
    </row>
    <row r="631" spans="1:10">
      <c r="A631" s="60"/>
      <c r="B631" s="61"/>
      <c r="D631"/>
      <c r="E631"/>
      <c r="F631"/>
      <c r="G631"/>
      <c r="H631"/>
      <c r="I631"/>
    </row>
    <row r="632" spans="1:10">
      <c r="A632" s="60"/>
      <c r="B632" s="61"/>
      <c r="D632"/>
      <c r="E632"/>
      <c r="F632"/>
      <c r="G632"/>
      <c r="H632"/>
      <c r="I632"/>
    </row>
    <row r="633" spans="1:10">
      <c r="A633" s="60"/>
      <c r="B633" s="61"/>
      <c r="D633"/>
      <c r="E633"/>
      <c r="F633"/>
      <c r="G633"/>
      <c r="H633"/>
      <c r="I633"/>
    </row>
    <row r="634" spans="1:10">
      <c r="A634" s="60"/>
      <c r="B634" s="61"/>
      <c r="D634"/>
      <c r="E634"/>
      <c r="F634"/>
      <c r="G634"/>
      <c r="H634"/>
      <c r="I634"/>
    </row>
    <row r="635" spans="1:10">
      <c r="A635" s="60"/>
      <c r="B635" s="61"/>
      <c r="D635"/>
      <c r="E635"/>
      <c r="F635"/>
      <c r="G635"/>
      <c r="H635"/>
      <c r="I635"/>
    </row>
    <row r="636" spans="1:10">
      <c r="A636" s="60"/>
      <c r="B636" s="61"/>
      <c r="D636" s="28"/>
      <c r="E636" s="28"/>
      <c r="F636" s="28"/>
      <c r="G636" s="65"/>
      <c r="I636" s="74"/>
    </row>
    <row r="637" spans="1:10">
      <c r="A637" s="60"/>
      <c r="B637" s="61"/>
      <c r="I637" s="74">
        <v>26</v>
      </c>
    </row>
    <row r="638" spans="1:10" ht="22.5" customHeight="1">
      <c r="A638" s="70"/>
      <c r="B638" s="71"/>
      <c r="C638" s="183"/>
      <c r="D638" s="184"/>
      <c r="E638" s="184"/>
      <c r="F638" s="184"/>
      <c r="G638" s="184"/>
      <c r="H638" s="184"/>
      <c r="I638" s="184"/>
    </row>
    <row r="639" spans="1:10" ht="22.5" customHeight="1">
      <c r="A639" s="70"/>
      <c r="B639" s="71"/>
      <c r="C639" s="183"/>
      <c r="D639" s="184"/>
      <c r="E639" s="184"/>
      <c r="F639" s="184"/>
      <c r="G639" s="184"/>
      <c r="H639" s="184"/>
      <c r="I639" s="184"/>
    </row>
    <row r="640" spans="1:10" ht="27.75">
      <c r="A640" s="70"/>
      <c r="B640" s="71"/>
      <c r="C640" s="72"/>
      <c r="D640" s="67" t="s">
        <v>18</v>
      </c>
      <c r="E640" s="67"/>
      <c r="F640" s="67"/>
      <c r="I640" s="68" t="str">
        <f>$M$1</f>
        <v>1405/02/01</v>
      </c>
    </row>
    <row r="641" spans="1:10" ht="45" customHeight="1">
      <c r="A641" s="70"/>
      <c r="B641" s="71"/>
      <c r="C641" s="77"/>
      <c r="D641" s="87" t="s">
        <v>0</v>
      </c>
      <c r="E641" s="88" t="s">
        <v>1</v>
      </c>
      <c r="F641" s="177" t="s">
        <v>448</v>
      </c>
      <c r="G641" s="178"/>
      <c r="H641" s="179"/>
      <c r="I641" s="89" t="s">
        <v>251</v>
      </c>
    </row>
    <row r="642" spans="1:10" ht="54.75" customHeight="1">
      <c r="A642" s="60"/>
      <c r="B642" s="61"/>
      <c r="D642" s="84">
        <v>1</v>
      </c>
      <c r="E642" s="84" t="str">
        <f>INDEX('حذف از تولید و لیست اصلی'!B:B,MATCH('کاتالوگ مبلمان'!J642,'حذف از تولید و لیست اصلی'!I:I,0))</f>
        <v>2110170000</v>
      </c>
      <c r="F642" s="180" t="str">
        <f>INDEX('حذف از تولید و لیست اصلی'!C:C,MATCH('کاتالوگ مبلمان'!J642,'حذف از تولید و لیست اصلی'!I:I,0))</f>
        <v xml:space="preserve">  مبل هفت نفره میپل ( یکعدد سه  نفره + یکعدد دو نفره + دو عدد یک نفره )</v>
      </c>
      <c r="G642" s="181"/>
      <c r="H642" s="182"/>
      <c r="I642" s="85">
        <f>INDEX('حذف از تولید و لیست اصلی'!E:E,MATCH('کاتالوگ مبلمان'!J642,'حذف از تولید و لیست اصلی'!I:I,0))</f>
        <v>5782000000</v>
      </c>
      <c r="J642" s="64">
        <v>193</v>
      </c>
    </row>
    <row r="643" spans="1:10" ht="54.75" customHeight="1">
      <c r="A643" s="60"/>
      <c r="B643" s="61"/>
      <c r="C643" s="78"/>
      <c r="D643" s="86">
        <v>2</v>
      </c>
      <c r="E643" s="84" t="str">
        <f>INDEX('حذف از تولید و لیست اصلی'!B:B,MATCH('کاتالوگ مبلمان'!J643,'حذف از تولید و لیست اصلی'!I:I,0))</f>
        <v>2110170300</v>
      </c>
      <c r="F643" s="180" t="str">
        <f>INDEX('حذف از تولید و لیست اصلی'!C:C,MATCH('کاتالوگ مبلمان'!J643,'حذف از تولید و لیست اصلی'!I:I,0))</f>
        <v xml:space="preserve">  کاناپه سه نفره میپل  ( 2عدد تکیه گاه + 2عدد کوسن)</v>
      </c>
      <c r="G643" s="181"/>
      <c r="H643" s="182"/>
      <c r="I643" s="85">
        <f>INDEX('حذف از تولید و لیست اصلی'!E:E,MATCH('کاتالوگ مبلمان'!J643,'حذف از تولید و لیست اصلی'!I:I,0))</f>
        <v>1673000000</v>
      </c>
      <c r="J643" s="64">
        <v>194</v>
      </c>
    </row>
    <row r="644" spans="1:10" ht="54.75" customHeight="1">
      <c r="A644" s="60"/>
      <c r="B644" s="61"/>
      <c r="D644" s="86">
        <v>3</v>
      </c>
      <c r="E644" s="84" t="str">
        <f>INDEX('حذف از تولید و لیست اصلی'!B:B,MATCH('کاتالوگ مبلمان'!J644,'حذف از تولید و لیست اصلی'!I:I,0))</f>
        <v>2110170200</v>
      </c>
      <c r="F644" s="180" t="str">
        <f>INDEX('حذف از تولید و لیست اصلی'!C:C,MATCH('کاتالوگ مبلمان'!J644,'حذف از تولید و لیست اصلی'!I:I,0))</f>
        <v xml:space="preserve"> کاناپه دو نفره میپل ( 2عدد تکیه گاه + 2عدد کوسن )</v>
      </c>
      <c r="G644" s="181"/>
      <c r="H644" s="182"/>
      <c r="I644" s="85">
        <f>INDEX('حذف از تولید و لیست اصلی'!E:E,MATCH('کاتالوگ مبلمان'!J644,'حذف از تولید و لیست اصلی'!I:I,0))</f>
        <v>1202000000</v>
      </c>
      <c r="J644" s="64">
        <v>195</v>
      </c>
    </row>
    <row r="645" spans="1:10" ht="54.75" customHeight="1">
      <c r="A645" s="60"/>
      <c r="B645" s="61"/>
      <c r="D645" s="86">
        <v>4</v>
      </c>
      <c r="E645" s="84" t="str">
        <f>INDEX('حذف از تولید و لیست اصلی'!B:B,MATCH('کاتالوگ مبلمان'!J645,'حذف از تولید و لیست اصلی'!I:I,0))</f>
        <v>2110170100</v>
      </c>
      <c r="F645" s="180" t="str">
        <f>INDEX('حذف از تولید و لیست اصلی'!C:C,MATCH('کاتالوگ مبلمان'!J645,'حذف از تولید و لیست اصلی'!I:I,0))</f>
        <v xml:space="preserve"> مبل یک نفره میپل ( 1عدد تکیه گاه )</v>
      </c>
      <c r="G645" s="181"/>
      <c r="H645" s="182"/>
      <c r="I645" s="85">
        <f>INDEX('حذف از تولید و لیست اصلی'!E:E,MATCH('کاتالوگ مبلمان'!J645,'حذف از تولید و لیست اصلی'!I:I,0))</f>
        <v>816000000</v>
      </c>
      <c r="J645" s="64">
        <v>196</v>
      </c>
    </row>
    <row r="646" spans="1:10" ht="54.75" customHeight="1">
      <c r="A646" s="60"/>
      <c r="B646" s="61"/>
      <c r="D646" s="86">
        <v>5</v>
      </c>
      <c r="E646" s="84" t="str">
        <f>INDEX('حذف از تولید و لیست اصلی'!B:B,MATCH('کاتالوگ مبلمان'!J646,'حذف از تولید و لیست اصلی'!I:I,0))</f>
        <v>-</v>
      </c>
      <c r="F646" s="180" t="str">
        <f>INDEX('حذف از تولید و لیست اصلی'!C:C,MATCH('کاتالوگ مبلمان'!J646,'حذف از تولید و لیست اصلی'!I:I,0))</f>
        <v xml:space="preserve">  متراژ پارچه مبل هفت نفره(فریم بیرون 20متر، پشت + تشک + فریم داخل +تکیه گاه + کوسن 27متر)</v>
      </c>
      <c r="G646" s="181"/>
      <c r="H646" s="182"/>
      <c r="I646" s="85" t="str">
        <f>INDEX('حذف از تولید و لیست اصلی'!E:E,MATCH('کاتالوگ مبلمان'!J646,'حذف از تولید و لیست اصلی'!I:I,0))</f>
        <v>47متر</v>
      </c>
      <c r="J646" s="64">
        <v>197</v>
      </c>
    </row>
    <row r="647" spans="1:10" ht="54.75" customHeight="1">
      <c r="A647" s="60"/>
      <c r="B647" s="61"/>
      <c r="D647" s="86">
        <v>6</v>
      </c>
      <c r="E647" s="84" t="str">
        <f>INDEX('حذف از تولید و لیست اصلی'!B:B,MATCH('کاتالوگ مبلمان'!J647,'حذف از تولید و لیست اصلی'!I:I,0))</f>
        <v>-</v>
      </c>
      <c r="F647" s="180" t="str">
        <f>INDEX('حذف از تولید و لیست اصلی'!C:C,MATCH('کاتالوگ مبلمان'!J647,'حذف از تولید و لیست اصلی'!I:I,0))</f>
        <v xml:space="preserve">  متراژ پارچه سه نفره (فریم بیرون 6 متر، پشت + تشک + فریم داخل+تکیه گاه و کوسن 10/5 متر)</v>
      </c>
      <c r="G647" s="181"/>
      <c r="H647" s="182"/>
      <c r="I647" s="85" t="str">
        <f>INDEX('حذف از تولید و لیست اصلی'!E:E,MATCH('کاتالوگ مبلمان'!J647,'حذف از تولید و لیست اصلی'!I:I,0))</f>
        <v>16/5متر</v>
      </c>
      <c r="J647" s="64">
        <v>198</v>
      </c>
    </row>
    <row r="648" spans="1:10" ht="54.75" customHeight="1">
      <c r="A648" s="60"/>
      <c r="B648" s="61"/>
      <c r="D648" s="86">
        <v>7</v>
      </c>
      <c r="E648" s="84" t="str">
        <f>INDEX('حذف از تولید و لیست اصلی'!B:B,MATCH('کاتالوگ مبلمان'!J648,'حذف از تولید و لیست اصلی'!I:I,0))</f>
        <v>-</v>
      </c>
      <c r="F648" s="180" t="str">
        <f>INDEX('حذف از تولید و لیست اصلی'!C:C,MATCH('کاتالوگ مبلمان'!J648,'حذف از تولید و لیست اصلی'!I:I,0))</f>
        <v xml:space="preserve">  متراژ پارچه دو نفره (فریم بیرون 5 متر، پشت + تشک + فریم داخل+تکیه گاه و کوسن 8/5 متر)</v>
      </c>
      <c r="G648" s="181"/>
      <c r="H648" s="182"/>
      <c r="I648" s="85" t="str">
        <f>INDEX('حذف از تولید و لیست اصلی'!E:E,MATCH('کاتالوگ مبلمان'!J648,'حذف از تولید و لیست اصلی'!I:I,0))</f>
        <v>13/5متر</v>
      </c>
      <c r="J648" s="64">
        <v>199</v>
      </c>
    </row>
    <row r="649" spans="1:10" ht="54.75" customHeight="1">
      <c r="A649" s="60"/>
      <c r="B649" s="61"/>
      <c r="D649" s="86">
        <v>8</v>
      </c>
      <c r="E649" s="84" t="str">
        <f>INDEX('حذف از تولید و لیست اصلی'!B:B,MATCH('کاتالوگ مبلمان'!J649,'حذف از تولید و لیست اصلی'!I:I,0))</f>
        <v>-</v>
      </c>
      <c r="F649" s="180" t="str">
        <f>INDEX('حذف از تولید و لیست اصلی'!C:C,MATCH('کاتالوگ مبلمان'!J649,'حذف از تولید و لیست اصلی'!I:I,0))</f>
        <v xml:space="preserve">  متراژ پارچه یکعدد یک نفره (فریم بیرون 4/5 متر، پشت + تشک + فریم داخل + تکیه گاه 4 متر)</v>
      </c>
      <c r="G649" s="181"/>
      <c r="H649" s="182"/>
      <c r="I649" s="85" t="str">
        <f>INDEX('حذف از تولید و لیست اصلی'!E:E,MATCH('کاتالوگ مبلمان'!J649,'حذف از تولید و لیست اصلی'!I:I,0))</f>
        <v>8/5متر</v>
      </c>
      <c r="J649" s="64">
        <v>200</v>
      </c>
    </row>
    <row r="650" spans="1:10">
      <c r="A650" s="60"/>
      <c r="B650" s="61"/>
      <c r="D650"/>
      <c r="E650"/>
      <c r="F650"/>
      <c r="G650"/>
      <c r="H650"/>
      <c r="I650"/>
    </row>
    <row r="651" spans="1:10">
      <c r="A651" s="60"/>
      <c r="B651" s="61"/>
      <c r="D651"/>
      <c r="E651"/>
      <c r="F651"/>
      <c r="G651"/>
      <c r="H651"/>
      <c r="I651"/>
    </row>
    <row r="652" spans="1:10">
      <c r="A652" s="60"/>
      <c r="B652" s="61"/>
      <c r="D652"/>
      <c r="E652"/>
      <c r="F652"/>
      <c r="G652"/>
      <c r="H652"/>
      <c r="I652"/>
    </row>
    <row r="653" spans="1:10">
      <c r="A653" s="60"/>
      <c r="B653" s="61"/>
      <c r="D653"/>
      <c r="E653"/>
      <c r="F653"/>
      <c r="G653"/>
      <c r="H653"/>
      <c r="I653"/>
    </row>
    <row r="654" spans="1:10">
      <c r="A654" s="60"/>
      <c r="B654" s="61"/>
      <c r="G654" s="64"/>
      <c r="H654" s="64"/>
      <c r="I654" s="64"/>
    </row>
    <row r="655" spans="1:10">
      <c r="A655" s="60"/>
      <c r="B655" s="61"/>
      <c r="G655" s="64"/>
      <c r="H655" s="64"/>
      <c r="I655" s="64"/>
    </row>
    <row r="656" spans="1:10">
      <c r="A656" s="60"/>
      <c r="B656" s="61"/>
      <c r="G656" s="64"/>
      <c r="H656" s="64"/>
      <c r="I656" s="64"/>
    </row>
    <row r="657" spans="1:10">
      <c r="A657" s="60"/>
      <c r="B657" s="61"/>
      <c r="G657" s="64"/>
      <c r="H657" s="64"/>
      <c r="I657" s="64"/>
    </row>
    <row r="658" spans="1:10">
      <c r="A658" s="60"/>
      <c r="B658" s="61"/>
      <c r="I658" s="28">
        <v>27</v>
      </c>
    </row>
    <row r="659" spans="1:10" ht="22.5" customHeight="1">
      <c r="A659" s="70"/>
      <c r="B659" s="71"/>
      <c r="C659" s="183"/>
      <c r="D659" s="184"/>
      <c r="E659" s="184"/>
      <c r="F659" s="184"/>
      <c r="G659" s="184"/>
      <c r="H659" s="184"/>
      <c r="I659" s="184"/>
    </row>
    <row r="660" spans="1:10" ht="22.5" customHeight="1">
      <c r="A660" s="70"/>
      <c r="B660" s="71"/>
      <c r="C660" s="183"/>
      <c r="D660" s="184"/>
      <c r="E660" s="184"/>
      <c r="F660" s="184"/>
      <c r="G660" s="184"/>
      <c r="H660" s="184"/>
      <c r="I660" s="184"/>
    </row>
    <row r="661" spans="1:10" ht="27.75">
      <c r="A661" s="70"/>
      <c r="B661" s="71"/>
      <c r="D661" s="67" t="s">
        <v>1127</v>
      </c>
      <c r="E661" s="67"/>
      <c r="F661" s="67"/>
      <c r="I661" s="68" t="str">
        <f>$M$1</f>
        <v>1405/02/01</v>
      </c>
    </row>
    <row r="662" spans="1:10" ht="21" customHeight="1">
      <c r="A662" s="70"/>
      <c r="B662" s="71"/>
      <c r="C662"/>
      <c r="D662" s="87" t="s">
        <v>0</v>
      </c>
      <c r="E662" s="88" t="s">
        <v>1</v>
      </c>
      <c r="F662" s="177" t="s">
        <v>448</v>
      </c>
      <c r="G662" s="178"/>
      <c r="H662" s="179"/>
      <c r="I662" s="89" t="s">
        <v>251</v>
      </c>
    </row>
    <row r="663" spans="1:10" ht="23.25" customHeight="1">
      <c r="A663" s="60"/>
      <c r="B663" s="61"/>
      <c r="C663"/>
      <c r="D663" s="90">
        <v>1</v>
      </c>
      <c r="E663" s="90">
        <f>INDEX('حذف از تولید و لیست اصلی'!B:B,MATCH('کاتالوگ مبلمان'!J663,'حذف از تولید و لیست اصلی'!I:I,0))</f>
        <v>2110190100</v>
      </c>
      <c r="F663" s="202" t="str">
        <f>INDEX('حذف از تولید و لیست اصلی'!C:C,MATCH('کاتالوگ مبلمان'!J663,'حذف از تولید و لیست اصلی'!I:I,0))</f>
        <v>مبل تک‌نفره تیلیا (یک عدد تکیه‌گاه متوسط)</v>
      </c>
      <c r="G663" s="203"/>
      <c r="H663" s="204"/>
      <c r="I663" s="91">
        <f>INDEX('حذف از تولید و لیست اصلی'!E:E,MATCH('کاتالوگ مبلمان'!J663,'حذف از تولید و لیست اصلی'!I:I,0))</f>
        <v>814000000</v>
      </c>
      <c r="J663" s="64">
        <v>201</v>
      </c>
    </row>
    <row r="664" spans="1:10" ht="36" customHeight="1">
      <c r="A664" s="60"/>
      <c r="B664" s="61"/>
      <c r="C664"/>
      <c r="D664" s="92">
        <v>2</v>
      </c>
      <c r="E664" s="90">
        <f>INDEX('حذف از تولید و لیست اصلی'!B:B,MATCH('کاتالوگ مبلمان'!J664,'حذف از تولید و لیست اصلی'!I:I,0))</f>
        <v>2110191200</v>
      </c>
      <c r="F664" s="202" t="str">
        <f>INDEX('حذف از تولید و لیست اصلی'!C:C,MATCH('کاتالوگ مبلمان'!J664,'حذف از تولید و لیست اصلی'!I:I,0))</f>
        <v>مبل کنج تیلیا (یک عدد تکیه‌گاه بزرگ + یک عدد تکیه‌گاه کوچک + یک عدد کوسن)</v>
      </c>
      <c r="G664" s="203"/>
      <c r="H664" s="204"/>
      <c r="I664" s="91">
        <f>INDEX('حذف از تولید و لیست اصلی'!E:E,MATCH('کاتالوگ مبلمان'!J664,'حذف از تولید و لیست اصلی'!I:I,0))</f>
        <v>1025000000</v>
      </c>
      <c r="J664" s="64">
        <v>202</v>
      </c>
    </row>
    <row r="665" spans="1:10" ht="38.25" customHeight="1">
      <c r="A665" s="60"/>
      <c r="B665" s="61"/>
      <c r="C665"/>
      <c r="D665" s="92">
        <v>3</v>
      </c>
      <c r="E665" s="90">
        <f>INDEX('حذف از تولید و لیست اصلی'!B:B,MATCH('کاتالوگ مبلمان'!J665,'حذف از تولید و لیست اصلی'!I:I,0))</f>
        <v>2110192100</v>
      </c>
      <c r="F665" s="202" t="str">
        <f>INDEX('حذف از تولید و لیست اصلی'!C:C,MATCH('کاتالوگ مبلمان'!J665,'حذف از تولید و لیست اصلی'!I:I,0))</f>
        <v>مبل کنج وتر‌دار تیلیا (یک عدد تکیه‌گاه مبل کنج وتر‌دار + دو عدد کوسن)</v>
      </c>
      <c r="G665" s="203"/>
      <c r="H665" s="204"/>
      <c r="I665" s="91">
        <f>INDEX('حذف از تولید و لیست اصلی'!E:E,MATCH('کاتالوگ مبلمان'!J665,'حذف از تولید و لیست اصلی'!I:I,0))</f>
        <v>1479000000</v>
      </c>
      <c r="J665" s="64">
        <v>203</v>
      </c>
    </row>
    <row r="666" spans="1:10" ht="27.75" customHeight="1">
      <c r="A666" s="60"/>
      <c r="B666" s="61"/>
      <c r="C666"/>
      <c r="D666" s="92">
        <v>4</v>
      </c>
      <c r="E666" s="90">
        <f>INDEX('حذف از تولید و لیست اصلی'!B:B,MATCH('کاتالوگ مبلمان'!J666,'حذف از تولید و لیست اصلی'!I:I,0))</f>
        <v>2110190200</v>
      </c>
      <c r="F666" s="202" t="str">
        <f>INDEX('حذف از تولید و لیست اصلی'!C:C,MATCH('کاتالوگ مبلمان'!J666,'حذف از تولید و لیست اصلی'!I:I,0))</f>
        <v>کاناپه دونفره بدون دسته تیلیا (دو عدد تکیه‌گاه متوسط)</v>
      </c>
      <c r="G666" s="203"/>
      <c r="H666" s="204"/>
      <c r="I666" s="91">
        <f>INDEX('حذف از تولید و لیست اصلی'!E:E,MATCH('کاتالوگ مبلمان'!J666,'حذف از تولید و لیست اصلی'!I:I,0))</f>
        <v>1228000000</v>
      </c>
      <c r="J666" s="64">
        <v>204</v>
      </c>
    </row>
    <row r="667" spans="1:10" ht="17.25" customHeight="1">
      <c r="A667" s="60"/>
      <c r="B667" s="61"/>
      <c r="C667"/>
      <c r="D667" s="92">
        <v>5</v>
      </c>
      <c r="E667" s="90">
        <f>INDEX('حذف از تولید و لیست اصلی'!B:B,MATCH('کاتالوگ مبلمان'!J667,'حذف از تولید و لیست اصلی'!I:I,0))</f>
        <v>2110191300</v>
      </c>
      <c r="F667" s="202" t="str">
        <f>INDEX('حذف از تولید و لیست اصلی'!C:C,MATCH('کاتالوگ مبلمان'!J667,'حذف از تولید و لیست اصلی'!I:I,0))</f>
        <v>پاف بزرگ مربع تیلیا</v>
      </c>
      <c r="G667" s="203"/>
      <c r="H667" s="204"/>
      <c r="I667" s="91">
        <f>INDEX('حذف از تولید و لیست اصلی'!E:E,MATCH('کاتالوگ مبلمان'!J667,'حذف از تولید و لیست اصلی'!I:I,0))</f>
        <v>489000000</v>
      </c>
      <c r="J667" s="64">
        <v>205</v>
      </c>
    </row>
    <row r="668" spans="1:10" ht="17.25" customHeight="1">
      <c r="A668" s="60"/>
      <c r="B668" s="61"/>
      <c r="C668"/>
      <c r="D668" s="92">
        <v>6</v>
      </c>
      <c r="E668" s="90">
        <f>INDEX('حذف از تولید و لیست اصلی'!B:B,MATCH('کاتالوگ مبلمان'!J668,'حذف از تولید و لیست اصلی'!I:I,0))</f>
        <v>2110191600</v>
      </c>
      <c r="F668" s="202" t="str">
        <f>INDEX('حذف از تولید و لیست اصلی'!C:C,MATCH('کاتالوگ مبلمان'!J668,'حذف از تولید و لیست اصلی'!I:I,0))</f>
        <v>پاف بزرگ مربع صفحه چوبی تیلیا</v>
      </c>
      <c r="G668" s="203"/>
      <c r="H668" s="204"/>
      <c r="I668" s="91">
        <f>INDEX('حذف از تولید و لیست اصلی'!E:E,MATCH('کاتالوگ مبلمان'!J668,'حذف از تولید و لیست اصلی'!I:I,0))</f>
        <v>776000000</v>
      </c>
      <c r="J668" s="64">
        <v>206</v>
      </c>
    </row>
    <row r="669" spans="1:10" ht="20.25" customHeight="1">
      <c r="A669" s="60"/>
      <c r="B669" s="61"/>
      <c r="C669"/>
      <c r="D669" s="92">
        <v>7</v>
      </c>
      <c r="E669" s="90" t="e">
        <f>INDEX('حذف از تولید و لیست اصلی'!B:B,MATCH('کاتالوگ مبلمان'!J669,'حذف از تولید و لیست اصلی'!I:I,0))</f>
        <v>#N/A</v>
      </c>
      <c r="F669" s="202" t="e">
        <f>INDEX('حذف از تولید و لیست اصلی'!C:C,MATCH('کاتالوگ مبلمان'!J669,'حذف از تولید و لیست اصلی'!I:I,0))</f>
        <v>#N/A</v>
      </c>
      <c r="G669" s="203"/>
      <c r="H669" s="204"/>
      <c r="I669" s="91" t="e">
        <f>INDEX('حذف از تولید و لیست اصلی'!E:E,MATCH('کاتالوگ مبلمان'!J669,'حذف از تولید و لیست اصلی'!I:I,0))</f>
        <v>#N/A</v>
      </c>
      <c r="J669" s="64">
        <v>207</v>
      </c>
    </row>
    <row r="670" spans="1:10" ht="16.5" customHeight="1">
      <c r="A670" s="60"/>
      <c r="B670" s="61"/>
      <c r="C670"/>
      <c r="D670" s="92">
        <v>8</v>
      </c>
      <c r="E670" s="90">
        <f>INDEX('حذف از تولید و لیست اصلی'!B:B,MATCH('کاتالوگ مبلمان'!J670,'حذف از تولید و لیست اصلی'!I:I,0))</f>
        <v>2110191400</v>
      </c>
      <c r="F670" s="202" t="str">
        <f>INDEX('حذف از تولید و لیست اصلی'!C:C,MATCH('کاتالوگ مبلمان'!J670,'حذف از تولید و لیست اصلی'!I:I,0))</f>
        <v>پاف متوسط تیلیا</v>
      </c>
      <c r="G670" s="203"/>
      <c r="H670" s="204"/>
      <c r="I670" s="91">
        <f>INDEX('حذف از تولید و لیست اصلی'!E:E,MATCH('کاتالوگ مبلمان'!J670,'حذف از تولید و لیست اصلی'!I:I,0))</f>
        <v>459000000</v>
      </c>
      <c r="J670" s="64">
        <v>208</v>
      </c>
    </row>
    <row r="671" spans="1:10" ht="16.5" customHeight="1">
      <c r="A671" s="60"/>
      <c r="B671" s="61"/>
      <c r="C671"/>
      <c r="D671" s="92">
        <v>9</v>
      </c>
      <c r="E671" s="90">
        <f>INDEX('حذف از تولید و لیست اصلی'!B:B,MATCH('کاتالوگ مبلمان'!J671,'حذف از تولید و لیست اصلی'!I:I,0))</f>
        <v>2110191700</v>
      </c>
      <c r="F671" s="202" t="str">
        <f>INDEX('حذف از تولید و لیست اصلی'!C:C,MATCH('کاتالوگ مبلمان'!J671,'حذف از تولید و لیست اصلی'!I:I,0))</f>
        <v>پاف صفحه چوبی متوسط تیلیا</v>
      </c>
      <c r="G671" s="203"/>
      <c r="H671" s="204"/>
      <c r="I671" s="91">
        <f>INDEX('حذف از تولید و لیست اصلی'!E:E,MATCH('کاتالوگ مبلمان'!J671,'حذف از تولید و لیست اصلی'!I:I,0))</f>
        <v>702000000</v>
      </c>
      <c r="J671" s="64">
        <v>209</v>
      </c>
    </row>
    <row r="672" spans="1:10" ht="16.5" customHeight="1">
      <c r="A672" s="60"/>
      <c r="B672" s="61"/>
      <c r="C672" s="72"/>
      <c r="D672" s="92">
        <v>10</v>
      </c>
      <c r="E672" s="90" t="str">
        <f>INDEX('حذف از تولید و لیست اصلی'!B:B,MATCH('کاتالوگ مبلمان'!J672,'حذف از تولید و لیست اصلی'!I:I,0))</f>
        <v>2110191800</v>
      </c>
      <c r="F672" s="202" t="str">
        <f>INDEX('حذف از تولید و لیست اصلی'!C:C,MATCH('کاتالوگ مبلمان'!J672,'حذف از تولید و لیست اصلی'!I:I,0))</f>
        <v>پاف صفحه چوبی کوچک تیلیا</v>
      </c>
      <c r="G672" s="203"/>
      <c r="H672" s="204"/>
      <c r="I672" s="91">
        <f>INDEX('حذف از تولید و لیست اصلی'!E:E,MATCH('کاتالوگ مبلمان'!J672,'حذف از تولید و لیست اصلی'!I:I,0))</f>
        <v>306000000</v>
      </c>
      <c r="J672" s="64">
        <v>210</v>
      </c>
    </row>
    <row r="673" spans="1:10" ht="37.5" customHeight="1">
      <c r="A673" s="60"/>
      <c r="B673" s="61"/>
      <c r="D673" s="92">
        <v>11</v>
      </c>
      <c r="E673" s="90" t="str">
        <f>INDEX('حذف از تولید و لیست اصلی'!B:B,MATCH('کاتالوگ مبلمان'!J673,'حذف از تولید و لیست اصلی'!I:I,0))</f>
        <v>-</v>
      </c>
      <c r="F673" s="202" t="str">
        <f>INDEX('حذف از تولید و لیست اصلی'!C:C,MATCH('کاتالوگ مبلمان'!J673,'حذف از تولید و لیست اصلی'!I:I,0))</f>
        <v>متراژ پارچه مبل تک‌نفره (فریم داخل و تشک 3.5 متر + فریم بیرون 1 متر + تکیه‌گاه 1 متر)</v>
      </c>
      <c r="G673" s="203"/>
      <c r="H673" s="204"/>
      <c r="I673" s="91" t="str">
        <f>INDEX('حذف از تولید و لیست اصلی'!E:E,MATCH('کاتالوگ مبلمان'!J673,'حذف از تولید و لیست اصلی'!I:I,0))</f>
        <v>5.5 متر</v>
      </c>
      <c r="J673" s="64">
        <v>211</v>
      </c>
    </row>
    <row r="674" spans="1:10" ht="58.5" customHeight="1">
      <c r="A674" s="60"/>
      <c r="B674" s="61"/>
      <c r="D674" s="92">
        <v>12</v>
      </c>
      <c r="E674" s="90" t="str">
        <f>INDEX('حذف از تولید و لیست اصلی'!B:B,MATCH('کاتالوگ مبلمان'!J674,'حذف از تولید و لیست اصلی'!I:I,0))</f>
        <v>-</v>
      </c>
      <c r="F674" s="202" t="str">
        <f>INDEX('حذف از تولید و لیست اصلی'!C:C,MATCH('کاتالوگ مبلمان'!J674,'حذف از تولید و لیست اصلی'!I:I,0))</f>
        <v xml:space="preserve">متراژ پارچه مبل کنج (فریم داخل و تشک 5 متر + فریم بیرون 2 متر + تکیه‌گاه‌ها 1.5 متر + کوسن 0.5 متر) </v>
      </c>
      <c r="G674" s="203"/>
      <c r="H674" s="204"/>
      <c r="I674" s="91" t="str">
        <f>INDEX('حذف از تولید و لیست اصلی'!E:E,MATCH('کاتالوگ مبلمان'!J674,'حذف از تولید و لیست اصلی'!I:I,0))</f>
        <v>9 متر</v>
      </c>
      <c r="J674" s="64">
        <v>212</v>
      </c>
    </row>
    <row r="675" spans="1:10" ht="52.5" customHeight="1">
      <c r="A675" s="60"/>
      <c r="B675" s="61"/>
      <c r="D675" s="92">
        <v>13</v>
      </c>
      <c r="E675" s="90" t="str">
        <f>INDEX('حذف از تولید و لیست اصلی'!B:B,MATCH('کاتالوگ مبلمان'!J675,'حذف از تولید و لیست اصلی'!I:I,0))</f>
        <v>-</v>
      </c>
      <c r="F675" s="202" t="str">
        <f>INDEX('حذف از تولید و لیست اصلی'!C:C,MATCH('کاتالوگ مبلمان'!J675,'حذف از تولید و لیست اصلی'!I:I,0))</f>
        <v xml:space="preserve">متراژ پارچه مبل کنج وتر‌دار (فریم داخل و تشک 5/5 متر + فریم بیرون 2/5 متر + تکیه‌گاه‌ها 1.5 متر + کوسن 1 متر) </v>
      </c>
      <c r="G675" s="203"/>
      <c r="H675" s="204"/>
      <c r="I675" s="91" t="str">
        <f>INDEX('حذف از تولید و لیست اصلی'!E:E,MATCH('کاتالوگ مبلمان'!J675,'حذف از تولید و لیست اصلی'!I:I,0))</f>
        <v>11.5 متر</v>
      </c>
      <c r="J675" s="64">
        <v>213</v>
      </c>
    </row>
    <row r="676" spans="1:10" ht="51" customHeight="1">
      <c r="A676" s="60"/>
      <c r="B676" s="61"/>
      <c r="D676" s="92">
        <v>14</v>
      </c>
      <c r="E676" s="90" t="str">
        <f>INDEX('حذف از تولید و لیست اصلی'!B:B,MATCH('کاتالوگ مبلمان'!J676,'حذف از تولید و لیست اصلی'!I:I,0))</f>
        <v>-</v>
      </c>
      <c r="F676" s="202" t="str">
        <f>INDEX('حذف از تولید و لیست اصلی'!C:C,MATCH('کاتالوگ مبلمان'!J676,'حذف از تولید و لیست اصلی'!I:I,0))</f>
        <v>متراژ پارچه کاناپه دونفره بدون دسته (فریم داخل و تشک 5.5 متر + فریم بیرون 1.5 متر + تکیه‌گاه‌ها 1.5 متر)</v>
      </c>
      <c r="G676" s="203"/>
      <c r="H676" s="204"/>
      <c r="I676" s="91" t="str">
        <f>INDEX('حذف از تولید و لیست اصلی'!E:E,MATCH('کاتالوگ مبلمان'!J676,'حذف از تولید و لیست اصلی'!I:I,0))</f>
        <v>8.5 متر</v>
      </c>
      <c r="J676" s="64">
        <v>214</v>
      </c>
    </row>
    <row r="677" spans="1:10" ht="42.75" customHeight="1">
      <c r="A677" s="60"/>
      <c r="B677" s="61"/>
      <c r="D677" s="92">
        <v>15</v>
      </c>
      <c r="E677" s="90" t="str">
        <f>INDEX('حذف از تولید و لیست اصلی'!B:B,MATCH('کاتالوگ مبلمان'!J677,'حذف از تولید و لیست اصلی'!I:I,0))</f>
        <v>-</v>
      </c>
      <c r="F677" s="202" t="str">
        <f>INDEX('حذف از تولید و لیست اصلی'!C:C,MATCH('کاتالوگ مبلمان'!J677,'حذف از تولید و لیست اصلی'!I:I,0))</f>
        <v>متراژ پارچه هر عدد پاف بزرگ و متوسط (تشک و فریم اصلی 2.5 متر + فریم پایه 1 متر)</v>
      </c>
      <c r="G677" s="203"/>
      <c r="H677" s="204"/>
      <c r="I677" s="91" t="str">
        <f>INDEX('حذف از تولید و لیست اصلی'!E:E,MATCH('کاتالوگ مبلمان'!J677,'حذف از تولید و لیست اصلی'!I:I,0))</f>
        <v>3.5 متر</v>
      </c>
      <c r="J677" s="64">
        <v>215</v>
      </c>
    </row>
    <row r="678" spans="1:10" ht="43.5" customHeight="1">
      <c r="A678" s="60"/>
      <c r="B678" s="61"/>
      <c r="D678" s="92">
        <v>16</v>
      </c>
      <c r="E678" s="90" t="str">
        <f>INDEX('حذف از تولید و لیست اصلی'!B:B,MATCH('کاتالوگ مبلمان'!J678,'حذف از تولید و لیست اصلی'!I:I,0))</f>
        <v>-</v>
      </c>
      <c r="F678" s="202" t="str">
        <f>INDEX('حذف از تولید و لیست اصلی'!C:C,MATCH('کاتالوگ مبلمان'!J678,'حذف از تولید و لیست اصلی'!I:I,0))</f>
        <v>متراژ پارچه هر عدد پاف بزرگ و متوسط صفحه چوبی (فریم اصلی 1.5 متر + فریم پایه 1 متر)</v>
      </c>
      <c r="G678" s="203"/>
      <c r="H678" s="204"/>
      <c r="I678" s="91" t="str">
        <f>INDEX('حذف از تولید و لیست اصلی'!E:E,MATCH('کاتالوگ مبلمان'!J678,'حذف از تولید و لیست اصلی'!I:I,0))</f>
        <v>2.5 متر</v>
      </c>
      <c r="J678" s="64">
        <v>216</v>
      </c>
    </row>
    <row r="679" spans="1:10" ht="43.5" customHeight="1">
      <c r="A679" s="60"/>
      <c r="B679" s="61"/>
      <c r="D679" s="92">
        <v>17</v>
      </c>
      <c r="E679" s="90" t="str">
        <f>INDEX('حذف از تولید و لیست اصلی'!B:B,MATCH('کاتالوگ مبلمان'!J679,'حذف از تولید و لیست اصلی'!I:I,0))</f>
        <v>-</v>
      </c>
      <c r="F679" s="202" t="str">
        <f>INDEX('حذف از تولید و لیست اصلی'!C:C,MATCH('کاتالوگ مبلمان'!J679,'حذف از تولید و لیست اصلی'!I:I,0))</f>
        <v>متراژ پارچه پاف صفحه چوبی کوچک ( فریم اصلی 0.5 متر + فریم پایه 0.5 متر)</v>
      </c>
      <c r="G679" s="203"/>
      <c r="H679" s="204"/>
      <c r="I679" s="91" t="str">
        <f>INDEX('حذف از تولید و لیست اصلی'!E:E,MATCH('کاتالوگ مبلمان'!J679,'حذف از تولید و لیست اصلی'!I:I,0))</f>
        <v>1 متر</v>
      </c>
      <c r="J679" s="64">
        <v>217</v>
      </c>
    </row>
    <row r="680" spans="1:10" ht="42.75" customHeight="1">
      <c r="A680" s="60"/>
      <c r="B680" s="61"/>
      <c r="D680" s="92">
        <v>18</v>
      </c>
      <c r="E680" s="90" t="e">
        <f>INDEX('حذف از تولید و لیست اصلی'!B:B,MATCH('کاتالوگ مبلمان'!J680,'حذف از تولید و لیست اصلی'!I:I,0))</f>
        <v>#N/A</v>
      </c>
      <c r="F680" s="202" t="e">
        <f>INDEX('حذف از تولید و لیست اصلی'!C:C,MATCH('کاتالوگ مبلمان'!J680,'حذف از تولید و لیست اصلی'!I:I,0))</f>
        <v>#N/A</v>
      </c>
      <c r="G680" s="203"/>
      <c r="H680" s="204"/>
      <c r="I680" s="91" t="e">
        <f>INDEX('حذف از تولید و لیست اصلی'!E:E,MATCH('کاتالوگ مبلمان'!J680,'حذف از تولید و لیست اصلی'!I:I,0))</f>
        <v>#N/A</v>
      </c>
      <c r="J680" s="64">
        <v>218</v>
      </c>
    </row>
    <row r="681" spans="1:10">
      <c r="A681" s="60"/>
      <c r="B681" s="61"/>
      <c r="I681" s="74">
        <v>28</v>
      </c>
    </row>
    <row r="682" spans="1:10" ht="22.5" customHeight="1">
      <c r="A682" s="70"/>
      <c r="B682" s="71"/>
      <c r="C682" s="183"/>
      <c r="D682" s="184"/>
      <c r="E682" s="184"/>
      <c r="F682" s="184"/>
      <c r="G682" s="184"/>
      <c r="H682" s="184"/>
      <c r="I682" s="184"/>
    </row>
    <row r="683" spans="1:10" ht="22.5" customHeight="1">
      <c r="A683" s="70"/>
      <c r="B683" s="71"/>
      <c r="C683" s="183"/>
      <c r="D683" s="184"/>
      <c r="E683" s="184"/>
      <c r="F683" s="184"/>
      <c r="G683" s="184"/>
      <c r="H683" s="184"/>
      <c r="I683" s="184"/>
    </row>
    <row r="684" spans="1:10" ht="27.75">
      <c r="A684" s="70"/>
      <c r="B684" s="71"/>
      <c r="D684" s="67" t="s">
        <v>1128</v>
      </c>
      <c r="E684" s="67"/>
      <c r="F684" s="67"/>
      <c r="I684" s="68" t="str">
        <f>$M$1</f>
        <v>1405/02/01</v>
      </c>
    </row>
    <row r="685" spans="1:10" ht="20.25">
      <c r="A685" s="70"/>
      <c r="B685" s="71"/>
      <c r="C685"/>
      <c r="D685" s="93" t="s">
        <v>0</v>
      </c>
      <c r="E685" s="94" t="s">
        <v>1</v>
      </c>
      <c r="F685" s="205" t="s">
        <v>448</v>
      </c>
      <c r="G685" s="206"/>
      <c r="H685" s="207"/>
      <c r="I685" s="95" t="s">
        <v>251</v>
      </c>
    </row>
    <row r="686" spans="1:10" ht="39" customHeight="1">
      <c r="A686" s="60"/>
      <c r="B686" s="61"/>
      <c r="C686"/>
      <c r="D686" s="90">
        <v>1</v>
      </c>
      <c r="E686" s="90">
        <f>INDEX('حذف از تولید و لیست اصلی'!B:B,MATCH('کاتالوگ مبلمان'!J686,'حذف از تولید و لیست اصلی'!I:I,0))</f>
        <v>2110190100</v>
      </c>
      <c r="F686" s="202" t="str">
        <f>INDEX('حذف از تولید و لیست اصلی'!C:C,MATCH('کاتالوگ مبلمان'!J686,'حذف از تولید و لیست اصلی'!I:I,0))</f>
        <v>مبل تک‌نفره تیلیا (یک عدد تکیه‌گاه متوسط)</v>
      </c>
      <c r="G686" s="203"/>
      <c r="H686" s="204"/>
      <c r="I686" s="91">
        <f>INDEX('حذف از تولید و لیست اصلی'!E:E,MATCH('کاتالوگ مبلمان'!J686,'حذف از تولید و لیست اصلی'!I:I,0))</f>
        <v>649000000</v>
      </c>
      <c r="J686" s="64">
        <v>219</v>
      </c>
    </row>
    <row r="687" spans="1:10" ht="39" customHeight="1">
      <c r="A687" s="60"/>
      <c r="B687" s="61"/>
      <c r="C687"/>
      <c r="D687" s="92">
        <v>2</v>
      </c>
      <c r="E687" s="90">
        <f>INDEX('حذف از تولید و لیست اصلی'!B:B,MATCH('کاتالوگ مبلمان'!J687,'حذف از تولید و لیست اصلی'!I:I,0))</f>
        <v>2110191200</v>
      </c>
      <c r="F687" s="202" t="str">
        <f>INDEX('حذف از تولید و لیست اصلی'!C:C,MATCH('کاتالوگ مبلمان'!J687,'حذف از تولید و لیست اصلی'!I:I,0))</f>
        <v>مبل کنج تیلیا (یک عدد تکیه‌گاه بزرگ + یک عدد تکیه‌گاه کوچک + یک عدد کوسن)</v>
      </c>
      <c r="G687" s="203"/>
      <c r="H687" s="204"/>
      <c r="I687" s="91">
        <f>INDEX('حذف از تولید و لیست اصلی'!E:E,MATCH('کاتالوگ مبلمان'!J687,'حذف از تولید و لیست اصلی'!I:I,0))</f>
        <v>755000000</v>
      </c>
      <c r="J687" s="64">
        <v>220</v>
      </c>
    </row>
    <row r="688" spans="1:10" ht="39" customHeight="1">
      <c r="A688" s="60"/>
      <c r="B688" s="61"/>
      <c r="C688"/>
      <c r="D688" s="92">
        <v>3</v>
      </c>
      <c r="E688" s="90">
        <f>INDEX('حذف از تولید و لیست اصلی'!B:B,MATCH('کاتالوگ مبلمان'!J688,'حذف از تولید و لیست اصلی'!I:I,0))</f>
        <v>2110192100</v>
      </c>
      <c r="F688" s="202" t="str">
        <f>INDEX('حذف از تولید و لیست اصلی'!C:C,MATCH('کاتالوگ مبلمان'!J688,'حذف از تولید و لیست اصلی'!I:I,0))</f>
        <v>مبل کنج وتر‌دار تیلیا (یک عدد تکیه‌گاه مبل کنج وتر‌دار + دو عدد کوسن)</v>
      </c>
      <c r="G688" s="203"/>
      <c r="H688" s="204"/>
      <c r="I688" s="91">
        <f>INDEX('حذف از تولید و لیست اصلی'!E:E,MATCH('کاتالوگ مبلمان'!J688,'حذف از تولید و لیست اصلی'!I:I,0))</f>
        <v>1134000000</v>
      </c>
      <c r="J688" s="64">
        <v>221</v>
      </c>
    </row>
    <row r="689" spans="1:10" ht="21" customHeight="1">
      <c r="A689" s="60"/>
      <c r="B689" s="61"/>
      <c r="C689"/>
      <c r="D689" s="92">
        <v>4</v>
      </c>
      <c r="E689" s="90">
        <f>INDEX('حذف از تولید و لیست اصلی'!B:B,MATCH('کاتالوگ مبلمان'!J689,'حذف از تولید و لیست اصلی'!I:I,0))</f>
        <v>2110190200</v>
      </c>
      <c r="F689" s="202" t="str">
        <f>INDEX('حذف از تولید و لیست اصلی'!C:C,MATCH('کاتالوگ مبلمان'!J689,'حذف از تولید و لیست اصلی'!I:I,0))</f>
        <v>کاناپه دونفره بدون دسته تیلیا (دو عدد تکیه‌گاه متوسط)</v>
      </c>
      <c r="G689" s="203"/>
      <c r="H689" s="204"/>
      <c r="I689" s="91">
        <f>INDEX('حذف از تولید و لیست اصلی'!E:E,MATCH('کاتالوگ مبلمان'!J689,'حذف از تولید و لیست اصلی'!I:I,0))</f>
        <v>973000000</v>
      </c>
      <c r="J689" s="64">
        <v>222</v>
      </c>
    </row>
    <row r="690" spans="1:10" ht="21" customHeight="1">
      <c r="A690" s="60"/>
      <c r="B690" s="61"/>
      <c r="C690"/>
      <c r="D690" s="92">
        <v>5</v>
      </c>
      <c r="E690" s="90">
        <f>INDEX('حذف از تولید و لیست اصلی'!B:B,MATCH('کاتالوگ مبلمان'!J690,'حذف از تولید و لیست اصلی'!I:I,0))</f>
        <v>2110191300</v>
      </c>
      <c r="F690" s="202" t="str">
        <f>INDEX('حذف از تولید و لیست اصلی'!C:C,MATCH('کاتالوگ مبلمان'!J690,'حذف از تولید و لیست اصلی'!I:I,0))</f>
        <v>پاف بزرگ مربع تیلیا</v>
      </c>
      <c r="G690" s="203"/>
      <c r="H690" s="204"/>
      <c r="I690" s="91">
        <f>INDEX('حذف از تولید و لیست اصلی'!E:E,MATCH('کاتالوگ مبلمان'!J690,'حذف از تولید و لیست اصلی'!I:I,0))</f>
        <v>384000000</v>
      </c>
      <c r="J690" s="64">
        <v>223</v>
      </c>
    </row>
    <row r="691" spans="1:10" ht="21" customHeight="1">
      <c r="A691" s="60"/>
      <c r="B691" s="61"/>
      <c r="C691"/>
      <c r="D691" s="92">
        <v>6</v>
      </c>
      <c r="E691" s="90">
        <f>INDEX('حذف از تولید و لیست اصلی'!B:B,MATCH('کاتالوگ مبلمان'!J691,'حذف از تولید و لیست اصلی'!I:I,0))</f>
        <v>2110191600</v>
      </c>
      <c r="F691" s="202" t="str">
        <f>INDEX('حذف از تولید و لیست اصلی'!C:C,MATCH('کاتالوگ مبلمان'!J691,'حذف از تولید و لیست اصلی'!I:I,0))</f>
        <v>پاف بزرگ مربع صفحه چوبی تیلیا</v>
      </c>
      <c r="G691" s="203"/>
      <c r="H691" s="204"/>
      <c r="I691" s="91">
        <f>INDEX('حذف از تولید و لیست اصلی'!E:E,MATCH('کاتالوگ مبلمان'!J691,'حذف از تولید و لیست اصلی'!I:I,0))</f>
        <v>701000000</v>
      </c>
      <c r="J691" s="64">
        <v>224</v>
      </c>
    </row>
    <row r="692" spans="1:10" ht="21" customHeight="1">
      <c r="A692" s="60"/>
      <c r="B692" s="61"/>
      <c r="C692"/>
      <c r="D692" s="92">
        <v>7</v>
      </c>
      <c r="E692" s="90" t="e">
        <f>INDEX('حذف از تولید و لیست اصلی'!B:B,MATCH('کاتالوگ مبلمان'!J692,'حذف از تولید و لیست اصلی'!I:I,0))</f>
        <v>#N/A</v>
      </c>
      <c r="F692" s="202" t="e">
        <f>INDEX('حذف از تولید و لیست اصلی'!C:C,MATCH('کاتالوگ مبلمان'!J692,'حذف از تولید و لیست اصلی'!I:I,0))</f>
        <v>#N/A</v>
      </c>
      <c r="G692" s="203"/>
      <c r="H692" s="204"/>
      <c r="I692" s="91" t="e">
        <f>INDEX('حذف از تولید و لیست اصلی'!E:E,MATCH('کاتالوگ مبلمان'!J692,'حذف از تولید و لیست اصلی'!I:I,0))</f>
        <v>#N/A</v>
      </c>
      <c r="J692" s="64">
        <v>225</v>
      </c>
    </row>
    <row r="693" spans="1:10" ht="21" customHeight="1">
      <c r="A693" s="60"/>
      <c r="B693" s="61"/>
      <c r="C693"/>
      <c r="D693" s="92">
        <v>8</v>
      </c>
      <c r="E693" s="90">
        <f>INDEX('حذف از تولید و لیست اصلی'!B:B,MATCH('کاتالوگ مبلمان'!J693,'حذف از تولید و لیست اصلی'!I:I,0))</f>
        <v>2110191400</v>
      </c>
      <c r="F693" s="202" t="str">
        <f>INDEX('حذف از تولید و لیست اصلی'!C:C,MATCH('کاتالوگ مبلمان'!J693,'حذف از تولید و لیست اصلی'!I:I,0))</f>
        <v>پاف متوسط تیلیا</v>
      </c>
      <c r="G693" s="203"/>
      <c r="H693" s="204"/>
      <c r="I693" s="91">
        <f>INDEX('حذف از تولید و لیست اصلی'!E:E,MATCH('کاتالوگ مبلمان'!J693,'حذف از تولید و لیست اصلی'!I:I,0))</f>
        <v>354000000</v>
      </c>
      <c r="J693" s="64">
        <v>226</v>
      </c>
    </row>
    <row r="694" spans="1:10" ht="21" customHeight="1">
      <c r="A694" s="60"/>
      <c r="B694" s="61"/>
      <c r="C694" s="72"/>
      <c r="D694" s="92">
        <v>9</v>
      </c>
      <c r="E694" s="90">
        <f>INDEX('حذف از تولید و لیست اصلی'!B:B,MATCH('کاتالوگ مبلمان'!J694,'حذف از تولید و لیست اصلی'!I:I,0))</f>
        <v>2110191700</v>
      </c>
      <c r="F694" s="202" t="str">
        <f>INDEX('حذف از تولید و لیست اصلی'!C:C,MATCH('کاتالوگ مبلمان'!J694,'حذف از تولید و لیست اصلی'!I:I,0))</f>
        <v>پاف صفحه چوبی متوسط تیلیا</v>
      </c>
      <c r="G694" s="203"/>
      <c r="H694" s="204"/>
      <c r="I694" s="91">
        <f>INDEX('حذف از تولید و لیست اصلی'!E:E,MATCH('کاتالوگ مبلمان'!J694,'حذف از تولید و لیست اصلی'!I:I,0))</f>
        <v>627000000</v>
      </c>
      <c r="J694" s="64">
        <v>227</v>
      </c>
    </row>
    <row r="695" spans="1:10" ht="21" customHeight="1">
      <c r="A695" s="60"/>
      <c r="B695" s="61"/>
      <c r="C695" s="72"/>
      <c r="D695" s="92">
        <v>10</v>
      </c>
      <c r="E695" s="90">
        <f>INDEX('حذف از تولید و لیست اصلی'!B:B,MATCH('کاتالوگ مبلمان'!J695,'حذف از تولید و لیست اصلی'!I:I,0))</f>
        <v>2110191500</v>
      </c>
      <c r="F695" s="202" t="str">
        <f>INDEX('حذف از تولید و لیست اصلی'!C:C,MATCH('کاتالوگ مبلمان'!J695,'حذف از تولید و لیست اصلی'!I:I,0))</f>
        <v>پاف صفحه چوبی کوچک تیلیا</v>
      </c>
      <c r="G695" s="203"/>
      <c r="H695" s="204"/>
      <c r="I695" s="91">
        <f>INDEX('حذف از تولید و لیست اصلی'!E:E,MATCH('کاتالوگ مبلمان'!J695,'حذف از تولید و لیست اصلی'!I:I,0))</f>
        <v>276000000</v>
      </c>
      <c r="J695" s="64">
        <v>228</v>
      </c>
    </row>
    <row r="696" spans="1:10" ht="38.25" customHeight="1">
      <c r="A696" s="60"/>
      <c r="B696" s="61"/>
      <c r="D696" s="92">
        <v>11</v>
      </c>
      <c r="E696" s="90" t="str">
        <f>INDEX('حذف از تولید و لیست اصلی'!B:B,MATCH('کاتالوگ مبلمان'!J696,'حذف از تولید و لیست اصلی'!I:I,0))</f>
        <v>-</v>
      </c>
      <c r="F696" s="202" t="str">
        <f>INDEX('حذف از تولید و لیست اصلی'!C:C,MATCH('کاتالوگ مبلمان'!J696,'حذف از تولید و لیست اصلی'!I:I,0))</f>
        <v>متراژ پارچه مبل تک‌نفره (فریم داخل و تشک 3.5 متر + فریم بیرون 1 متر + تکیه‌گاه 1 متر)</v>
      </c>
      <c r="G696" s="203"/>
      <c r="H696" s="204"/>
      <c r="I696" s="91" t="str">
        <f>INDEX('حذف از تولید و لیست اصلی'!E:E,MATCH('کاتالوگ مبلمان'!J696,'حذف از تولید و لیست اصلی'!I:I,0))</f>
        <v>5.5 متر</v>
      </c>
      <c r="J696" s="64">
        <v>229</v>
      </c>
    </row>
    <row r="697" spans="1:10" ht="38.25" customHeight="1">
      <c r="A697" s="60"/>
      <c r="B697" s="61"/>
      <c r="D697" s="92">
        <v>12</v>
      </c>
      <c r="E697" s="90" t="str">
        <f>INDEX('حذف از تولید و لیست اصلی'!B:B,MATCH('کاتالوگ مبلمان'!J697,'حذف از تولید و لیست اصلی'!I:I,0))</f>
        <v>-</v>
      </c>
      <c r="F697" s="202" t="str">
        <f>INDEX('حذف از تولید و لیست اصلی'!C:C,MATCH('کاتالوگ مبلمان'!J697,'حذف از تولید و لیست اصلی'!I:I,0))</f>
        <v xml:space="preserve">متراژ پارچه مبل کنج (فریم داخل و تشک 5 متر + فریم بیرون 2 متر + تکیه‌گاه‌ها 1.5 متر + کوسن 0.5 متر) </v>
      </c>
      <c r="G697" s="203"/>
      <c r="H697" s="204"/>
      <c r="I697" s="91" t="str">
        <f>INDEX('حذف از تولید و لیست اصلی'!E:E,MATCH('کاتالوگ مبلمان'!J697,'حذف از تولید و لیست اصلی'!I:I,0))</f>
        <v>9 متر</v>
      </c>
      <c r="J697" s="64">
        <v>230</v>
      </c>
    </row>
    <row r="698" spans="1:10" ht="38.25" customHeight="1">
      <c r="A698" s="60"/>
      <c r="B698" s="61"/>
      <c r="D698" s="92">
        <v>13</v>
      </c>
      <c r="E698" s="90" t="str">
        <f>INDEX('حذف از تولید و لیست اصلی'!B:B,MATCH('کاتالوگ مبلمان'!J698,'حذف از تولید و لیست اصلی'!I:I,0))</f>
        <v>-</v>
      </c>
      <c r="F698" s="202" t="str">
        <f>INDEX('حذف از تولید و لیست اصلی'!C:C,MATCH('کاتالوگ مبلمان'!J698,'حذف از تولید و لیست اصلی'!I:I,0))</f>
        <v xml:space="preserve">متراژ پارچه مبل کنج وتر‌دار (فریم داخل و تشک 5/5 متر + فریم بیرون 2/5 متر + تکیه‌گاه‌ها 1.5 متر + کوسن 1 متر) </v>
      </c>
      <c r="G698" s="203"/>
      <c r="H698" s="204"/>
      <c r="I698" s="91" t="str">
        <f>INDEX('حذف از تولید و لیست اصلی'!E:E,MATCH('کاتالوگ مبلمان'!J698,'حذف از تولید و لیست اصلی'!I:I,0))</f>
        <v>11.5 متر</v>
      </c>
      <c r="J698" s="64">
        <v>231</v>
      </c>
    </row>
    <row r="699" spans="1:10" ht="38.25" customHeight="1">
      <c r="A699" s="60"/>
      <c r="B699" s="61"/>
      <c r="D699" s="92">
        <v>14</v>
      </c>
      <c r="E699" s="90" t="str">
        <f>INDEX('حذف از تولید و لیست اصلی'!B:B,MATCH('کاتالوگ مبلمان'!J699,'حذف از تولید و لیست اصلی'!I:I,0))</f>
        <v>-</v>
      </c>
      <c r="F699" s="202" t="str">
        <f>INDEX('حذف از تولید و لیست اصلی'!C:C,MATCH('کاتالوگ مبلمان'!J699,'حذف از تولید و لیست اصلی'!I:I,0))</f>
        <v>متراژ پارچه کاناپه دونفره بدون دسته (فریم داخل و تشک 5.5 متر + فریم بیرون 1.5 متر + تکیه‌گاه‌ها 1.5 متر)</v>
      </c>
      <c r="G699" s="203"/>
      <c r="H699" s="204"/>
      <c r="I699" s="91" t="str">
        <f>INDEX('حذف از تولید و لیست اصلی'!E:E,MATCH('کاتالوگ مبلمان'!J699,'حذف از تولید و لیست اصلی'!I:I,0))</f>
        <v>8.5 متر</v>
      </c>
      <c r="J699" s="64">
        <v>232</v>
      </c>
    </row>
    <row r="700" spans="1:10" ht="38.25" customHeight="1">
      <c r="A700" s="60"/>
      <c r="B700" s="61"/>
      <c r="D700" s="92">
        <v>15</v>
      </c>
      <c r="E700" s="90" t="str">
        <f>INDEX('حذف از تولید و لیست اصلی'!B:B,MATCH('کاتالوگ مبلمان'!J700,'حذف از تولید و لیست اصلی'!I:I,0))</f>
        <v>-</v>
      </c>
      <c r="F700" s="202" t="str">
        <f>INDEX('حذف از تولید و لیست اصلی'!C:C,MATCH('کاتالوگ مبلمان'!J700,'حذف از تولید و لیست اصلی'!I:I,0))</f>
        <v>متراژ پارچه هر عدد پاف بزرگ و متوسط (تشک و فریم اصلی 2.5 متر + فریم پایه 1 متر)</v>
      </c>
      <c r="G700" s="203"/>
      <c r="H700" s="204"/>
      <c r="I700" s="91" t="str">
        <f>INDEX('حذف از تولید و لیست اصلی'!E:E,MATCH('کاتالوگ مبلمان'!J700,'حذف از تولید و لیست اصلی'!I:I,0))</f>
        <v>3.5 متر</v>
      </c>
      <c r="J700" s="64">
        <v>233</v>
      </c>
    </row>
    <row r="701" spans="1:10" ht="51.75" customHeight="1">
      <c r="A701" s="60"/>
      <c r="B701" s="61"/>
      <c r="D701" s="92">
        <v>16</v>
      </c>
      <c r="E701" s="90" t="str">
        <f>INDEX('حذف از تولید و لیست اصلی'!B:B,MATCH('کاتالوگ مبلمان'!J701,'حذف از تولید و لیست اصلی'!I:I,0))</f>
        <v>-</v>
      </c>
      <c r="F701" s="202" t="str">
        <f>INDEX('حذف از تولید و لیست اصلی'!C:C,MATCH('کاتالوگ مبلمان'!J701,'حذف از تولید و لیست اصلی'!I:I,0))</f>
        <v>متراژ پارچه هر عدد پاف بزرگ و متوسط صفحه چوبی (فریم اصلی 1.5 متر + فریم پایه 1 متر)</v>
      </c>
      <c r="G701" s="203"/>
      <c r="H701" s="204"/>
      <c r="I701" s="91" t="str">
        <f>INDEX('حذف از تولید و لیست اصلی'!E:E,MATCH('کاتالوگ مبلمان'!J701,'حذف از تولید و لیست اصلی'!I:I,0))</f>
        <v>2.5 متر</v>
      </c>
      <c r="J701" s="64">
        <v>234</v>
      </c>
    </row>
    <row r="702" spans="1:10" ht="45" customHeight="1">
      <c r="A702" s="60"/>
      <c r="B702" s="61"/>
      <c r="D702" s="92">
        <v>17</v>
      </c>
      <c r="E702" s="90" t="str">
        <f>INDEX('حذف از تولید و لیست اصلی'!B:B,MATCH('کاتالوگ مبلمان'!J702,'حذف از تولید و لیست اصلی'!I:I,0))</f>
        <v>-</v>
      </c>
      <c r="F702" s="202" t="str">
        <f>INDEX('حذف از تولید و لیست اصلی'!C:C,MATCH('کاتالوگ مبلمان'!J702,'حذف از تولید و لیست اصلی'!I:I,0))</f>
        <v>متراژ پارچه پاف صفحه چوبی کوچک ( فریم اصلی 0.5 متر + فریم پایه 0.5 متر)</v>
      </c>
      <c r="G702" s="203"/>
      <c r="H702" s="204"/>
      <c r="I702" s="91" t="str">
        <f>INDEX('حذف از تولید و لیست اصلی'!E:E,MATCH('کاتالوگ مبلمان'!J702,'حذف از تولید و لیست اصلی'!I:I,0))</f>
        <v>1 متر</v>
      </c>
      <c r="J702" s="64">
        <v>235</v>
      </c>
    </row>
    <row r="703" spans="1:10" ht="51.75" customHeight="1">
      <c r="A703" s="60"/>
      <c r="B703" s="61"/>
      <c r="D703" s="92">
        <v>18</v>
      </c>
      <c r="E703" s="90" t="e">
        <f>INDEX('حذف از تولید و لیست اصلی'!B:B,MATCH('کاتالوگ مبلمان'!J703,'حذف از تولید و لیست اصلی'!I:I,0))</f>
        <v>#N/A</v>
      </c>
      <c r="F703" s="202" t="e">
        <f>INDEX('حذف از تولید و لیست اصلی'!C:C,MATCH('کاتالوگ مبلمان'!J703,'حذف از تولید و لیست اصلی'!I:I,0))</f>
        <v>#N/A</v>
      </c>
      <c r="G703" s="203"/>
      <c r="H703" s="204"/>
      <c r="I703" s="91" t="e">
        <f>INDEX('حذف از تولید و لیست اصلی'!E:E,MATCH('کاتالوگ مبلمان'!J703,'حذف از تولید و لیست اصلی'!I:I,0))</f>
        <v>#N/A</v>
      </c>
      <c r="J703" s="64">
        <v>236</v>
      </c>
    </row>
    <row r="704" spans="1:10">
      <c r="A704" s="60"/>
      <c r="B704" s="61"/>
      <c r="I704" s="28">
        <v>29</v>
      </c>
    </row>
    <row r="705" spans="1:10" ht="22.5" customHeight="1">
      <c r="A705" s="70"/>
      <c r="B705" s="71"/>
      <c r="C705" s="183"/>
      <c r="D705" s="184"/>
      <c r="E705" s="184"/>
      <c r="F705" s="184"/>
      <c r="G705" s="184"/>
      <c r="H705" s="184"/>
      <c r="I705" s="184"/>
    </row>
    <row r="706" spans="1:10" ht="22.5" customHeight="1">
      <c r="A706" s="70"/>
      <c r="B706" s="71"/>
      <c r="C706" s="183"/>
      <c r="D706" s="184"/>
      <c r="E706" s="184"/>
      <c r="F706" s="184"/>
      <c r="G706" s="184"/>
      <c r="H706" s="184"/>
      <c r="I706" s="184"/>
    </row>
    <row r="707" spans="1:10" ht="27.75">
      <c r="A707" s="70"/>
      <c r="B707" s="71"/>
      <c r="C707" s="72"/>
      <c r="D707" s="67" t="s">
        <v>19</v>
      </c>
      <c r="E707" s="67"/>
      <c r="F707" s="67"/>
      <c r="I707" s="68" t="str">
        <f>$M$1</f>
        <v>1405/02/01</v>
      </c>
    </row>
    <row r="708" spans="1:10" ht="45" customHeight="1">
      <c r="A708" s="70"/>
      <c r="B708" s="71"/>
      <c r="C708" s="77"/>
      <c r="D708" s="87" t="s">
        <v>0</v>
      </c>
      <c r="E708" s="88" t="s">
        <v>1</v>
      </c>
      <c r="F708" s="177" t="s">
        <v>448</v>
      </c>
      <c r="G708" s="178"/>
      <c r="H708" s="179"/>
      <c r="I708" s="89" t="s">
        <v>251</v>
      </c>
    </row>
    <row r="709" spans="1:10" ht="54.75" customHeight="1">
      <c r="A709" s="60"/>
      <c r="B709" s="61"/>
      <c r="D709" s="84">
        <v>1</v>
      </c>
      <c r="E709" s="84" t="str">
        <f>INDEX('حذف از تولید و لیست اصلی'!B:B,MATCH('کاتالوگ مبلمان'!J709,'حذف از تولید و لیست اصلی'!I:I,0))</f>
        <v>2110240000</v>
      </c>
      <c r="F709" s="180" t="str">
        <f>INDEX('حذف از تولید و لیست اصلی'!C:C,MATCH('کاتالوگ مبلمان'!J709,'حذف از تولید و لیست اصلی'!I:I,0))</f>
        <v xml:space="preserve">  مبل هفت نفره سالیکس ( یکعدد سه  نفره + یکعدد دو نفره + دو عدد یک نفره )</v>
      </c>
      <c r="G709" s="181"/>
      <c r="H709" s="182"/>
      <c r="I709" s="85">
        <f>INDEX('حذف از تولید و لیست اصلی'!E:E,MATCH('کاتالوگ مبلمان'!J709,'حذف از تولید و لیست اصلی'!I:I,0))</f>
        <v>5284000000</v>
      </c>
      <c r="J709" s="64">
        <v>237</v>
      </c>
    </row>
    <row r="710" spans="1:10" ht="54.75" customHeight="1">
      <c r="A710" s="60"/>
      <c r="B710" s="61"/>
      <c r="C710" s="78"/>
      <c r="D710" s="86">
        <v>2</v>
      </c>
      <c r="E710" s="84" t="str">
        <f>INDEX('حذف از تولید و لیست اصلی'!B:B,MATCH('کاتالوگ مبلمان'!J710,'حذف از تولید و لیست اصلی'!I:I,0))</f>
        <v>2110240300</v>
      </c>
      <c r="F710" s="180" t="str">
        <f>INDEX('حذف از تولید و لیست اصلی'!C:C,MATCH('کاتالوگ مبلمان'!J710,'حذف از تولید و لیست اصلی'!I:I,0))</f>
        <v>کاناپه سه نفره سالیکس ( 2عدد تکیه گاه + 2 عدد کوسن )</v>
      </c>
      <c r="G710" s="181"/>
      <c r="H710" s="182"/>
      <c r="I710" s="85">
        <f>INDEX('حذف از تولید و لیست اصلی'!E:E,MATCH('کاتالوگ مبلمان'!J710,'حذف از تولید و لیست اصلی'!I:I,0))</f>
        <v>1933000000</v>
      </c>
      <c r="J710" s="64">
        <v>238</v>
      </c>
    </row>
    <row r="711" spans="1:10" ht="54.75" customHeight="1">
      <c r="A711" s="60"/>
      <c r="B711" s="61"/>
      <c r="D711" s="86">
        <v>3</v>
      </c>
      <c r="E711" s="84" t="str">
        <f>INDEX('حذف از تولید و لیست اصلی'!B:B,MATCH('کاتالوگ مبلمان'!J711,'حذف از تولید و لیست اصلی'!I:I,0))</f>
        <v>2110240200</v>
      </c>
      <c r="F711" s="180" t="str">
        <f>INDEX('حذف از تولید و لیست اصلی'!C:C,MATCH('کاتالوگ مبلمان'!J711,'حذف از تولید و لیست اصلی'!I:I,0))</f>
        <v>کاناپه دو نفره سالیکس ( 2عدد تکیه گاه + 2 عدد کوسن )</v>
      </c>
      <c r="G711" s="181"/>
      <c r="H711" s="182"/>
      <c r="I711" s="85">
        <f>INDEX('حذف از تولید و لیست اصلی'!E:E,MATCH('کاتالوگ مبلمان'!J711,'حذف از تولید و لیست اصلی'!I:I,0))</f>
        <v>1449000000</v>
      </c>
      <c r="J711" s="64">
        <v>239</v>
      </c>
    </row>
    <row r="712" spans="1:10" ht="54.75" customHeight="1">
      <c r="A712" s="60"/>
      <c r="B712" s="61"/>
      <c r="D712" s="86">
        <v>4</v>
      </c>
      <c r="E712" s="84" t="str">
        <f>INDEX('حذف از تولید و لیست اصلی'!B:B,MATCH('کاتالوگ مبلمان'!J712,'حذف از تولید و لیست اصلی'!I:I,0))</f>
        <v>2110240100</v>
      </c>
      <c r="F712" s="180" t="str">
        <f>INDEX('حذف از تولید و لیست اصلی'!C:C,MATCH('کاتالوگ مبلمان'!J712,'حذف از تولید و لیست اصلی'!I:I,0))</f>
        <v>مبل تک نفره سالیکس ( 2عدد تکیه گاه  )</v>
      </c>
      <c r="G712" s="181"/>
      <c r="H712" s="182"/>
      <c r="I712" s="85">
        <f>INDEX('حذف از تولید و لیست اصلی'!E:E,MATCH('کاتالوگ مبلمان'!J712,'حذف از تولید و لیست اصلی'!I:I,0))</f>
        <v>951000000</v>
      </c>
      <c r="J712" s="64">
        <v>240</v>
      </c>
    </row>
    <row r="713" spans="1:10" ht="54.75" customHeight="1">
      <c r="A713" s="60"/>
      <c r="B713" s="61"/>
      <c r="D713" s="86">
        <v>5</v>
      </c>
      <c r="E713" s="84" t="str">
        <f>INDEX('حذف از تولید و لیست اصلی'!B:B,MATCH('کاتالوگ مبلمان'!J713,'حذف از تولید و لیست اصلی'!I:I,0))</f>
        <v>_</v>
      </c>
      <c r="F713" s="180" t="str">
        <f>INDEX('حذف از تولید و لیست اصلی'!C:C,MATCH('کاتالوگ مبلمان'!J713,'حذف از تولید و لیست اصلی'!I:I,0))</f>
        <v xml:space="preserve">  متراژ پارچه مبل هفت نفره(فریم و تشک 24/5متر، تکیه گاه ها 5/5 متر و کوسن ها 2 متر)</v>
      </c>
      <c r="G713" s="181"/>
      <c r="H713" s="182"/>
      <c r="I713" s="85" t="str">
        <f>INDEX('حذف از تولید و لیست اصلی'!E:E,MATCH('کاتالوگ مبلمان'!J713,'حذف از تولید و لیست اصلی'!I:I,0))</f>
        <v>32متر</v>
      </c>
      <c r="J713" s="64">
        <v>241</v>
      </c>
    </row>
    <row r="714" spans="1:10" ht="54.75" customHeight="1">
      <c r="A714" s="60"/>
      <c r="B714" s="61"/>
      <c r="D714" s="86">
        <v>6</v>
      </c>
      <c r="E714" s="84" t="str">
        <f>INDEX('حذف از تولید و لیست اصلی'!B:B,MATCH('کاتالوگ مبلمان'!J714,'حذف از تولید و لیست اصلی'!I:I,0))</f>
        <v>_</v>
      </c>
      <c r="F714" s="180" t="str">
        <f>INDEX('حذف از تولید و لیست اصلی'!C:C,MATCH('کاتالوگ مبلمان'!J714,'حذف از تولید و لیست اصلی'!I:I,0))</f>
        <v xml:space="preserve">  متراژ پارچه سه نفره (فریم و تشک 9متر، تکیه گاه ها 2متر و کوسن 1 متر)</v>
      </c>
      <c r="G714" s="181"/>
      <c r="H714" s="182"/>
      <c r="I714" s="85" t="str">
        <f>INDEX('حذف از تولید و لیست اصلی'!E:E,MATCH('کاتالوگ مبلمان'!J714,'حذف از تولید و لیست اصلی'!I:I,0))</f>
        <v>12متر</v>
      </c>
      <c r="J714" s="64">
        <v>242</v>
      </c>
    </row>
    <row r="715" spans="1:10" ht="54.75" customHeight="1">
      <c r="A715" s="60"/>
      <c r="B715" s="61"/>
      <c r="D715" s="86">
        <v>7</v>
      </c>
      <c r="E715" s="84" t="str">
        <f>INDEX('حذف از تولید و لیست اصلی'!B:B,MATCH('کاتالوگ مبلمان'!J715,'حذف از تولید و لیست اصلی'!I:I,0))</f>
        <v>_</v>
      </c>
      <c r="F715" s="180" t="str">
        <f>INDEX('حذف از تولید و لیست اصلی'!C:C,MATCH('کاتالوگ مبلمان'!J715,'حذف از تولید و لیست اصلی'!I:I,0))</f>
        <v xml:space="preserve">  متراژ پارچه دو نفره (فریم و تشک 6/5متر، تکیه گاه ها 1/5متر و کوسن 1 متر)</v>
      </c>
      <c r="G715" s="181"/>
      <c r="H715" s="182"/>
      <c r="I715" s="85" t="str">
        <f>INDEX('حذف از تولید و لیست اصلی'!E:E,MATCH('کاتالوگ مبلمان'!J715,'حذف از تولید و لیست اصلی'!I:I,0))</f>
        <v>9متر</v>
      </c>
      <c r="J715" s="64">
        <v>243</v>
      </c>
    </row>
    <row r="716" spans="1:10" ht="54.75" customHeight="1">
      <c r="A716" s="60"/>
      <c r="B716" s="61"/>
      <c r="D716" s="86">
        <v>8</v>
      </c>
      <c r="E716" s="84" t="str">
        <f>INDEX('حذف از تولید و لیست اصلی'!B:B,MATCH('کاتالوگ مبلمان'!J716,'حذف از تولید و لیست اصلی'!I:I,0))</f>
        <v>_</v>
      </c>
      <c r="F716" s="180" t="str">
        <f>INDEX('حذف از تولید و لیست اصلی'!C:C,MATCH('کاتالوگ مبلمان'!J716,'حذف از تولید و لیست اصلی'!I:I,0))</f>
        <v xml:space="preserve">  متراژ پارچه تک نفره (فریم و تشک 4/5 متر و تکیه گاه ها 1متر)</v>
      </c>
      <c r="G716" s="181"/>
      <c r="H716" s="182"/>
      <c r="I716" s="85" t="str">
        <f>INDEX('حذف از تولید و لیست اصلی'!E:E,MATCH('کاتالوگ مبلمان'!J716,'حذف از تولید و لیست اصلی'!I:I,0))</f>
        <v>5/5متر</v>
      </c>
      <c r="J716" s="64">
        <v>244</v>
      </c>
    </row>
    <row r="717" spans="1:10">
      <c r="A717" s="60"/>
      <c r="B717" s="61"/>
      <c r="D717"/>
      <c r="E717"/>
      <c r="F717"/>
      <c r="G717"/>
      <c r="H717"/>
      <c r="I717"/>
    </row>
    <row r="718" spans="1:10">
      <c r="A718" s="60"/>
      <c r="B718" s="61"/>
      <c r="D718"/>
      <c r="E718"/>
      <c r="F718"/>
      <c r="G718"/>
      <c r="H718"/>
      <c r="I718"/>
    </row>
    <row r="719" spans="1:10">
      <c r="A719" s="60"/>
      <c r="B719" s="61"/>
      <c r="G719" s="64"/>
      <c r="H719" s="64"/>
      <c r="I719" s="64"/>
    </row>
    <row r="720" spans="1:10">
      <c r="A720" s="60"/>
      <c r="B720" s="61"/>
      <c r="G720" s="64"/>
      <c r="H720" s="64"/>
      <c r="I720" s="64"/>
    </row>
    <row r="721" spans="1:10">
      <c r="A721" s="60"/>
      <c r="B721" s="61"/>
      <c r="G721" s="64"/>
      <c r="H721" s="64"/>
      <c r="I721" s="64"/>
    </row>
    <row r="722" spans="1:10">
      <c r="A722" s="60"/>
      <c r="B722" s="61"/>
      <c r="G722" s="64"/>
      <c r="H722" s="64"/>
      <c r="I722" s="64"/>
    </row>
    <row r="723" spans="1:10">
      <c r="A723" s="60"/>
      <c r="B723" s="61"/>
      <c r="G723" s="64"/>
      <c r="H723" s="64"/>
      <c r="I723" s="64"/>
    </row>
    <row r="724" spans="1:10">
      <c r="A724" s="60"/>
      <c r="B724" s="61"/>
      <c r="G724" s="64"/>
      <c r="H724" s="64"/>
      <c r="I724" s="64"/>
    </row>
    <row r="725" spans="1:10">
      <c r="A725" s="60"/>
      <c r="B725" s="61"/>
      <c r="I725" s="74">
        <v>30</v>
      </c>
    </row>
    <row r="726" spans="1:10" ht="22.5" customHeight="1">
      <c r="A726" s="70"/>
      <c r="B726" s="71"/>
      <c r="C726" s="183"/>
      <c r="D726" s="184"/>
      <c r="E726" s="184"/>
      <c r="F726" s="184"/>
      <c r="G726" s="184"/>
      <c r="H726" s="184"/>
      <c r="I726" s="184"/>
    </row>
    <row r="727" spans="1:10" ht="22.5" customHeight="1">
      <c r="A727" s="70"/>
      <c r="B727" s="71"/>
      <c r="C727" s="183"/>
      <c r="D727" s="184"/>
      <c r="E727" s="184"/>
      <c r="F727" s="184"/>
      <c r="G727" s="184"/>
      <c r="H727" s="184"/>
      <c r="I727" s="184"/>
    </row>
    <row r="728" spans="1:10" ht="27.75">
      <c r="A728" s="70"/>
      <c r="B728" s="71"/>
      <c r="C728" s="72"/>
      <c r="D728" s="67" t="s">
        <v>27</v>
      </c>
      <c r="E728" s="67"/>
      <c r="F728" s="67"/>
      <c r="I728" s="68" t="str">
        <f>$M$1</f>
        <v>1405/02/01</v>
      </c>
    </row>
    <row r="729" spans="1:10" ht="45" customHeight="1">
      <c r="A729" s="70"/>
      <c r="B729" s="71"/>
      <c r="C729" s="77"/>
      <c r="D729" s="87" t="s">
        <v>0</v>
      </c>
      <c r="E729" s="88" t="s">
        <v>1</v>
      </c>
      <c r="F729" s="177" t="s">
        <v>448</v>
      </c>
      <c r="G729" s="178"/>
      <c r="H729" s="179"/>
      <c r="I729" s="89" t="s">
        <v>251</v>
      </c>
    </row>
    <row r="730" spans="1:10" ht="52.5" customHeight="1">
      <c r="A730" s="60"/>
      <c r="B730" s="61"/>
      <c r="D730" s="84">
        <v>1</v>
      </c>
      <c r="E730" s="84" t="str">
        <f>INDEX('حذف از تولید و لیست اصلی'!B:B,MATCH('کاتالوگ مبلمان'!J730,'حذف از تولید و لیست اصلی'!I:I,0))</f>
        <v>2110240000</v>
      </c>
      <c r="F730" s="180" t="str">
        <f>INDEX('حذف از تولید و لیست اصلی'!C:C,MATCH('کاتالوگ مبلمان'!J730,'حذف از تولید و لیست اصلی'!I:I,0))</f>
        <v xml:space="preserve">  مبل هفت نفره سالیکس ( یکعدد سه  نفره + یکعدد دو نفره + دو عدد یک نفره )</v>
      </c>
      <c r="G730" s="181"/>
      <c r="H730" s="182"/>
      <c r="I730" s="85">
        <f>INDEX('حذف از تولید و لیست اصلی'!E:E,MATCH('کاتالوگ مبلمان'!J730,'حذف از تولید و لیست اصلی'!I:I,0))</f>
        <v>4324000000</v>
      </c>
      <c r="J730" s="64">
        <v>245</v>
      </c>
    </row>
    <row r="731" spans="1:10" ht="52.5" customHeight="1">
      <c r="A731" s="60"/>
      <c r="B731" s="61"/>
      <c r="C731" s="78"/>
      <c r="D731" s="86">
        <v>2</v>
      </c>
      <c r="E731" s="84" t="str">
        <f>INDEX('حذف از تولید و لیست اصلی'!B:B,MATCH('کاتالوگ مبلمان'!J731,'حذف از تولید و لیست اصلی'!I:I,0))</f>
        <v>2110240300</v>
      </c>
      <c r="F731" s="180" t="str">
        <f>INDEX('حذف از تولید و لیست اصلی'!C:C,MATCH('کاتالوگ مبلمان'!J731,'حذف از تولید و لیست اصلی'!I:I,0))</f>
        <v>کاناپه سه نفره سالیکس ( 2عدد تکیه گاه + 2 عدد کوسن )</v>
      </c>
      <c r="G731" s="181"/>
      <c r="H731" s="182"/>
      <c r="I731" s="85">
        <f>INDEX('حذف از تولید و لیست اصلی'!E:E,MATCH('کاتالوگ مبلمان'!J731,'حذف از تولید و لیست اصلی'!I:I,0))</f>
        <v>1573000000</v>
      </c>
      <c r="J731" s="64">
        <v>246</v>
      </c>
    </row>
    <row r="732" spans="1:10" ht="52.5" customHeight="1">
      <c r="A732" s="60"/>
      <c r="B732" s="61"/>
      <c r="D732" s="86">
        <v>3</v>
      </c>
      <c r="E732" s="84" t="str">
        <f>INDEX('حذف از تولید و لیست اصلی'!B:B,MATCH('کاتالوگ مبلمان'!J732,'حذف از تولید و لیست اصلی'!I:I,0))</f>
        <v>2110240200</v>
      </c>
      <c r="F732" s="180" t="str">
        <f>INDEX('حذف از تولید و لیست اصلی'!C:C,MATCH('کاتالوگ مبلمان'!J732,'حذف از تولید و لیست اصلی'!I:I,0))</f>
        <v>کاناپه دو نفره سالیکس ( 2عدد تکیه گاه + 2 عدد کوسن )</v>
      </c>
      <c r="G732" s="181"/>
      <c r="H732" s="182"/>
      <c r="I732" s="85">
        <f>INDEX('حذف از تولید و لیست اصلی'!E:E,MATCH('کاتالوگ مبلمان'!J732,'حذف از تولید و لیست اصلی'!I:I,0))</f>
        <v>1179000000</v>
      </c>
      <c r="J732" s="64">
        <v>247</v>
      </c>
    </row>
    <row r="733" spans="1:10" ht="52.5" customHeight="1">
      <c r="A733" s="60"/>
      <c r="B733" s="61"/>
      <c r="D733" s="86">
        <v>4</v>
      </c>
      <c r="E733" s="84" t="str">
        <f>INDEX('حذف از تولید و لیست اصلی'!B:B,MATCH('کاتالوگ مبلمان'!J733,'حذف از تولید و لیست اصلی'!I:I,0))</f>
        <v>2110240100</v>
      </c>
      <c r="F733" s="180" t="str">
        <f>INDEX('حذف از تولید و لیست اصلی'!C:C,MATCH('کاتالوگ مبلمان'!J733,'حذف از تولید و لیست اصلی'!I:I,0))</f>
        <v>مبل تک نفره سالیکس ( 2عدد تکیه گاه  )</v>
      </c>
      <c r="G733" s="181"/>
      <c r="H733" s="182"/>
      <c r="I733" s="85">
        <f>INDEX('حذف از تولید و لیست اصلی'!E:E,MATCH('کاتالوگ مبلمان'!J733,'حذف از تولید و لیست اصلی'!I:I,0))</f>
        <v>786000000</v>
      </c>
      <c r="J733" s="64">
        <v>248</v>
      </c>
    </row>
    <row r="734" spans="1:10" ht="52.5" customHeight="1">
      <c r="A734" s="60"/>
      <c r="B734" s="61"/>
      <c r="D734" s="86">
        <v>5</v>
      </c>
      <c r="E734" s="84" t="str">
        <f>INDEX('حذف از تولید و لیست اصلی'!B:B,MATCH('کاتالوگ مبلمان'!J734,'حذف از تولید و لیست اصلی'!I:I,0))</f>
        <v>_</v>
      </c>
      <c r="F734" s="180" t="str">
        <f>INDEX('حذف از تولید و لیست اصلی'!C:C,MATCH('کاتالوگ مبلمان'!J734,'حذف از تولید و لیست اصلی'!I:I,0))</f>
        <v xml:space="preserve">  متراژ پارچه مبل هفت نفره(فریم و تشک 24/5متر، تکیه گاه ها 5/5 متر و کوسن ها 2 متر)</v>
      </c>
      <c r="G734" s="181"/>
      <c r="H734" s="182"/>
      <c r="I734" s="85" t="str">
        <f>INDEX('حذف از تولید و لیست اصلی'!E:E,MATCH('کاتالوگ مبلمان'!J734,'حذف از تولید و لیست اصلی'!I:I,0))</f>
        <v>32متر</v>
      </c>
      <c r="J734" s="64">
        <v>249</v>
      </c>
    </row>
    <row r="735" spans="1:10" ht="52.5" customHeight="1">
      <c r="A735" s="60"/>
      <c r="B735" s="61"/>
      <c r="D735" s="86">
        <v>6</v>
      </c>
      <c r="E735" s="84" t="str">
        <f>INDEX('حذف از تولید و لیست اصلی'!B:B,MATCH('کاتالوگ مبلمان'!J735,'حذف از تولید و لیست اصلی'!I:I,0))</f>
        <v>_</v>
      </c>
      <c r="F735" s="180" t="str">
        <f>INDEX('حذف از تولید و لیست اصلی'!C:C,MATCH('کاتالوگ مبلمان'!J735,'حذف از تولید و لیست اصلی'!I:I,0))</f>
        <v xml:space="preserve">  متراژ پارچه سه نفره (فریم و تشک 9متر، تکیه گاه ها 2متر و کوسن 1 متر)</v>
      </c>
      <c r="G735" s="181"/>
      <c r="H735" s="182"/>
      <c r="I735" s="85" t="str">
        <f>INDEX('حذف از تولید و لیست اصلی'!E:E,MATCH('کاتالوگ مبلمان'!J735,'حذف از تولید و لیست اصلی'!I:I,0))</f>
        <v>12متر</v>
      </c>
      <c r="J735" s="64">
        <v>250</v>
      </c>
    </row>
    <row r="736" spans="1:10" ht="52.5" customHeight="1">
      <c r="A736" s="60"/>
      <c r="B736" s="61"/>
      <c r="D736" s="86">
        <v>7</v>
      </c>
      <c r="E736" s="84" t="str">
        <f>INDEX('حذف از تولید و لیست اصلی'!B:B,MATCH('کاتالوگ مبلمان'!J736,'حذف از تولید و لیست اصلی'!I:I,0))</f>
        <v>_</v>
      </c>
      <c r="F736" s="180" t="str">
        <f>INDEX('حذف از تولید و لیست اصلی'!C:C,MATCH('کاتالوگ مبلمان'!J736,'حذف از تولید و لیست اصلی'!I:I,0))</f>
        <v xml:space="preserve">  متراژ پارچه دو نفره (فریم و تشک 6/5متر، تکیه گاه ها 1/5متر و کوسن 1 متر)</v>
      </c>
      <c r="G736" s="181"/>
      <c r="H736" s="182"/>
      <c r="I736" s="85" t="str">
        <f>INDEX('حذف از تولید و لیست اصلی'!E:E,MATCH('کاتالوگ مبلمان'!J736,'حذف از تولید و لیست اصلی'!I:I,0))</f>
        <v>9متر</v>
      </c>
      <c r="J736" s="64">
        <v>251</v>
      </c>
    </row>
    <row r="737" spans="1:10" ht="52.5" customHeight="1">
      <c r="A737" s="60"/>
      <c r="B737" s="61"/>
      <c r="D737" s="86">
        <v>8</v>
      </c>
      <c r="E737" s="84" t="str">
        <f>INDEX('حذف از تولید و لیست اصلی'!B:B,MATCH('کاتالوگ مبلمان'!J737,'حذف از تولید و لیست اصلی'!I:I,0))</f>
        <v>_</v>
      </c>
      <c r="F737" s="180" t="str">
        <f>INDEX('حذف از تولید و لیست اصلی'!C:C,MATCH('کاتالوگ مبلمان'!J737,'حذف از تولید و لیست اصلی'!I:I,0))</f>
        <v xml:space="preserve">  متراژ پارچه تک نفره (فریم و تشک 4/5 متر و تکیه گاه ها 1متر)</v>
      </c>
      <c r="G737" s="181"/>
      <c r="H737" s="182"/>
      <c r="I737" s="85" t="str">
        <f>INDEX('حذف از تولید و لیست اصلی'!E:E,MATCH('کاتالوگ مبلمان'!J737,'حذف از تولید و لیست اصلی'!I:I,0))</f>
        <v>5/5متر</v>
      </c>
      <c r="J737" s="64">
        <v>252</v>
      </c>
    </row>
    <row r="738" spans="1:10">
      <c r="A738" s="60"/>
      <c r="B738" s="61"/>
      <c r="D738"/>
      <c r="E738"/>
      <c r="F738"/>
      <c r="G738"/>
      <c r="H738"/>
      <c r="I738"/>
    </row>
    <row r="739" spans="1:10">
      <c r="A739" s="60"/>
      <c r="B739" s="61"/>
      <c r="D739"/>
      <c r="E739"/>
      <c r="F739"/>
      <c r="G739"/>
      <c r="H739"/>
      <c r="I739"/>
    </row>
    <row r="740" spans="1:10">
      <c r="A740" s="60"/>
      <c r="B740" s="61"/>
      <c r="D740"/>
      <c r="E740"/>
      <c r="F740"/>
      <c r="G740"/>
      <c r="H740"/>
      <c r="I740"/>
    </row>
    <row r="741" spans="1:10">
      <c r="A741" s="60"/>
      <c r="B741" s="61"/>
      <c r="G741" s="64"/>
      <c r="H741" s="64"/>
      <c r="I741" s="64"/>
    </row>
    <row r="742" spans="1:10">
      <c r="A742" s="60"/>
      <c r="B742" s="61"/>
      <c r="G742" s="64"/>
      <c r="H742" s="64"/>
      <c r="I742" s="64"/>
    </row>
    <row r="743" spans="1:10">
      <c r="A743" s="60"/>
      <c r="B743" s="61"/>
      <c r="G743" s="64"/>
      <c r="H743" s="64"/>
      <c r="I743" s="64"/>
    </row>
    <row r="744" spans="1:10">
      <c r="A744" s="60"/>
      <c r="B744" s="61"/>
      <c r="G744" s="64"/>
      <c r="H744" s="64"/>
      <c r="I744" s="64"/>
    </row>
    <row r="745" spans="1:10">
      <c r="A745" s="60"/>
      <c r="B745" s="61"/>
      <c r="G745" s="64"/>
      <c r="H745" s="64"/>
      <c r="I745" s="64"/>
    </row>
    <row r="746" spans="1:10">
      <c r="A746" s="60"/>
      <c r="B746" s="61"/>
      <c r="G746" s="64"/>
      <c r="H746" s="64"/>
      <c r="I746" s="76"/>
    </row>
    <row r="747" spans="1:10">
      <c r="A747" s="60"/>
      <c r="B747" s="61"/>
      <c r="I747" s="28">
        <v>31</v>
      </c>
    </row>
    <row r="748" spans="1:10" ht="22.5" customHeight="1">
      <c r="A748" s="70"/>
      <c r="B748" s="71"/>
      <c r="C748" s="183"/>
      <c r="D748" s="184"/>
      <c r="E748" s="184"/>
      <c r="F748" s="184"/>
      <c r="G748" s="184"/>
      <c r="H748" s="184"/>
      <c r="I748" s="184"/>
    </row>
    <row r="749" spans="1:10" ht="22.5" customHeight="1">
      <c r="A749" s="70"/>
      <c r="B749" s="71"/>
      <c r="C749" s="183"/>
      <c r="D749" s="184"/>
      <c r="E749" s="184"/>
      <c r="F749" s="184"/>
      <c r="G749" s="184"/>
      <c r="H749" s="184"/>
      <c r="I749" s="184"/>
    </row>
    <row r="750" spans="1:10" ht="27.75">
      <c r="A750" s="70"/>
      <c r="B750" s="71"/>
      <c r="C750" s="72"/>
      <c r="D750" s="67" t="s">
        <v>1105</v>
      </c>
      <c r="E750" s="67"/>
      <c r="F750" s="67"/>
      <c r="I750" s="68" t="str">
        <f>$M$1</f>
        <v>1405/02/01</v>
      </c>
    </row>
    <row r="751" spans="1:10" ht="45" customHeight="1">
      <c r="A751" s="70"/>
      <c r="B751" s="71"/>
      <c r="C751" s="77"/>
      <c r="D751" s="87" t="s">
        <v>0</v>
      </c>
      <c r="E751" s="88" t="s">
        <v>1</v>
      </c>
      <c r="F751" s="177" t="s">
        <v>448</v>
      </c>
      <c r="G751" s="178"/>
      <c r="H751" s="179"/>
      <c r="I751" s="89" t="s">
        <v>251</v>
      </c>
    </row>
    <row r="752" spans="1:10" ht="55.5" customHeight="1">
      <c r="A752" s="60"/>
      <c r="B752" s="61"/>
      <c r="D752" s="84">
        <v>1</v>
      </c>
      <c r="E752" s="84">
        <f>INDEX('حذف از تولید و لیست اصلی'!B:B,MATCH('کاتالوگ مبلمان'!J752,'حذف از تولید و لیست اصلی'!I:I,0))</f>
        <v>2110290300</v>
      </c>
      <c r="F752" s="180" t="str">
        <f>INDEX('حذف از تولید و لیست اصلی'!C:C,MATCH('کاتالوگ مبلمان'!J752,'حذف از تولید و لیست اصلی'!I:I,0))</f>
        <v xml:space="preserve">کاناپه سه نفره بالز ا (5عدد کوسن) </v>
      </c>
      <c r="G752" s="181"/>
      <c r="H752" s="182"/>
      <c r="I752" s="85">
        <f>INDEX('حذف از تولید و لیست اصلی'!E:E,MATCH('کاتالوگ مبلمان'!J752,'حذف از تولید و لیست اصلی'!I:I,0))</f>
        <v>3454000000</v>
      </c>
      <c r="J752" s="64">
        <v>253</v>
      </c>
    </row>
    <row r="753" spans="1:10" ht="55.5" customHeight="1">
      <c r="A753" s="60"/>
      <c r="B753" s="61"/>
      <c r="C753" s="78"/>
      <c r="D753" s="86">
        <v>2</v>
      </c>
      <c r="E753" s="84" t="str">
        <f>INDEX('حذف از تولید و لیست اصلی'!B:B,MATCH('کاتالوگ مبلمان'!J753,'حذف از تولید و لیست اصلی'!I:I,0))</f>
        <v>-</v>
      </c>
      <c r="F753" s="180" t="str">
        <f>INDEX('حذف از تولید و لیست اصلی'!C:C,MATCH('کاتالوگ مبلمان'!J753,'حذف از تولید و لیست اصلی'!I:I,0))</f>
        <v xml:space="preserve"> فریم و کف 14 متر + کوسن 2/5 متر</v>
      </c>
      <c r="G753" s="181"/>
      <c r="H753" s="182"/>
      <c r="I753" s="85" t="str">
        <f>INDEX('حذف از تولید و لیست اصلی'!E:E,MATCH('کاتالوگ مبلمان'!J753,'حذف از تولید و لیست اصلی'!I:I,0))</f>
        <v>16.5 متر</v>
      </c>
      <c r="J753" s="64">
        <v>254</v>
      </c>
    </row>
    <row r="754" spans="1:10">
      <c r="A754" s="60"/>
      <c r="B754" s="61"/>
      <c r="D754"/>
      <c r="E754"/>
      <c r="F754"/>
      <c r="G754"/>
      <c r="H754"/>
      <c r="I754"/>
    </row>
    <row r="755" spans="1:10">
      <c r="A755" s="60"/>
      <c r="B755" s="61"/>
      <c r="G755" s="64"/>
      <c r="H755" s="64"/>
      <c r="I755" s="76"/>
    </row>
    <row r="756" spans="1:10">
      <c r="A756" s="60"/>
      <c r="B756" s="61"/>
      <c r="G756" s="64"/>
      <c r="H756" s="64"/>
      <c r="I756" s="76"/>
    </row>
    <row r="757" spans="1:10">
      <c r="A757" s="60"/>
      <c r="B757" s="61"/>
      <c r="G757" s="64"/>
      <c r="H757" s="64"/>
      <c r="I757" s="76"/>
    </row>
    <row r="758" spans="1:10">
      <c r="A758" s="60"/>
      <c r="B758" s="61"/>
      <c r="G758" s="64"/>
      <c r="H758" s="64"/>
      <c r="I758" s="76"/>
    </row>
    <row r="759" spans="1:10" ht="27.75">
      <c r="A759" s="70"/>
      <c r="B759" s="71"/>
      <c r="C759" s="72"/>
      <c r="D759" s="67" t="s">
        <v>1106</v>
      </c>
      <c r="E759" s="67"/>
      <c r="F759" s="67"/>
      <c r="I759" s="68"/>
    </row>
    <row r="760" spans="1:10" ht="45" customHeight="1">
      <c r="A760" s="70"/>
      <c r="B760" s="71"/>
      <c r="C760" s="77"/>
      <c r="D760" s="87" t="s">
        <v>0</v>
      </c>
      <c r="E760" s="88" t="s">
        <v>1</v>
      </c>
      <c r="F760" s="177" t="s">
        <v>448</v>
      </c>
      <c r="G760" s="178"/>
      <c r="H760" s="179"/>
      <c r="I760" s="89" t="s">
        <v>251</v>
      </c>
    </row>
    <row r="761" spans="1:10" ht="55.5" customHeight="1">
      <c r="A761" s="60"/>
      <c r="B761" s="61"/>
      <c r="D761" s="84">
        <v>1</v>
      </c>
      <c r="E761" s="84">
        <f>INDEX('حذف از تولید و لیست اصلی'!B:B,MATCH('کاتالوگ مبلمان'!J761,'حذف از تولید و لیست اصلی'!I:I,0))</f>
        <v>2110290300</v>
      </c>
      <c r="F761" s="180" t="str">
        <f>INDEX('حذف از تولید و لیست اصلی'!C:C,MATCH('کاتالوگ مبلمان'!J761,'حذف از تولید و لیست اصلی'!I:I,0))</f>
        <v xml:space="preserve">کاناپه سه نفره بالز ا (5عدد کوسن) </v>
      </c>
      <c r="G761" s="181"/>
      <c r="H761" s="182"/>
      <c r="I761" s="85">
        <f>INDEX('حذف از تولید و لیست اصلی'!E:E,MATCH('کاتالوگ مبلمان'!J761,'حذف از تولید و لیست اصلی'!I:I,0))</f>
        <v>2794000000</v>
      </c>
      <c r="J761" s="64">
        <v>255</v>
      </c>
    </row>
    <row r="762" spans="1:10" ht="55.5" customHeight="1">
      <c r="A762" s="60"/>
      <c r="B762" s="61"/>
      <c r="C762" s="78"/>
      <c r="D762" s="86">
        <v>2</v>
      </c>
      <c r="E762" s="84" t="str">
        <f>INDEX('حذف از تولید و لیست اصلی'!B:B,MATCH('کاتالوگ مبلمان'!J762,'حذف از تولید و لیست اصلی'!I:I,0))</f>
        <v>-</v>
      </c>
      <c r="F762" s="180" t="str">
        <f>INDEX('حذف از تولید و لیست اصلی'!C:C,MATCH('کاتالوگ مبلمان'!J762,'حذف از تولید و لیست اصلی'!I:I,0))</f>
        <v xml:space="preserve"> فریم و کف 14 متر + کوسن 2/5 متر</v>
      </c>
      <c r="G762" s="181"/>
      <c r="H762" s="182"/>
      <c r="I762" s="85" t="str">
        <f>INDEX('حذف از تولید و لیست اصلی'!E:E,MATCH('کاتالوگ مبلمان'!J762,'حذف از تولید و لیست اصلی'!I:I,0))</f>
        <v>16.5 متر</v>
      </c>
      <c r="J762" s="64">
        <v>256</v>
      </c>
    </row>
    <row r="763" spans="1:10">
      <c r="A763" s="60"/>
      <c r="B763" s="61"/>
      <c r="D763"/>
      <c r="E763"/>
      <c r="F763"/>
      <c r="G763"/>
      <c r="H763"/>
      <c r="I763"/>
    </row>
    <row r="764" spans="1:10">
      <c r="A764" s="60"/>
      <c r="B764" s="61"/>
      <c r="D764"/>
      <c r="E764"/>
      <c r="F764"/>
      <c r="G764"/>
      <c r="H764"/>
      <c r="I764"/>
    </row>
    <row r="765" spans="1:10">
      <c r="A765" s="60"/>
      <c r="B765" s="61"/>
      <c r="D765"/>
      <c r="E765"/>
      <c r="F765"/>
      <c r="G765"/>
      <c r="H765"/>
      <c r="I765"/>
    </row>
    <row r="766" spans="1:10">
      <c r="A766" s="60"/>
      <c r="B766" s="61"/>
      <c r="D766"/>
      <c r="E766"/>
      <c r="F766"/>
      <c r="G766"/>
      <c r="H766"/>
      <c r="I766"/>
    </row>
    <row r="767" spans="1:10">
      <c r="A767" s="60"/>
      <c r="B767" s="61"/>
      <c r="D767"/>
      <c r="E767"/>
      <c r="F767"/>
      <c r="G767"/>
      <c r="H767"/>
      <c r="I767"/>
    </row>
    <row r="768" spans="1:10">
      <c r="A768" s="60"/>
      <c r="B768" s="61"/>
      <c r="D768"/>
      <c r="E768"/>
      <c r="F768"/>
      <c r="G768"/>
      <c r="H768"/>
      <c r="I768"/>
    </row>
    <row r="769" spans="1:10">
      <c r="A769" s="60"/>
      <c r="B769" s="61"/>
      <c r="D769"/>
      <c r="E769"/>
      <c r="F769"/>
      <c r="G769"/>
      <c r="H769"/>
      <c r="I769"/>
    </row>
    <row r="770" spans="1:10">
      <c r="A770" s="60"/>
      <c r="B770" s="61"/>
      <c r="D770"/>
      <c r="E770"/>
      <c r="F770"/>
      <c r="G770"/>
      <c r="H770"/>
      <c r="I770"/>
    </row>
    <row r="771" spans="1:10">
      <c r="A771" s="60"/>
      <c r="B771" s="61"/>
      <c r="D771"/>
      <c r="E771"/>
      <c r="F771"/>
      <c r="G771"/>
      <c r="H771"/>
      <c r="I771"/>
    </row>
    <row r="772" spans="1:10">
      <c r="A772" s="60"/>
      <c r="B772" s="61"/>
      <c r="G772" s="64"/>
      <c r="H772" s="64"/>
      <c r="I772" s="64"/>
    </row>
    <row r="773" spans="1:10">
      <c r="A773" s="60"/>
      <c r="B773" s="61"/>
      <c r="I773" s="28">
        <v>32</v>
      </c>
    </row>
    <row r="774" spans="1:10" ht="22.5" customHeight="1">
      <c r="A774" s="70"/>
      <c r="B774" s="71"/>
      <c r="C774" s="183"/>
      <c r="D774" s="184"/>
      <c r="E774" s="184"/>
      <c r="F774" s="184"/>
      <c r="G774" s="184"/>
      <c r="H774" s="184"/>
      <c r="I774" s="184"/>
    </row>
    <row r="775" spans="1:10" ht="22.5" customHeight="1">
      <c r="A775" s="70"/>
      <c r="B775" s="71"/>
      <c r="C775" s="183"/>
      <c r="D775" s="184"/>
      <c r="E775" s="184"/>
      <c r="F775" s="184"/>
      <c r="G775" s="184"/>
      <c r="H775" s="184"/>
      <c r="I775" s="184"/>
    </row>
    <row r="776" spans="1:10" ht="27.75">
      <c r="A776" s="70"/>
      <c r="B776" s="71"/>
      <c r="C776" s="72"/>
      <c r="D776" s="67" t="s">
        <v>1107</v>
      </c>
      <c r="E776" s="67"/>
      <c r="F776" s="67"/>
      <c r="I776" s="68" t="str">
        <f>$M$1</f>
        <v>1405/02/01</v>
      </c>
    </row>
    <row r="777" spans="1:10" ht="45" customHeight="1">
      <c r="A777" s="70"/>
      <c r="B777" s="71"/>
      <c r="C777" s="77"/>
      <c r="D777" s="87" t="s">
        <v>0</v>
      </c>
      <c r="E777" s="88" t="s">
        <v>1</v>
      </c>
      <c r="F777" s="177" t="s">
        <v>448</v>
      </c>
      <c r="G777" s="178"/>
      <c r="H777" s="179"/>
      <c r="I777" s="89" t="s">
        <v>251</v>
      </c>
    </row>
    <row r="778" spans="1:10" ht="54" customHeight="1">
      <c r="A778" s="60"/>
      <c r="B778" s="61"/>
      <c r="D778" s="84">
        <v>1</v>
      </c>
      <c r="E778" s="84">
        <f>INDEX('حذف از تولید و لیست اصلی'!B:B,MATCH('کاتالوگ مبلمان'!J778,'حذف از تولید و لیست اصلی'!I:I,0))</f>
        <v>2120010400</v>
      </c>
      <c r="F778" s="180" t="str">
        <f>INDEX('حذف از تولید و لیست اصلی'!C:C,MATCH('کاتالوگ مبلمان'!J778,'حذف از تولید و لیست اصلی'!I:I,0))</f>
        <v xml:space="preserve">میز ده‌نفره آکومه </v>
      </c>
      <c r="G778" s="181"/>
      <c r="H778" s="182"/>
      <c r="I778" s="85">
        <f>INDEX('حذف از تولید و لیست اصلی'!E:E,MATCH('کاتالوگ مبلمان'!J778,'حذف از تولید و لیست اصلی'!I:I,0))</f>
        <v>2302000000</v>
      </c>
      <c r="J778" s="64">
        <v>257</v>
      </c>
    </row>
    <row r="779" spans="1:10" ht="54" customHeight="1">
      <c r="A779" s="60"/>
      <c r="B779" s="61"/>
      <c r="C779" s="78"/>
      <c r="D779" s="86">
        <v>2</v>
      </c>
      <c r="E779" s="84">
        <f>INDEX('حذف از تولید و لیست اصلی'!B:B,MATCH('کاتالوگ مبلمان'!J779,'حذف از تولید و لیست اصلی'!I:I,0))</f>
        <v>2120010300</v>
      </c>
      <c r="F779" s="180" t="str">
        <f>INDEX('حذف از تولید و لیست اصلی'!C:C,MATCH('کاتالوگ مبلمان'!J779,'حذف از تولید و لیست اصلی'!I:I,0))</f>
        <v xml:space="preserve">میز هشت‌نفره آکومه </v>
      </c>
      <c r="G779" s="181"/>
      <c r="H779" s="182"/>
      <c r="I779" s="85">
        <f>INDEX('حذف از تولید و لیست اصلی'!E:E,MATCH('کاتالوگ مبلمان'!J779,'حذف از تولید و لیست اصلی'!I:I,0))</f>
        <v>1823000000</v>
      </c>
      <c r="J779" s="64">
        <v>258</v>
      </c>
    </row>
    <row r="780" spans="1:10" ht="54" customHeight="1">
      <c r="A780" s="60"/>
      <c r="B780" s="61"/>
      <c r="D780" s="86">
        <v>3</v>
      </c>
      <c r="E780" s="84">
        <f>INDEX('حذف از تولید و لیست اصلی'!B:B,MATCH('کاتالوگ مبلمان'!J780,'حذف از تولید و لیست اصلی'!I:I,0))</f>
        <v>2120010200</v>
      </c>
      <c r="F780" s="180" t="str">
        <f>INDEX('حذف از تولید و لیست اصلی'!C:C,MATCH('کاتالوگ مبلمان'!J780,'حذف از تولید و لیست اصلی'!I:I,0))</f>
        <v xml:space="preserve">میز شش‌نفره آکومه </v>
      </c>
      <c r="G780" s="181"/>
      <c r="H780" s="182"/>
      <c r="I780" s="85">
        <f>INDEX('حذف از تولید و لیست اصلی'!E:E,MATCH('کاتالوگ مبلمان'!J780,'حذف از تولید و لیست اصلی'!I:I,0))</f>
        <v>1517000000</v>
      </c>
      <c r="J780" s="64">
        <v>259</v>
      </c>
    </row>
    <row r="781" spans="1:10" ht="54" customHeight="1">
      <c r="A781" s="60"/>
      <c r="B781" s="61"/>
      <c r="D781" s="86">
        <v>4</v>
      </c>
      <c r="E781" s="84" t="str">
        <f>INDEX('حذف از تولید و لیست اصلی'!B:B,MATCH('کاتالوگ مبلمان'!J781,'حذف از تولید و لیست اصلی'!I:I,0))</f>
        <v>2120010100</v>
      </c>
      <c r="F781" s="180" t="str">
        <f>INDEX('حذف از تولید و لیست اصلی'!C:C,MATCH('کاتالوگ مبلمان'!J781,'حذف از تولید و لیست اصلی'!I:I,0))</f>
        <v xml:space="preserve">  میز چهار نفره آکومه</v>
      </c>
      <c r="G781" s="181"/>
      <c r="H781" s="182"/>
      <c r="I781" s="85">
        <f>INDEX('حذف از تولید و لیست اصلی'!E:E,MATCH('کاتالوگ مبلمان'!J781,'حذف از تولید و لیست اصلی'!I:I,0))</f>
        <v>1151000000</v>
      </c>
      <c r="J781" s="64">
        <v>260</v>
      </c>
    </row>
    <row r="782" spans="1:10" ht="54" customHeight="1">
      <c r="A782" s="60"/>
      <c r="B782" s="61"/>
      <c r="D782" s="86">
        <v>5</v>
      </c>
      <c r="E782" s="84">
        <f>INDEX('حذف از تولید و لیست اصلی'!B:B,MATCH('کاتالوگ مبلمان'!J782,'حذف از تولید و لیست اصلی'!I:I,0))</f>
        <v>2120010700</v>
      </c>
      <c r="F782" s="180" t="str">
        <f>INDEX('حذف از تولید و لیست اصلی'!C:C,MATCH('کاتالوگ مبلمان'!J782,'حذف از تولید و لیست اصلی'!I:I,0))</f>
        <v xml:space="preserve">صندلی غذاخوری دسته‌دار آکومه </v>
      </c>
      <c r="G782" s="181"/>
      <c r="H782" s="182"/>
      <c r="I782" s="85">
        <f>INDEX('حذف از تولید و لیست اصلی'!E:E,MATCH('کاتالوگ مبلمان'!J782,'حذف از تولید و لیست اصلی'!I:I,0))</f>
        <v>619000000</v>
      </c>
      <c r="J782" s="64">
        <v>261</v>
      </c>
    </row>
    <row r="783" spans="1:10" ht="54" customHeight="1">
      <c r="A783" s="60"/>
      <c r="B783" s="61"/>
      <c r="D783" s="86">
        <v>6</v>
      </c>
      <c r="E783" s="84">
        <f>INDEX('حذف از تولید و لیست اصلی'!B:B,MATCH('کاتالوگ مبلمان'!J783,'حذف از تولید و لیست اصلی'!I:I,0))</f>
        <v>2120010600</v>
      </c>
      <c r="F783" s="180" t="str">
        <f>INDEX('حذف از تولید و لیست اصلی'!C:C,MATCH('کاتالوگ مبلمان'!J783,'حذف از تولید و لیست اصلی'!I:I,0))</f>
        <v xml:space="preserve">صندلی غذاخوری بدون دسته آکومه </v>
      </c>
      <c r="G783" s="181"/>
      <c r="H783" s="182"/>
      <c r="I783" s="85">
        <f>INDEX('حذف از تولید و لیست اصلی'!E:E,MATCH('کاتالوگ مبلمان'!J783,'حذف از تولید و لیست اصلی'!I:I,0))</f>
        <v>579000000</v>
      </c>
      <c r="J783" s="64">
        <v>262</v>
      </c>
    </row>
    <row r="784" spans="1:10" ht="54" customHeight="1">
      <c r="A784" s="60"/>
      <c r="B784" s="61"/>
      <c r="D784" s="86">
        <v>7</v>
      </c>
      <c r="E784" s="84" t="str">
        <f>INDEX('حذف از تولید و لیست اصلی'!B:B,MATCH('کاتالوگ مبلمان'!J784,'حذف از تولید و لیست اصلی'!I:I,0))</f>
        <v>-</v>
      </c>
      <c r="F784" s="180" t="str">
        <f>INDEX('حذف از تولید و لیست اصلی'!C:C,MATCH('کاتالوگ مبلمان'!J784,'حذف از تولید و لیست اصلی'!I:I,0))</f>
        <v xml:space="preserve">  متراژ پارچه یک عدد صندلی دسته‌دار (فریم بیرون و داخل از یک پارچه)</v>
      </c>
      <c r="G784" s="181"/>
      <c r="H784" s="182"/>
      <c r="I784" s="85" t="str">
        <f>INDEX('حذف از تولید و لیست اصلی'!E:E,MATCH('کاتالوگ مبلمان'!J784,'حذف از تولید و لیست اصلی'!I:I,0))</f>
        <v>2 متر</v>
      </c>
      <c r="J784" s="64">
        <v>263</v>
      </c>
    </row>
    <row r="785" spans="1:10" ht="54" customHeight="1">
      <c r="A785" s="60"/>
      <c r="B785" s="61"/>
      <c r="D785" s="86">
        <v>8</v>
      </c>
      <c r="E785" s="84" t="str">
        <f>INDEX('حذف از تولید و لیست اصلی'!B:B,MATCH('کاتالوگ مبلمان'!J785,'حذف از تولید و لیست اصلی'!I:I,0))</f>
        <v>-</v>
      </c>
      <c r="F785" s="180" t="str">
        <f>INDEX('حذف از تولید و لیست اصلی'!C:C,MATCH('کاتالوگ مبلمان'!J785,'حذف از تولید و لیست اصلی'!I:I,0))</f>
        <v xml:space="preserve">  متراژ پارچه یک عدد صندلی بدون دسته (فریم بیرون و داخل از یک پارچه)</v>
      </c>
      <c r="G785" s="181"/>
      <c r="H785" s="182"/>
      <c r="I785" s="85" t="str">
        <f>INDEX('حذف از تولید و لیست اصلی'!E:E,MATCH('کاتالوگ مبلمان'!J785,'حذف از تولید و لیست اصلی'!I:I,0))</f>
        <v>2 متر</v>
      </c>
      <c r="J785" s="64">
        <v>264</v>
      </c>
    </row>
    <row r="786" spans="1:10" ht="54" customHeight="1">
      <c r="A786" s="60"/>
      <c r="B786" s="61"/>
      <c r="D786" s="86">
        <v>9</v>
      </c>
      <c r="E786" s="84" t="str">
        <f>INDEX('حذف از تولید و لیست اصلی'!B:B,MATCH('کاتالوگ مبلمان'!J786,'حذف از تولید و لیست اصلی'!I:I,0))</f>
        <v>-</v>
      </c>
      <c r="F786" s="180" t="str">
        <f>INDEX('حذف از تولید و لیست اصلی'!C:C,MATCH('کاتالوگ مبلمان'!J786,'حذف از تولید و لیست اصلی'!I:I,0))</f>
        <v xml:space="preserve">  متراژ پارچه یک عدد صندلی دسته‌دار (فریم بیرون 1 متر + فریم داخل و نشیمن 1.5 متر)</v>
      </c>
      <c r="G786" s="181"/>
      <c r="H786" s="182"/>
      <c r="I786" s="85" t="str">
        <f>INDEX('حذف از تولید و لیست اصلی'!E:E,MATCH('کاتالوگ مبلمان'!J786,'حذف از تولید و لیست اصلی'!I:I,0))</f>
        <v>2.5 متر</v>
      </c>
      <c r="J786" s="64">
        <v>265</v>
      </c>
    </row>
    <row r="787" spans="1:10" ht="54" customHeight="1">
      <c r="A787" s="60"/>
      <c r="B787" s="61"/>
      <c r="D787" s="86">
        <v>10</v>
      </c>
      <c r="E787" s="84" t="str">
        <f>INDEX('حذف از تولید و لیست اصلی'!B:B,MATCH('کاتالوگ مبلمان'!J787,'حذف از تولید و لیست اصلی'!I:I,0))</f>
        <v>-</v>
      </c>
      <c r="F787" s="180" t="str">
        <f>INDEX('حذف از تولید و لیست اصلی'!C:C,MATCH('کاتالوگ مبلمان'!J787,'حذف از تولید و لیست اصلی'!I:I,0))</f>
        <v xml:space="preserve">  متراژ پارچه یک عدد صندلی بدون دسته (فریم بیرون 1 متر + فریم داخل و نشیمن 1.5 متر)</v>
      </c>
      <c r="G787" s="181"/>
      <c r="H787" s="182"/>
      <c r="I787" s="85" t="str">
        <f>INDEX('حذف از تولید و لیست اصلی'!E:E,MATCH('کاتالوگ مبلمان'!J787,'حذف از تولید و لیست اصلی'!I:I,0))</f>
        <v>2.5 متر</v>
      </c>
      <c r="J787" s="64">
        <v>266</v>
      </c>
    </row>
    <row r="788" spans="1:10">
      <c r="A788" s="60"/>
      <c r="B788" s="61"/>
      <c r="D788"/>
      <c r="E788"/>
      <c r="F788"/>
      <c r="G788"/>
      <c r="H788"/>
      <c r="I788"/>
    </row>
    <row r="789" spans="1:10">
      <c r="A789" s="60"/>
      <c r="B789" s="61"/>
      <c r="G789" s="64"/>
      <c r="H789" s="64"/>
      <c r="I789" s="64"/>
    </row>
    <row r="790" spans="1:10">
      <c r="A790" s="60"/>
      <c r="B790" s="61"/>
      <c r="I790" s="74">
        <v>33</v>
      </c>
    </row>
    <row r="791" spans="1:10" ht="22.5" customHeight="1">
      <c r="A791" s="70"/>
      <c r="B791" s="71"/>
      <c r="C791" s="183"/>
      <c r="D791" s="184"/>
      <c r="E791" s="184"/>
      <c r="F791" s="184"/>
      <c r="G791" s="184"/>
      <c r="H791" s="184"/>
      <c r="I791" s="184"/>
    </row>
    <row r="792" spans="1:10" ht="22.5" customHeight="1">
      <c r="A792" s="70"/>
      <c r="B792" s="71"/>
      <c r="C792" s="183"/>
      <c r="D792" s="184"/>
      <c r="E792" s="184"/>
      <c r="F792" s="184"/>
      <c r="G792" s="184"/>
      <c r="H792" s="184"/>
      <c r="I792" s="184"/>
    </row>
    <row r="793" spans="1:10" ht="27.75">
      <c r="A793" s="70"/>
      <c r="B793" s="71"/>
      <c r="C793" s="72"/>
      <c r="D793" s="67" t="s">
        <v>1108</v>
      </c>
      <c r="E793" s="67"/>
      <c r="F793" s="67"/>
      <c r="I793" s="68" t="str">
        <f>$M$1</f>
        <v>1405/02/01</v>
      </c>
    </row>
    <row r="794" spans="1:10" ht="45" customHeight="1">
      <c r="A794" s="70"/>
      <c r="B794" s="71"/>
      <c r="C794" s="77"/>
      <c r="D794" s="87" t="s">
        <v>0</v>
      </c>
      <c r="E794" s="88" t="s">
        <v>1</v>
      </c>
      <c r="F794" s="177" t="s">
        <v>448</v>
      </c>
      <c r="G794" s="178"/>
      <c r="H794" s="179"/>
      <c r="I794" s="89" t="s">
        <v>251</v>
      </c>
    </row>
    <row r="795" spans="1:10" ht="54.75" customHeight="1">
      <c r="A795" s="60"/>
      <c r="B795" s="61"/>
      <c r="D795" s="84">
        <v>1</v>
      </c>
      <c r="E795" s="84">
        <f>INDEX('حذف از تولید و لیست اصلی'!B:B,MATCH('کاتالوگ مبلمان'!J795,'حذف از تولید و لیست اصلی'!I:I,0))</f>
        <v>2120010400</v>
      </c>
      <c r="F795" s="180" t="str">
        <f>INDEX('حذف از تولید و لیست اصلی'!C:C,MATCH('کاتالوگ مبلمان'!J795,'حذف از تولید و لیست اصلی'!I:I,0))</f>
        <v xml:space="preserve">میز ده‌نفره آکومه </v>
      </c>
      <c r="G795" s="181"/>
      <c r="H795" s="182"/>
      <c r="I795" s="85">
        <f>INDEX('حذف از تولید و لیست اصلی'!E:E,MATCH('کاتالوگ مبلمان'!J795,'حذف از تولید و لیست اصلی'!I:I,0))</f>
        <v>2302000000</v>
      </c>
      <c r="J795" s="64">
        <v>267</v>
      </c>
    </row>
    <row r="796" spans="1:10" ht="54.75" customHeight="1">
      <c r="A796" s="60"/>
      <c r="B796" s="61"/>
      <c r="C796" s="78"/>
      <c r="D796" s="86">
        <v>2</v>
      </c>
      <c r="E796" s="84">
        <f>INDEX('حذف از تولید و لیست اصلی'!B:B,MATCH('کاتالوگ مبلمان'!J796,'حذف از تولید و لیست اصلی'!I:I,0))</f>
        <v>2120010300</v>
      </c>
      <c r="F796" s="180" t="str">
        <f>INDEX('حذف از تولید و لیست اصلی'!C:C,MATCH('کاتالوگ مبلمان'!J796,'حذف از تولید و لیست اصلی'!I:I,0))</f>
        <v xml:space="preserve">میز هشت‌نفره آکومه </v>
      </c>
      <c r="G796" s="181"/>
      <c r="H796" s="182"/>
      <c r="I796" s="85">
        <f>INDEX('حذف از تولید و لیست اصلی'!E:E,MATCH('کاتالوگ مبلمان'!J796,'حذف از تولید و لیست اصلی'!I:I,0))</f>
        <v>1823000000</v>
      </c>
      <c r="J796" s="64">
        <v>268</v>
      </c>
    </row>
    <row r="797" spans="1:10" ht="54.75" customHeight="1">
      <c r="A797" s="60"/>
      <c r="B797" s="61"/>
      <c r="D797" s="86">
        <v>3</v>
      </c>
      <c r="E797" s="84">
        <f>INDEX('حذف از تولید و لیست اصلی'!B:B,MATCH('کاتالوگ مبلمان'!J797,'حذف از تولید و لیست اصلی'!I:I,0))</f>
        <v>2120010200</v>
      </c>
      <c r="F797" s="180" t="str">
        <f>INDEX('حذف از تولید و لیست اصلی'!C:C,MATCH('کاتالوگ مبلمان'!J797,'حذف از تولید و لیست اصلی'!I:I,0))</f>
        <v xml:space="preserve">میز شش‌نفره آکومه </v>
      </c>
      <c r="G797" s="181"/>
      <c r="H797" s="182"/>
      <c r="I797" s="85">
        <f>INDEX('حذف از تولید و لیست اصلی'!E:E,MATCH('کاتالوگ مبلمان'!J797,'حذف از تولید و لیست اصلی'!I:I,0))</f>
        <v>1517000000</v>
      </c>
      <c r="J797" s="64">
        <v>269</v>
      </c>
    </row>
    <row r="798" spans="1:10" ht="54.75" customHeight="1">
      <c r="A798" s="60"/>
      <c r="B798" s="61"/>
      <c r="D798" s="86">
        <v>4</v>
      </c>
      <c r="E798" s="84" t="str">
        <f>INDEX('حذف از تولید و لیست اصلی'!B:B,MATCH('کاتالوگ مبلمان'!J798,'حذف از تولید و لیست اصلی'!I:I,0))</f>
        <v>2120010100</v>
      </c>
      <c r="F798" s="180" t="str">
        <f>INDEX('حذف از تولید و لیست اصلی'!C:C,MATCH('کاتالوگ مبلمان'!J798,'حذف از تولید و لیست اصلی'!I:I,0))</f>
        <v xml:space="preserve">  میز چهار نفره آکومه</v>
      </c>
      <c r="G798" s="181"/>
      <c r="H798" s="182"/>
      <c r="I798" s="85">
        <f>INDEX('حذف از تولید و لیست اصلی'!E:E,MATCH('کاتالوگ مبلمان'!J798,'حذف از تولید و لیست اصلی'!I:I,0))</f>
        <v>1151000000</v>
      </c>
      <c r="J798" s="64">
        <v>270</v>
      </c>
    </row>
    <row r="799" spans="1:10" ht="54.75" customHeight="1">
      <c r="A799" s="60"/>
      <c r="B799" s="61"/>
      <c r="D799" s="86">
        <v>5</v>
      </c>
      <c r="E799" s="84">
        <f>INDEX('حذف از تولید و لیست اصلی'!B:B,MATCH('کاتالوگ مبلمان'!J799,'حذف از تولید و لیست اصلی'!I:I,0))</f>
        <v>2120010700</v>
      </c>
      <c r="F799" s="180" t="str">
        <f>INDEX('حذف از تولید و لیست اصلی'!C:C,MATCH('کاتالوگ مبلمان'!J799,'حذف از تولید و لیست اصلی'!I:I,0))</f>
        <v xml:space="preserve">صندلی غذاخوری دسته‌دار آکومه </v>
      </c>
      <c r="G799" s="181"/>
      <c r="H799" s="182"/>
      <c r="I799" s="85">
        <f>INDEX('حذف از تولید و لیست اصلی'!E:E,MATCH('کاتالوگ مبلمان'!J799,'حذف از تولید و لیست اصلی'!I:I,0))</f>
        <v>579000000</v>
      </c>
      <c r="J799" s="64">
        <v>271</v>
      </c>
    </row>
    <row r="800" spans="1:10" ht="54.75" customHeight="1">
      <c r="A800" s="60"/>
      <c r="B800" s="61"/>
      <c r="D800" s="86">
        <v>6</v>
      </c>
      <c r="E800" s="84">
        <f>INDEX('حذف از تولید و لیست اصلی'!B:B,MATCH('کاتالوگ مبلمان'!J800,'حذف از تولید و لیست اصلی'!I:I,0))</f>
        <v>2120010600</v>
      </c>
      <c r="F800" s="180" t="str">
        <f>INDEX('حذف از تولید و لیست اصلی'!C:C,MATCH('کاتالوگ مبلمان'!J800,'حذف از تولید و لیست اصلی'!I:I,0))</f>
        <v xml:space="preserve">صندلی غذاخوری بدون دسته آکومه </v>
      </c>
      <c r="G800" s="181"/>
      <c r="H800" s="182"/>
      <c r="I800" s="85">
        <f>INDEX('حذف از تولید و لیست اصلی'!E:E,MATCH('کاتالوگ مبلمان'!J800,'حذف از تولید و لیست اصلی'!I:I,0))</f>
        <v>539000000</v>
      </c>
      <c r="J800" s="64">
        <v>272</v>
      </c>
    </row>
    <row r="801" spans="1:10" ht="54.75" customHeight="1">
      <c r="A801" s="60"/>
      <c r="B801" s="61"/>
      <c r="D801" s="86">
        <v>7</v>
      </c>
      <c r="E801" s="84" t="str">
        <f>INDEX('حذف از تولید و لیست اصلی'!B:B,MATCH('کاتالوگ مبلمان'!J801,'حذف از تولید و لیست اصلی'!I:I,0))</f>
        <v>-</v>
      </c>
      <c r="F801" s="180" t="str">
        <f>INDEX('حذف از تولید و لیست اصلی'!C:C,MATCH('کاتالوگ مبلمان'!J801,'حذف از تولید و لیست اصلی'!I:I,0))</f>
        <v xml:space="preserve">  متراژ پارچه یک عدد صندلی دسته‌دار (فریم بیرون و داخل از یک پارچه)</v>
      </c>
      <c r="G801" s="181"/>
      <c r="H801" s="182"/>
      <c r="I801" s="85" t="str">
        <f>INDEX('حذف از تولید و لیست اصلی'!E:E,MATCH('کاتالوگ مبلمان'!J801,'حذف از تولید و لیست اصلی'!I:I,0))</f>
        <v>2 متر</v>
      </c>
      <c r="J801" s="64">
        <v>273</v>
      </c>
    </row>
    <row r="802" spans="1:10" ht="54.75" customHeight="1">
      <c r="A802" s="60"/>
      <c r="B802" s="61"/>
      <c r="D802" s="86">
        <v>8</v>
      </c>
      <c r="E802" s="84" t="str">
        <f>INDEX('حذف از تولید و لیست اصلی'!B:B,MATCH('کاتالوگ مبلمان'!J802,'حذف از تولید و لیست اصلی'!I:I,0))</f>
        <v>-</v>
      </c>
      <c r="F802" s="180" t="str">
        <f>INDEX('حذف از تولید و لیست اصلی'!C:C,MATCH('کاتالوگ مبلمان'!J802,'حذف از تولید و لیست اصلی'!I:I,0))</f>
        <v xml:space="preserve">  متراژ پارچه یک عدد صندلی بدون دسته (فریم بیرون و داخل از یک پارچه)</v>
      </c>
      <c r="G802" s="181"/>
      <c r="H802" s="182"/>
      <c r="I802" s="85" t="str">
        <f>INDEX('حذف از تولید و لیست اصلی'!E:E,MATCH('کاتالوگ مبلمان'!J802,'حذف از تولید و لیست اصلی'!I:I,0))</f>
        <v>2 متر</v>
      </c>
      <c r="J802" s="64">
        <v>274</v>
      </c>
    </row>
    <row r="803" spans="1:10" ht="54.75" customHeight="1">
      <c r="A803" s="60"/>
      <c r="B803" s="61"/>
      <c r="D803" s="86">
        <v>9</v>
      </c>
      <c r="E803" s="84" t="str">
        <f>INDEX('حذف از تولید و لیست اصلی'!B:B,MATCH('کاتالوگ مبلمان'!J803,'حذف از تولید و لیست اصلی'!I:I,0))</f>
        <v>-</v>
      </c>
      <c r="F803" s="180" t="str">
        <f>INDEX('حذف از تولید و لیست اصلی'!C:C,MATCH('کاتالوگ مبلمان'!J803,'حذف از تولید و لیست اصلی'!I:I,0))</f>
        <v xml:space="preserve">  متراژ پارچه یک عدد صندلی دسته‌دار (فریم بیرون 1 متر + فریم داخل و نشیمن 1.5 متر)</v>
      </c>
      <c r="G803" s="181"/>
      <c r="H803" s="182"/>
      <c r="I803" s="85" t="str">
        <f>INDEX('حذف از تولید و لیست اصلی'!E:E,MATCH('کاتالوگ مبلمان'!J803,'حذف از تولید و لیست اصلی'!I:I,0))</f>
        <v>2.5 متر</v>
      </c>
      <c r="J803" s="64">
        <v>275</v>
      </c>
    </row>
    <row r="804" spans="1:10" ht="54.75" customHeight="1">
      <c r="A804" s="60"/>
      <c r="B804" s="61"/>
      <c r="D804" s="86">
        <v>10</v>
      </c>
      <c r="E804" s="84" t="str">
        <f>INDEX('حذف از تولید و لیست اصلی'!B:B,MATCH('کاتالوگ مبلمان'!J804,'حذف از تولید و لیست اصلی'!I:I,0))</f>
        <v>-</v>
      </c>
      <c r="F804" s="180" t="str">
        <f>INDEX('حذف از تولید و لیست اصلی'!C:C,MATCH('کاتالوگ مبلمان'!J804,'حذف از تولید و لیست اصلی'!I:I,0))</f>
        <v xml:space="preserve">  متراژ پارچه یک عدد صندلی بدون دسته (فریم بیرون 1 متر + فریم داخل و نشیمن 1.5 متر)</v>
      </c>
      <c r="G804" s="181"/>
      <c r="H804" s="182"/>
      <c r="I804" s="85" t="str">
        <f>INDEX('حذف از تولید و لیست اصلی'!E:E,MATCH('کاتالوگ مبلمان'!J804,'حذف از تولید و لیست اصلی'!I:I,0))</f>
        <v>2.5 متر</v>
      </c>
      <c r="J804" s="64">
        <v>276</v>
      </c>
    </row>
    <row r="805" spans="1:10">
      <c r="A805" s="60"/>
      <c r="B805" s="61"/>
      <c r="G805" s="64"/>
      <c r="H805" s="64"/>
      <c r="I805" s="64"/>
    </row>
    <row r="806" spans="1:10">
      <c r="A806" s="60"/>
      <c r="B806" s="61"/>
      <c r="I806" s="28">
        <v>34</v>
      </c>
    </row>
    <row r="807" spans="1:10" ht="22.5" customHeight="1">
      <c r="A807" s="70"/>
      <c r="B807" s="71"/>
      <c r="C807" s="183"/>
      <c r="D807" s="184"/>
      <c r="E807" s="184"/>
      <c r="F807" s="184"/>
      <c r="G807" s="184"/>
      <c r="H807" s="184"/>
      <c r="I807" s="184"/>
    </row>
    <row r="808" spans="1:10" ht="22.5" customHeight="1">
      <c r="A808" s="70"/>
      <c r="B808" s="71"/>
      <c r="C808" s="183"/>
      <c r="D808" s="184"/>
      <c r="E808" s="184"/>
      <c r="F808" s="184"/>
      <c r="G808" s="184"/>
      <c r="H808" s="184"/>
      <c r="I808" s="184"/>
    </row>
    <row r="809" spans="1:10" ht="27.75">
      <c r="A809" s="70"/>
      <c r="B809" s="71"/>
      <c r="C809" s="72"/>
      <c r="D809" s="67" t="s">
        <v>1109</v>
      </c>
      <c r="E809" s="67"/>
      <c r="F809" s="67"/>
      <c r="I809" s="68" t="str">
        <f>$M$1</f>
        <v>1405/02/01</v>
      </c>
    </row>
    <row r="810" spans="1:10" ht="45" customHeight="1">
      <c r="A810" s="70"/>
      <c r="B810" s="71"/>
      <c r="C810" s="77"/>
      <c r="D810" s="87" t="s">
        <v>0</v>
      </c>
      <c r="E810" s="88" t="s">
        <v>1</v>
      </c>
      <c r="F810" s="177" t="s">
        <v>448</v>
      </c>
      <c r="G810" s="178"/>
      <c r="H810" s="179"/>
      <c r="I810" s="89" t="s">
        <v>251</v>
      </c>
    </row>
    <row r="811" spans="1:10" ht="33" customHeight="1">
      <c r="A811" s="60"/>
      <c r="B811" s="61"/>
      <c r="D811" s="84">
        <v>1</v>
      </c>
      <c r="E811" s="84" t="str">
        <f>INDEX('حذف از تولید و لیست اصلی'!B:B,MATCH('کاتالوگ مبلمان'!J811,'حذف از تولید و لیست اصلی'!I:I,0))</f>
        <v>2120030400</v>
      </c>
      <c r="F811" s="180" t="str">
        <f>INDEX('حذف از تولید و لیست اصلی'!C:C,MATCH('کاتالوگ مبلمان'!J811,'حذف از تولید و لیست اصلی'!I:I,0))</f>
        <v xml:space="preserve">  میزده نفره ساپن</v>
      </c>
      <c r="G811" s="181"/>
      <c r="H811" s="182"/>
      <c r="I811" s="85">
        <f>INDEX('حذف از تولید و لیست اصلی'!E:E,MATCH('کاتالوگ مبلمان'!J811,'حذف از تولید و لیست اصلی'!I:I,0))</f>
        <v>1562000000</v>
      </c>
      <c r="J811" s="64">
        <v>277</v>
      </c>
    </row>
    <row r="812" spans="1:10" ht="33" customHeight="1">
      <c r="A812" s="60"/>
      <c r="B812" s="61"/>
      <c r="C812" s="78"/>
      <c r="D812" s="86">
        <v>2</v>
      </c>
      <c r="E812" s="84" t="str">
        <f>INDEX('حذف از تولید و لیست اصلی'!B:B,MATCH('کاتالوگ مبلمان'!J812,'حذف از تولید و لیست اصلی'!I:I,0))</f>
        <v>2120030300</v>
      </c>
      <c r="F812" s="180" t="str">
        <f>INDEX('حذف از تولید و لیست اصلی'!C:C,MATCH('کاتالوگ مبلمان'!J812,'حذف از تولید و لیست اصلی'!I:I,0))</f>
        <v xml:space="preserve">  میز هشت نفره ساپن</v>
      </c>
      <c r="G812" s="181"/>
      <c r="H812" s="182"/>
      <c r="I812" s="85">
        <f>INDEX('حذف از تولید و لیست اصلی'!E:E,MATCH('کاتالوگ مبلمان'!J812,'حذف از تولید و لیست اصلی'!I:I,0))</f>
        <v>1217000000</v>
      </c>
      <c r="J812" s="64">
        <v>278</v>
      </c>
    </row>
    <row r="813" spans="1:10" ht="33" customHeight="1">
      <c r="A813" s="60"/>
      <c r="B813" s="61"/>
      <c r="D813" s="86">
        <v>3</v>
      </c>
      <c r="E813" s="84" t="str">
        <f>INDEX('حذف از تولید و لیست اصلی'!B:B,MATCH('کاتالوگ مبلمان'!J813,'حذف از تولید و لیست اصلی'!I:I,0))</f>
        <v>2120030200</v>
      </c>
      <c r="F813" s="180" t="str">
        <f>INDEX('حذف از تولید و لیست اصلی'!C:C,MATCH('کاتالوگ مبلمان'!J813,'حذف از تولید و لیست اصلی'!I:I,0))</f>
        <v xml:space="preserve">  میز شش نفره  ساپن</v>
      </c>
      <c r="G813" s="181"/>
      <c r="H813" s="182"/>
      <c r="I813" s="85">
        <f>INDEX('حذف از تولید و لیست اصلی'!E:E,MATCH('کاتالوگ مبلمان'!J813,'حذف از تولید و لیست اصلی'!I:I,0))</f>
        <v>875000000</v>
      </c>
      <c r="J813" s="64">
        <v>279</v>
      </c>
    </row>
    <row r="814" spans="1:10" ht="33" customHeight="1">
      <c r="A814" s="60"/>
      <c r="B814" s="61"/>
      <c r="D814" s="86">
        <v>4</v>
      </c>
      <c r="E814" s="84" t="str">
        <f>INDEX('حذف از تولید و لیست اصلی'!B:B,MATCH('کاتالوگ مبلمان'!J814,'حذف از تولید و لیست اصلی'!I:I,0))</f>
        <v>2120030100</v>
      </c>
      <c r="F814" s="180" t="str">
        <f>INDEX('حذف از تولید و لیست اصلی'!C:C,MATCH('کاتالوگ مبلمان'!J814,'حذف از تولید و لیست اصلی'!I:I,0))</f>
        <v xml:space="preserve">  میز چهار نفره  ساپن</v>
      </c>
      <c r="G814" s="181"/>
      <c r="H814" s="182"/>
      <c r="I814" s="85">
        <f>INDEX('حذف از تولید و لیست اصلی'!E:E,MATCH('کاتالوگ مبلمان'!J814,'حذف از تولید و لیست اصلی'!I:I,0))</f>
        <v>843000000</v>
      </c>
      <c r="J814" s="64">
        <v>280</v>
      </c>
    </row>
    <row r="815" spans="1:10" ht="33" customHeight="1">
      <c r="A815" s="60"/>
      <c r="B815" s="61"/>
      <c r="D815" s="86">
        <v>5</v>
      </c>
      <c r="E815" s="84" t="str">
        <f>INDEX('حذف از تولید و لیست اصلی'!B:B,MATCH('کاتالوگ مبلمان'!J815,'حذف از تولید و لیست اصلی'!I:I,0))</f>
        <v>21200306000000</v>
      </c>
      <c r="F815" s="180" t="str">
        <f>INDEX('حذف از تولید و لیست اصلی'!C:C,MATCH('کاتالوگ مبلمان'!J815,'حذف از تولید و لیست اصلی'!I:I,0))</f>
        <v xml:space="preserve">  صندلی غذا خوری ساپن</v>
      </c>
      <c r="G815" s="181"/>
      <c r="H815" s="182"/>
      <c r="I815" s="85">
        <f>INDEX('حذف از تولید و لیست اصلی'!E:E,MATCH('کاتالوگ مبلمان'!J815,'حذف از تولید و لیست اصلی'!I:I,0))</f>
        <v>278000000</v>
      </c>
      <c r="J815" s="64">
        <v>281</v>
      </c>
    </row>
    <row r="816" spans="1:10" ht="33" customHeight="1">
      <c r="A816" s="60"/>
      <c r="B816" s="61"/>
      <c r="D816" s="86">
        <v>6</v>
      </c>
      <c r="E816" s="84" t="str">
        <f>INDEX('حذف از تولید و لیست اصلی'!B:B,MATCH('کاتالوگ مبلمان'!J816,'حذف از تولید و لیست اصلی'!I:I,0))</f>
        <v>-</v>
      </c>
      <c r="F816" s="180" t="str">
        <f>INDEX('حذف از تولید و لیست اصلی'!C:C,MATCH('کاتالوگ مبلمان'!J816,'حذف از تولید و لیست اصلی'!I:I,0))</f>
        <v xml:space="preserve">  متراژ پارچه یکعدد صندلی ساپن</v>
      </c>
      <c r="G816" s="181"/>
      <c r="H816" s="182"/>
      <c r="I816" s="85" t="str">
        <f>INDEX('حذف از تولید و لیست اصلی'!E:E,MATCH('کاتالوگ مبلمان'!J816,'حذف از تولید و لیست اصلی'!I:I,0))</f>
        <v>1/80متر</v>
      </c>
      <c r="J816" s="64">
        <v>282</v>
      </c>
    </row>
    <row r="817" spans="1:10" ht="21">
      <c r="A817" s="60"/>
      <c r="B817" s="61"/>
      <c r="D817" s="10"/>
      <c r="E817" s="10"/>
      <c r="F817" s="10"/>
      <c r="G817" s="10"/>
      <c r="H817" s="10"/>
      <c r="I817" s="10"/>
    </row>
    <row r="818" spans="1:10">
      <c r="A818" s="60"/>
      <c r="B818" s="61"/>
      <c r="D818"/>
      <c r="E818"/>
      <c r="F818"/>
      <c r="G818"/>
      <c r="H818"/>
      <c r="I818"/>
    </row>
    <row r="819" spans="1:10">
      <c r="A819" s="60"/>
      <c r="B819" s="61"/>
      <c r="G819" s="64"/>
      <c r="H819" s="64"/>
      <c r="I819" s="64"/>
    </row>
    <row r="820" spans="1:10">
      <c r="A820" s="60"/>
      <c r="B820" s="61"/>
      <c r="G820" s="64"/>
      <c r="H820" s="64"/>
      <c r="I820" s="64"/>
    </row>
    <row r="821" spans="1:10">
      <c r="A821" s="60"/>
      <c r="B821" s="61"/>
      <c r="G821" s="64"/>
      <c r="H821" s="64"/>
      <c r="I821" s="64"/>
    </row>
    <row r="822" spans="1:10" ht="27.75">
      <c r="A822" s="70"/>
      <c r="B822" s="71"/>
      <c r="C822" s="72"/>
      <c r="D822" s="67" t="s">
        <v>1110</v>
      </c>
      <c r="E822" s="67"/>
      <c r="F822" s="67"/>
      <c r="I822" s="68"/>
    </row>
    <row r="823" spans="1:10" ht="45" customHeight="1">
      <c r="A823" s="70"/>
      <c r="B823" s="71"/>
      <c r="C823" s="77"/>
      <c r="D823" s="87" t="s">
        <v>0</v>
      </c>
      <c r="E823" s="88" t="s">
        <v>1</v>
      </c>
      <c r="F823" s="177" t="s">
        <v>448</v>
      </c>
      <c r="G823" s="178"/>
      <c r="H823" s="179"/>
      <c r="I823" s="89" t="s">
        <v>251</v>
      </c>
    </row>
    <row r="824" spans="1:10" ht="31.5" customHeight="1">
      <c r="A824" s="60"/>
      <c r="B824" s="61"/>
      <c r="D824" s="84">
        <v>1</v>
      </c>
      <c r="E824" s="84" t="str">
        <f>INDEX('حذف از تولید و لیست اصلی'!B:B,MATCH('کاتالوگ مبلمان'!J824,'حذف از تولید و لیست اصلی'!I:I,0))</f>
        <v>2120030400</v>
      </c>
      <c r="F824" s="180" t="str">
        <f>INDEX('حذف از تولید و لیست اصلی'!C:C,MATCH('کاتالوگ مبلمان'!J824,'حذف از تولید و لیست اصلی'!I:I,0))</f>
        <v xml:space="preserve">  میزده نفره ساپن</v>
      </c>
      <c r="G824" s="181"/>
      <c r="H824" s="182"/>
      <c r="I824" s="85">
        <f>INDEX('حذف از تولید و لیست اصلی'!E:E,MATCH('کاتالوگ مبلمان'!J824,'حذف از تولید و لیست اصلی'!I:I,0))</f>
        <v>1562000000</v>
      </c>
      <c r="J824" s="64">
        <v>283</v>
      </c>
    </row>
    <row r="825" spans="1:10" ht="31.5" customHeight="1">
      <c r="A825" s="60"/>
      <c r="B825" s="61"/>
      <c r="C825" s="78"/>
      <c r="D825" s="86">
        <v>2</v>
      </c>
      <c r="E825" s="84" t="str">
        <f>INDEX('حذف از تولید و لیست اصلی'!B:B,MATCH('کاتالوگ مبلمان'!J825,'حذف از تولید و لیست اصلی'!I:I,0))</f>
        <v>2120030300</v>
      </c>
      <c r="F825" s="180" t="str">
        <f>INDEX('حذف از تولید و لیست اصلی'!C:C,MATCH('کاتالوگ مبلمان'!J825,'حذف از تولید و لیست اصلی'!I:I,0))</f>
        <v xml:space="preserve">  میز هشت نفره ساپن</v>
      </c>
      <c r="G825" s="181"/>
      <c r="H825" s="182"/>
      <c r="I825" s="85">
        <f>INDEX('حذف از تولید و لیست اصلی'!E:E,MATCH('کاتالوگ مبلمان'!J825,'حذف از تولید و لیست اصلی'!I:I,0))</f>
        <v>1217000000</v>
      </c>
      <c r="J825" s="64">
        <v>284</v>
      </c>
    </row>
    <row r="826" spans="1:10" ht="31.5" customHeight="1">
      <c r="A826" s="60"/>
      <c r="B826" s="61"/>
      <c r="D826" s="86">
        <v>3</v>
      </c>
      <c r="E826" s="84" t="str">
        <f>INDEX('حذف از تولید و لیست اصلی'!B:B,MATCH('کاتالوگ مبلمان'!J826,'حذف از تولید و لیست اصلی'!I:I,0))</f>
        <v>2120030200</v>
      </c>
      <c r="F826" s="180" t="str">
        <f>INDEX('حذف از تولید و لیست اصلی'!C:C,MATCH('کاتالوگ مبلمان'!J826,'حذف از تولید و لیست اصلی'!I:I,0))</f>
        <v xml:space="preserve">  میز شش نفره  ساپن</v>
      </c>
      <c r="G826" s="181"/>
      <c r="H826" s="182"/>
      <c r="I826" s="85">
        <f>INDEX('حذف از تولید و لیست اصلی'!E:E,MATCH('کاتالوگ مبلمان'!J826,'حذف از تولید و لیست اصلی'!I:I,0))</f>
        <v>875000000</v>
      </c>
      <c r="J826" s="64">
        <v>285</v>
      </c>
    </row>
    <row r="827" spans="1:10" ht="31.5" customHeight="1">
      <c r="A827" s="60"/>
      <c r="B827" s="61"/>
      <c r="D827" s="86">
        <v>4</v>
      </c>
      <c r="E827" s="84" t="str">
        <f>INDEX('حذف از تولید و لیست اصلی'!B:B,MATCH('کاتالوگ مبلمان'!J827,'حذف از تولید و لیست اصلی'!I:I,0))</f>
        <v>2120030100</v>
      </c>
      <c r="F827" s="180" t="str">
        <f>INDEX('حذف از تولید و لیست اصلی'!C:C,MATCH('کاتالوگ مبلمان'!J827,'حذف از تولید و لیست اصلی'!I:I,0))</f>
        <v xml:space="preserve">  میز چهار نفره  ساپن</v>
      </c>
      <c r="G827" s="181"/>
      <c r="H827" s="182"/>
      <c r="I827" s="85">
        <f>INDEX('حذف از تولید و لیست اصلی'!E:E,MATCH('کاتالوگ مبلمان'!J827,'حذف از تولید و لیست اصلی'!I:I,0))</f>
        <v>843000000</v>
      </c>
      <c r="J827" s="64">
        <v>286</v>
      </c>
    </row>
    <row r="828" spans="1:10" ht="31.5" customHeight="1">
      <c r="A828" s="60"/>
      <c r="B828" s="61"/>
      <c r="D828" s="86">
        <v>5</v>
      </c>
      <c r="E828" s="84" t="str">
        <f>INDEX('حذف از تولید و لیست اصلی'!B:B,MATCH('کاتالوگ مبلمان'!J828,'حذف از تولید و لیست اصلی'!I:I,0))</f>
        <v>2120030600</v>
      </c>
      <c r="F828" s="180" t="str">
        <f>INDEX('حذف از تولید و لیست اصلی'!C:C,MATCH('کاتالوگ مبلمان'!J828,'حذف از تولید و لیست اصلی'!I:I,0))</f>
        <v xml:space="preserve">  صندلی غذا خوری ساپن</v>
      </c>
      <c r="G828" s="181"/>
      <c r="H828" s="182"/>
      <c r="I828" s="85">
        <f>INDEX('حذف از تولید و لیست اصلی'!E:E,MATCH('کاتالوگ مبلمان'!J828,'حذف از تولید و لیست اصلی'!I:I,0))</f>
        <v>242000000</v>
      </c>
      <c r="J828" s="64">
        <v>287</v>
      </c>
    </row>
    <row r="829" spans="1:10" ht="31.5" customHeight="1">
      <c r="A829" s="60"/>
      <c r="B829" s="61"/>
      <c r="D829" s="86">
        <v>6</v>
      </c>
      <c r="E829" s="84" t="str">
        <f>INDEX('حذف از تولید و لیست اصلی'!B:B,MATCH('کاتالوگ مبلمان'!J829,'حذف از تولید و لیست اصلی'!I:I,0))</f>
        <v>-</v>
      </c>
      <c r="F829" s="180" t="str">
        <f>INDEX('حذف از تولید و لیست اصلی'!C:C,MATCH('کاتالوگ مبلمان'!J829,'حذف از تولید و لیست اصلی'!I:I,0))</f>
        <v xml:space="preserve">  متراژ پارچه یکعدد صندلی ساپن</v>
      </c>
      <c r="G829" s="181"/>
      <c r="H829" s="182"/>
      <c r="I829" s="85" t="str">
        <f>INDEX('حذف از تولید و لیست اصلی'!E:E,MATCH('کاتالوگ مبلمان'!J829,'حذف از تولید و لیست اصلی'!I:I,0))</f>
        <v>1/80متر</v>
      </c>
      <c r="J829" s="64">
        <v>288</v>
      </c>
    </row>
    <row r="830" spans="1:10">
      <c r="A830" s="60"/>
      <c r="B830" s="61"/>
      <c r="D830"/>
      <c r="E830"/>
      <c r="F830"/>
      <c r="G830"/>
      <c r="H830"/>
      <c r="I830"/>
    </row>
    <row r="831" spans="1:10">
      <c r="A831" s="60"/>
      <c r="B831" s="61"/>
      <c r="I831" s="28">
        <v>35</v>
      </c>
    </row>
    <row r="832" spans="1:10" ht="22.5" customHeight="1">
      <c r="A832" s="70"/>
      <c r="B832" s="71"/>
      <c r="C832" s="183"/>
      <c r="D832" s="184"/>
      <c r="E832" s="184"/>
      <c r="F832" s="184"/>
      <c r="G832" s="184"/>
      <c r="H832" s="184"/>
      <c r="I832" s="184"/>
    </row>
    <row r="833" spans="1:10" ht="22.5" customHeight="1">
      <c r="A833" s="70"/>
      <c r="B833" s="71"/>
      <c r="C833" s="183"/>
      <c r="D833" s="184"/>
      <c r="E833" s="184"/>
      <c r="F833" s="184"/>
      <c r="G833" s="184"/>
      <c r="H833" s="184"/>
      <c r="I833" s="184"/>
    </row>
    <row r="834" spans="1:10" ht="27.75">
      <c r="A834" s="70"/>
      <c r="B834" s="71"/>
      <c r="C834" s="72"/>
      <c r="D834" s="67" t="s">
        <v>1111</v>
      </c>
      <c r="E834" s="67"/>
      <c r="F834" s="67"/>
      <c r="I834" s="68" t="str">
        <f>$M$1</f>
        <v>1405/02/01</v>
      </c>
    </row>
    <row r="835" spans="1:10" ht="45" customHeight="1">
      <c r="A835" s="70"/>
      <c r="B835" s="71"/>
      <c r="C835" s="77"/>
      <c r="D835" s="87" t="s">
        <v>0</v>
      </c>
      <c r="E835" s="88" t="s">
        <v>1</v>
      </c>
      <c r="F835" s="177" t="s">
        <v>448</v>
      </c>
      <c r="G835" s="178"/>
      <c r="H835" s="179"/>
      <c r="I835" s="89" t="s">
        <v>251</v>
      </c>
    </row>
    <row r="836" spans="1:10" ht="54" customHeight="1">
      <c r="A836" s="60"/>
      <c r="B836" s="61"/>
      <c r="D836" s="84">
        <v>1</v>
      </c>
      <c r="E836" s="84" t="str">
        <f>INDEX('حذف از تولید و لیست اصلی'!B:B,MATCH('کاتالوگ مبلمان'!J836,'حذف از تولید و لیست اصلی'!I:I,0))</f>
        <v>2120040300</v>
      </c>
      <c r="F836" s="180" t="str">
        <f>INDEX('حذف از تولید و لیست اصلی'!C:C,MATCH('کاتالوگ مبلمان'!J836,'حذف از تولید و لیست اصلی'!I:I,0))</f>
        <v>میز هشت نفره کاتیوو</v>
      </c>
      <c r="G836" s="181"/>
      <c r="H836" s="182"/>
      <c r="I836" s="85">
        <f>INDEX('حذف از تولید و لیست اصلی'!E:E,MATCH('کاتالوگ مبلمان'!J836,'حذف از تولید و لیست اصلی'!I:I,0))</f>
        <v>2141000000</v>
      </c>
      <c r="J836" s="64">
        <v>289</v>
      </c>
    </row>
    <row r="837" spans="1:10" ht="54" customHeight="1">
      <c r="A837" s="60"/>
      <c r="B837" s="61"/>
      <c r="C837" s="78"/>
      <c r="D837" s="86">
        <v>2</v>
      </c>
      <c r="E837" s="84" t="str">
        <f>INDEX('حذف از تولید و لیست اصلی'!B:B,MATCH('کاتالوگ مبلمان'!J837,'حذف از تولید و لیست اصلی'!I:I,0))</f>
        <v>2120040200</v>
      </c>
      <c r="F837" s="180" t="str">
        <f>INDEX('حذف از تولید و لیست اصلی'!C:C,MATCH('کاتالوگ مبلمان'!J837,'حذف از تولید و لیست اصلی'!I:I,0))</f>
        <v xml:space="preserve">  میز شش نفره کاتیوو</v>
      </c>
      <c r="G837" s="181"/>
      <c r="H837" s="182"/>
      <c r="I837" s="85">
        <f>INDEX('حذف از تولید و لیست اصلی'!E:E,MATCH('کاتالوگ مبلمان'!J837,'حذف از تولید و لیست اصلی'!I:I,0))</f>
        <v>1655000000</v>
      </c>
      <c r="J837" s="64">
        <v>290</v>
      </c>
    </row>
    <row r="838" spans="1:10" ht="54" customHeight="1">
      <c r="A838" s="60"/>
      <c r="B838" s="61"/>
      <c r="D838" s="86">
        <v>3</v>
      </c>
      <c r="E838" s="84" t="str">
        <f>INDEX('حذف از تولید و لیست اصلی'!B:B,MATCH('کاتالوگ مبلمان'!J838,'حذف از تولید و لیست اصلی'!I:I,0))</f>
        <v>2120040100</v>
      </c>
      <c r="F838" s="180" t="str">
        <f>INDEX('حذف از تولید و لیست اصلی'!C:C,MATCH('کاتالوگ مبلمان'!J838,'حذف از تولید و لیست اصلی'!I:I,0))</f>
        <v xml:space="preserve">  میز چهار نفره کاتیوو</v>
      </c>
      <c r="G838" s="181"/>
      <c r="H838" s="182"/>
      <c r="I838" s="85">
        <f>INDEX('حذف از تولید و لیست اصلی'!E:E,MATCH('کاتالوگ مبلمان'!J838,'حذف از تولید و لیست اصلی'!I:I,0))</f>
        <v>1151000000</v>
      </c>
      <c r="J838" s="64">
        <v>291</v>
      </c>
    </row>
    <row r="839" spans="1:10" ht="54" customHeight="1">
      <c r="A839" s="60"/>
      <c r="B839" s="61"/>
      <c r="D839" s="86">
        <v>4</v>
      </c>
      <c r="E839" s="84" t="str">
        <f>INDEX('حذف از تولید و لیست اصلی'!B:B,MATCH('کاتالوگ مبلمان'!J839,'حذف از تولید و لیست اصلی'!I:I,0))</f>
        <v>2120040600</v>
      </c>
      <c r="F839" s="180" t="str">
        <f>INDEX('حذف از تولید و لیست اصلی'!C:C,MATCH('کاتالوگ مبلمان'!J839,'حذف از تولید و لیست اصلی'!I:I,0))</f>
        <v xml:space="preserve">  صندلی غذا خوری کاتیوو</v>
      </c>
      <c r="G839" s="181"/>
      <c r="H839" s="182"/>
      <c r="I839" s="85">
        <f>INDEX('حذف از تولید و لیست اصلی'!E:E,MATCH('کاتالوگ مبلمان'!J839,'حذف از تولید و لیست اصلی'!I:I,0))</f>
        <v>420000000</v>
      </c>
      <c r="J839" s="64">
        <v>292</v>
      </c>
    </row>
    <row r="840" spans="1:10">
      <c r="A840" s="60"/>
      <c r="B840" s="61"/>
      <c r="D840"/>
      <c r="E840"/>
      <c r="F840"/>
      <c r="G840"/>
      <c r="H840"/>
      <c r="I840"/>
    </row>
    <row r="841" spans="1:10">
      <c r="A841" s="60"/>
      <c r="B841" s="61"/>
      <c r="G841" s="64"/>
      <c r="H841" s="64"/>
      <c r="I841" s="64"/>
    </row>
    <row r="842" spans="1:10">
      <c r="A842" s="60"/>
      <c r="B842" s="61"/>
      <c r="G842" s="64"/>
      <c r="H842" s="64"/>
      <c r="I842" s="64"/>
    </row>
    <row r="843" spans="1:10">
      <c r="A843" s="60"/>
      <c r="B843" s="61"/>
      <c r="G843" s="64"/>
      <c r="H843" s="64"/>
      <c r="I843" s="64"/>
    </row>
    <row r="844" spans="1:10" ht="27.75">
      <c r="A844" s="70"/>
      <c r="B844" s="71"/>
      <c r="C844" s="72"/>
      <c r="D844" s="67" t="s">
        <v>1112</v>
      </c>
      <c r="E844" s="67"/>
      <c r="F844" s="67"/>
      <c r="I844" s="68"/>
    </row>
    <row r="845" spans="1:10" ht="45" customHeight="1">
      <c r="A845" s="70"/>
      <c r="B845" s="71"/>
      <c r="C845" s="77"/>
      <c r="D845" s="87" t="s">
        <v>0</v>
      </c>
      <c r="E845" s="88" t="s">
        <v>1</v>
      </c>
      <c r="F845" s="177" t="s">
        <v>448</v>
      </c>
      <c r="G845" s="178"/>
      <c r="H845" s="179"/>
      <c r="I845" s="89" t="s">
        <v>251</v>
      </c>
    </row>
    <row r="846" spans="1:10" ht="54" customHeight="1">
      <c r="A846" s="60"/>
      <c r="B846" s="61"/>
      <c r="D846" s="84">
        <v>1</v>
      </c>
      <c r="E846" s="84" t="str">
        <f>INDEX('حذف از تولید و لیست اصلی'!B:B,MATCH('کاتالوگ مبلمان'!J846,'حذف از تولید و لیست اصلی'!I:I,0))</f>
        <v>2120040300</v>
      </c>
      <c r="F846" s="180" t="str">
        <f>INDEX('حذف از تولید و لیست اصلی'!C:C,MATCH('کاتالوگ مبلمان'!J846,'حذف از تولید و لیست اصلی'!I:I,0))</f>
        <v>میز هشت نفره کاتیوو</v>
      </c>
      <c r="G846" s="181"/>
      <c r="H846" s="182"/>
      <c r="I846" s="85">
        <f>INDEX('حذف از تولید و لیست اصلی'!E:E,MATCH('کاتالوگ مبلمان'!J846,'حذف از تولید و لیست اصلی'!I:I,0))</f>
        <v>2141000000</v>
      </c>
      <c r="J846" s="64">
        <v>293</v>
      </c>
    </row>
    <row r="847" spans="1:10" ht="54" customHeight="1">
      <c r="A847" s="60"/>
      <c r="B847" s="61"/>
      <c r="C847" s="78"/>
      <c r="D847" s="86">
        <v>2</v>
      </c>
      <c r="E847" s="84" t="str">
        <f>INDEX('حذف از تولید و لیست اصلی'!B:B,MATCH('کاتالوگ مبلمان'!J847,'حذف از تولید و لیست اصلی'!I:I,0))</f>
        <v>2120040200</v>
      </c>
      <c r="F847" s="180" t="str">
        <f>INDEX('حذف از تولید و لیست اصلی'!C:C,MATCH('کاتالوگ مبلمان'!J847,'حذف از تولید و لیست اصلی'!I:I,0))</f>
        <v xml:space="preserve">  میز شش نفره کاتیوو</v>
      </c>
      <c r="G847" s="181"/>
      <c r="H847" s="182"/>
      <c r="I847" s="85">
        <f>INDEX('حذف از تولید و لیست اصلی'!E:E,MATCH('کاتالوگ مبلمان'!J847,'حذف از تولید و لیست اصلی'!I:I,0))</f>
        <v>1655000000</v>
      </c>
      <c r="J847" s="64">
        <v>294</v>
      </c>
    </row>
    <row r="848" spans="1:10" ht="54" customHeight="1">
      <c r="A848" s="60"/>
      <c r="B848" s="61"/>
      <c r="D848" s="86">
        <v>3</v>
      </c>
      <c r="E848" s="84" t="str">
        <f>INDEX('حذف از تولید و لیست اصلی'!B:B,MATCH('کاتالوگ مبلمان'!J848,'حذف از تولید و لیست اصلی'!I:I,0))</f>
        <v>2120040100</v>
      </c>
      <c r="F848" s="180" t="str">
        <f>INDEX('حذف از تولید و لیست اصلی'!C:C,MATCH('کاتالوگ مبلمان'!J848,'حذف از تولید و لیست اصلی'!I:I,0))</f>
        <v xml:space="preserve">  میز چهار نفره کاتیوو</v>
      </c>
      <c r="G848" s="181"/>
      <c r="H848" s="182"/>
      <c r="I848" s="85">
        <f>INDEX('حذف از تولید و لیست اصلی'!E:E,MATCH('کاتالوگ مبلمان'!J848,'حذف از تولید و لیست اصلی'!I:I,0))</f>
        <v>1151000000</v>
      </c>
      <c r="J848" s="64">
        <v>295</v>
      </c>
    </row>
    <row r="849" spans="1:10" ht="54" customHeight="1">
      <c r="A849" s="60"/>
      <c r="B849" s="61"/>
      <c r="D849" s="86">
        <v>4</v>
      </c>
      <c r="E849" s="84" t="str">
        <f>INDEX('حذف از تولید و لیست اصلی'!B:B,MATCH('کاتالوگ مبلمان'!J849,'حذف از تولید و لیست اصلی'!I:I,0))</f>
        <v>2120040600</v>
      </c>
      <c r="F849" s="180" t="str">
        <f>INDEX('حذف از تولید و لیست اصلی'!C:C,MATCH('کاتالوگ مبلمان'!J849,'حذف از تولید و لیست اصلی'!I:I,0))</f>
        <v xml:space="preserve">  صندلی غذا خوری کاتیوو</v>
      </c>
      <c r="G849" s="181"/>
      <c r="H849" s="182"/>
      <c r="I849" s="85">
        <f>INDEX('حذف از تولید و لیست اصلی'!E:E,MATCH('کاتالوگ مبلمان'!J849,'حذف از تولید و لیست اصلی'!I:I,0))</f>
        <v>380000000</v>
      </c>
      <c r="J849" s="64">
        <v>296</v>
      </c>
    </row>
    <row r="850" spans="1:10">
      <c r="A850" s="60"/>
      <c r="B850" s="61"/>
      <c r="I850" s="28">
        <v>36</v>
      </c>
    </row>
    <row r="851" spans="1:10" ht="22.5" customHeight="1">
      <c r="A851" s="70"/>
      <c r="B851" s="71"/>
      <c r="C851" s="183"/>
      <c r="D851" s="184"/>
      <c r="E851" s="184"/>
      <c r="F851" s="184"/>
      <c r="G851" s="184"/>
      <c r="H851" s="184"/>
      <c r="I851" s="184"/>
    </row>
    <row r="852" spans="1:10" ht="22.5" customHeight="1">
      <c r="A852" s="70"/>
      <c r="B852" s="71"/>
      <c r="C852" s="183"/>
      <c r="D852" s="184"/>
      <c r="E852" s="184"/>
      <c r="F852" s="184"/>
      <c r="G852" s="184"/>
      <c r="H852" s="184"/>
      <c r="I852" s="184"/>
    </row>
    <row r="853" spans="1:10" ht="27.75">
      <c r="A853" s="70"/>
      <c r="B853" s="71"/>
      <c r="C853" s="72"/>
      <c r="D853" s="67" t="s">
        <v>1113</v>
      </c>
      <c r="E853" s="67"/>
      <c r="F853" s="67"/>
      <c r="I853" s="68" t="str">
        <f>$M$1</f>
        <v>1405/02/01</v>
      </c>
    </row>
    <row r="854" spans="1:10" ht="45" customHeight="1">
      <c r="A854" s="70"/>
      <c r="B854" s="71"/>
      <c r="C854" s="77"/>
      <c r="D854" s="87" t="s">
        <v>0</v>
      </c>
      <c r="E854" s="88" t="s">
        <v>1</v>
      </c>
      <c r="F854" s="177" t="s">
        <v>448</v>
      </c>
      <c r="G854" s="178"/>
      <c r="H854" s="179"/>
      <c r="I854" s="89" t="s">
        <v>251</v>
      </c>
    </row>
    <row r="855" spans="1:10" ht="40.5" customHeight="1">
      <c r="A855" s="60"/>
      <c r="B855" s="61"/>
      <c r="D855" s="84">
        <v>1</v>
      </c>
      <c r="E855" s="84" t="str">
        <f>INDEX('حذف از تولید و لیست اصلی'!B:B,MATCH('کاتالوگ مبلمان'!J855,'حذف از تولید و لیست اصلی'!I:I,0))</f>
        <v>21200503000000</v>
      </c>
      <c r="F855" s="180" t="str">
        <f>INDEX('حذف از تولید و لیست اصلی'!C:C,MATCH('کاتالوگ مبلمان'!J855,'حذف از تولید و لیست اصلی'!I:I,0))</f>
        <v xml:space="preserve">  میز هشت نفره ماپا</v>
      </c>
      <c r="G855" s="181"/>
      <c r="H855" s="182"/>
      <c r="I855" s="85">
        <f>INDEX('حذف از تولید و لیست اصلی'!E:E,MATCH('کاتالوگ مبلمان'!J855,'حذف از تولید و لیست اصلی'!I:I,0))</f>
        <v>950000000</v>
      </c>
      <c r="J855" s="64">
        <v>297</v>
      </c>
    </row>
    <row r="856" spans="1:10" ht="40.5" customHeight="1">
      <c r="A856" s="60"/>
      <c r="B856" s="61"/>
      <c r="C856" s="78"/>
      <c r="D856" s="86">
        <v>2</v>
      </c>
      <c r="E856" s="84" t="str">
        <f>INDEX('حذف از تولید و لیست اصلی'!B:B,MATCH('کاتالوگ مبلمان'!J856,'حذف از تولید و لیست اصلی'!I:I,0))</f>
        <v>21200502000000</v>
      </c>
      <c r="F856" s="180" t="str">
        <f>INDEX('حذف از تولید و لیست اصلی'!C:C,MATCH('کاتالوگ مبلمان'!J856,'حذف از تولید و لیست اصلی'!I:I,0))</f>
        <v xml:space="preserve">  میز شش نفره ماپا</v>
      </c>
      <c r="G856" s="181"/>
      <c r="H856" s="182"/>
      <c r="I856" s="85">
        <f>INDEX('حذف از تولید و لیست اصلی'!E:E,MATCH('کاتالوگ مبلمان'!J856,'حذف از تولید و لیست اصلی'!I:I,0))</f>
        <v>793000000</v>
      </c>
      <c r="J856" s="64">
        <v>298</v>
      </c>
    </row>
    <row r="857" spans="1:10" ht="40.5" customHeight="1">
      <c r="A857" s="60"/>
      <c r="B857" s="61"/>
      <c r="D857" s="86">
        <v>3</v>
      </c>
      <c r="E857" s="84" t="str">
        <f>INDEX('حذف از تولید و لیست اصلی'!B:B,MATCH('کاتالوگ مبلمان'!J857,'حذف از تولید و لیست اصلی'!I:I,0))</f>
        <v>21200501000000</v>
      </c>
      <c r="F857" s="180" t="str">
        <f>INDEX('حذف از تولید و لیست اصلی'!C:C,MATCH('کاتالوگ مبلمان'!J857,'حذف از تولید و لیست اصلی'!I:I,0))</f>
        <v xml:space="preserve">  میز چهار نفره ماپا</v>
      </c>
      <c r="G857" s="181"/>
      <c r="H857" s="182"/>
      <c r="I857" s="85">
        <f>INDEX('حذف از تولید و لیست اصلی'!E:E,MATCH('کاتالوگ مبلمان'!J857,'حذف از تولید و لیست اصلی'!I:I,0))</f>
        <v>661000000</v>
      </c>
      <c r="J857" s="64">
        <v>299</v>
      </c>
    </row>
    <row r="858" spans="1:10" ht="40.5" customHeight="1">
      <c r="A858" s="60"/>
      <c r="B858" s="61"/>
      <c r="D858" s="86">
        <v>4</v>
      </c>
      <c r="E858" s="84">
        <f>INDEX('حذف از تولید و لیست اصلی'!B:B,MATCH('کاتالوگ مبلمان'!J858,'حذف از تولید و لیست اصلی'!I:I,0))</f>
        <v>2120050700</v>
      </c>
      <c r="F858" s="180" t="str">
        <f>INDEX('حذف از تولید و لیست اصلی'!C:C,MATCH('کاتالوگ مبلمان'!J858,'حذف از تولید و لیست اصلی'!I:I,0))</f>
        <v>صندلی غذاخوری دسته‌دار ماپا</v>
      </c>
      <c r="G858" s="181"/>
      <c r="H858" s="182"/>
      <c r="I858" s="85">
        <f>INDEX('حذف از تولید و لیست اصلی'!E:E,MATCH('کاتالوگ مبلمان'!J858,'حذف از تولید و لیست اصلی'!I:I,0))</f>
        <v>472000000</v>
      </c>
      <c r="J858" s="64">
        <v>300</v>
      </c>
    </row>
    <row r="859" spans="1:10" ht="40.5" customHeight="1">
      <c r="A859" s="60"/>
      <c r="B859" s="61"/>
      <c r="D859" s="86">
        <v>5</v>
      </c>
      <c r="E859" s="84" t="str">
        <f>INDEX('حذف از تولید و لیست اصلی'!B:B,MATCH('کاتالوگ مبلمان'!J859,'حذف از تولید و لیست اصلی'!I:I,0))</f>
        <v>-</v>
      </c>
      <c r="F859" s="180" t="str">
        <f>INDEX('حذف از تولید و لیست اصلی'!C:C,MATCH('کاتالوگ مبلمان'!J859,'حذف از تولید و لیست اصلی'!I:I,0))</f>
        <v>متراژ پارچه یک عدد صندلی</v>
      </c>
      <c r="G859" s="181"/>
      <c r="H859" s="182"/>
      <c r="I859" s="85" t="str">
        <f>INDEX('حذف از تولید و لیست اصلی'!E:E,MATCH('کاتالوگ مبلمان'!J859,'حذف از تولید و لیست اصلی'!I:I,0))</f>
        <v>2 متر</v>
      </c>
      <c r="J859" s="64">
        <v>301</v>
      </c>
    </row>
    <row r="860" spans="1:10">
      <c r="A860" s="60"/>
      <c r="B860" s="61"/>
      <c r="D860"/>
      <c r="E860"/>
      <c r="F860"/>
      <c r="G860"/>
      <c r="H860"/>
      <c r="I860"/>
    </row>
    <row r="861" spans="1:10">
      <c r="A861" s="60"/>
      <c r="B861" s="61"/>
      <c r="G861" s="64"/>
      <c r="H861" s="64"/>
      <c r="I861" s="64"/>
    </row>
    <row r="862" spans="1:10">
      <c r="A862" s="60"/>
      <c r="B862" s="61"/>
      <c r="G862" s="64"/>
      <c r="H862" s="64"/>
      <c r="I862" s="64"/>
    </row>
    <row r="863" spans="1:10">
      <c r="A863" s="60"/>
      <c r="B863" s="61"/>
      <c r="G863" s="64"/>
      <c r="H863" s="64"/>
      <c r="I863" s="64"/>
    </row>
    <row r="864" spans="1:10" ht="27.75">
      <c r="A864" s="70"/>
      <c r="B864" s="71"/>
      <c r="C864" s="72"/>
      <c r="D864" s="67" t="s">
        <v>1114</v>
      </c>
      <c r="E864" s="67"/>
      <c r="F864" s="67"/>
      <c r="I864" s="68"/>
    </row>
    <row r="865" spans="1:10" ht="45" customHeight="1">
      <c r="A865" s="70"/>
      <c r="B865" s="71"/>
      <c r="C865" s="77"/>
      <c r="D865" s="87" t="s">
        <v>0</v>
      </c>
      <c r="E865" s="88" t="s">
        <v>1</v>
      </c>
      <c r="F865" s="177" t="s">
        <v>448</v>
      </c>
      <c r="G865" s="178"/>
      <c r="H865" s="179"/>
      <c r="I865" s="89" t="s">
        <v>251</v>
      </c>
    </row>
    <row r="866" spans="1:10" ht="39.75" customHeight="1">
      <c r="A866" s="60"/>
      <c r="B866" s="61"/>
      <c r="D866" s="84">
        <v>1</v>
      </c>
      <c r="E866" s="84" t="str">
        <f>INDEX('حذف از تولید و لیست اصلی'!B:B,MATCH('کاتالوگ مبلمان'!J866,'حذف از تولید و لیست اصلی'!I:I,0))</f>
        <v>21200503000000</v>
      </c>
      <c r="F866" s="180" t="str">
        <f>INDEX('حذف از تولید و لیست اصلی'!C:C,MATCH('کاتالوگ مبلمان'!J866,'حذف از تولید و لیست اصلی'!I:I,0))</f>
        <v xml:space="preserve">  میز هشت نفره ماپا</v>
      </c>
      <c r="G866" s="181"/>
      <c r="H866" s="182"/>
      <c r="I866" s="85">
        <f>INDEX('حذف از تولید و لیست اصلی'!E:E,MATCH('کاتالوگ مبلمان'!J866,'حذف از تولید و لیست اصلی'!I:I,0))</f>
        <v>950000000</v>
      </c>
      <c r="J866" s="64">
        <v>302</v>
      </c>
    </row>
    <row r="867" spans="1:10" ht="39.75" customHeight="1">
      <c r="A867" s="60"/>
      <c r="B867" s="61"/>
      <c r="C867" s="78"/>
      <c r="D867" s="86">
        <v>2</v>
      </c>
      <c r="E867" s="84" t="str">
        <f>INDEX('حذف از تولید و لیست اصلی'!B:B,MATCH('کاتالوگ مبلمان'!J867,'حذف از تولید و لیست اصلی'!I:I,0))</f>
        <v>21200502000000</v>
      </c>
      <c r="F867" s="180" t="str">
        <f>INDEX('حذف از تولید و لیست اصلی'!C:C,MATCH('کاتالوگ مبلمان'!J867,'حذف از تولید و لیست اصلی'!I:I,0))</f>
        <v xml:space="preserve">  میز شش نفره ماپا</v>
      </c>
      <c r="G867" s="181"/>
      <c r="H867" s="182"/>
      <c r="I867" s="85">
        <f>INDEX('حذف از تولید و لیست اصلی'!E:E,MATCH('کاتالوگ مبلمان'!J867,'حذف از تولید و لیست اصلی'!I:I,0))</f>
        <v>793000000</v>
      </c>
      <c r="J867" s="64">
        <v>303</v>
      </c>
    </row>
    <row r="868" spans="1:10" ht="39.75" customHeight="1">
      <c r="A868" s="60"/>
      <c r="B868" s="61"/>
      <c r="D868" s="86">
        <v>3</v>
      </c>
      <c r="E868" s="84" t="str">
        <f>INDEX('حذف از تولید و لیست اصلی'!B:B,MATCH('کاتالوگ مبلمان'!J868,'حذف از تولید و لیست اصلی'!I:I,0))</f>
        <v>21200501000000</v>
      </c>
      <c r="F868" s="180" t="str">
        <f>INDEX('حذف از تولید و لیست اصلی'!C:C,MATCH('کاتالوگ مبلمان'!J868,'حذف از تولید و لیست اصلی'!I:I,0))</f>
        <v xml:space="preserve">  میز چهار نفره ماپا</v>
      </c>
      <c r="G868" s="181"/>
      <c r="H868" s="182"/>
      <c r="I868" s="85">
        <f>INDEX('حذف از تولید و لیست اصلی'!E:E,MATCH('کاتالوگ مبلمان'!J868,'حذف از تولید و لیست اصلی'!I:I,0))</f>
        <v>661000000</v>
      </c>
      <c r="J868" s="64">
        <v>304</v>
      </c>
    </row>
    <row r="869" spans="1:10" ht="39.75" customHeight="1">
      <c r="A869" s="60"/>
      <c r="B869" s="61"/>
      <c r="D869" s="86">
        <v>4</v>
      </c>
      <c r="E869" s="84">
        <f>INDEX('حذف از تولید و لیست اصلی'!B:B,MATCH('کاتالوگ مبلمان'!J869,'حذف از تولید و لیست اصلی'!I:I,0))</f>
        <v>2120050700</v>
      </c>
      <c r="F869" s="180" t="str">
        <f>INDEX('حذف از تولید و لیست اصلی'!C:C,MATCH('کاتالوگ مبلمان'!J869,'حذف از تولید و لیست اصلی'!I:I,0))</f>
        <v>صندلی غذاخوری دسته‌دار ماپا</v>
      </c>
      <c r="G869" s="181"/>
      <c r="H869" s="182"/>
      <c r="I869" s="85">
        <f>INDEX('حذف از تولید و لیست اصلی'!E:E,MATCH('کاتالوگ مبلمان'!J869,'حذف از تولید و لیست اصلی'!I:I,0))</f>
        <v>412000000</v>
      </c>
      <c r="J869" s="64">
        <v>305</v>
      </c>
    </row>
    <row r="870" spans="1:10" ht="39.75" customHeight="1">
      <c r="A870" s="60"/>
      <c r="B870" s="61"/>
      <c r="D870" s="86">
        <v>5</v>
      </c>
      <c r="E870" s="84" t="str">
        <f>INDEX('حذف از تولید و لیست اصلی'!B:B,MATCH('کاتالوگ مبلمان'!J870,'حذف از تولید و لیست اصلی'!I:I,0))</f>
        <v>-</v>
      </c>
      <c r="F870" s="180" t="str">
        <f>INDEX('حذف از تولید و لیست اصلی'!C:C,MATCH('کاتالوگ مبلمان'!J870,'حذف از تولید و لیست اصلی'!I:I,0))</f>
        <v>متراژ پارچه یک عدد صندلی</v>
      </c>
      <c r="G870" s="181"/>
      <c r="H870" s="182"/>
      <c r="I870" s="85" t="str">
        <f>INDEX('حذف از تولید و لیست اصلی'!E:E,MATCH('کاتالوگ مبلمان'!J870,'حذف از تولید و لیست اصلی'!I:I,0))</f>
        <v>2 متر</v>
      </c>
      <c r="J870" s="64">
        <v>306</v>
      </c>
    </row>
    <row r="871" spans="1:10">
      <c r="A871" s="60"/>
      <c r="B871" s="61"/>
      <c r="D871"/>
      <c r="E871"/>
      <c r="F871"/>
      <c r="G871"/>
      <c r="H871"/>
      <c r="I871"/>
    </row>
    <row r="872" spans="1:10">
      <c r="A872" s="60"/>
      <c r="B872" s="61"/>
      <c r="I872" s="28">
        <v>37</v>
      </c>
    </row>
    <row r="873" spans="1:10" ht="22.5" customHeight="1">
      <c r="A873" s="70"/>
      <c r="B873" s="71"/>
      <c r="C873" s="183"/>
      <c r="D873" s="184"/>
      <c r="E873" s="184"/>
      <c r="F873" s="184"/>
      <c r="G873" s="184"/>
      <c r="H873" s="184"/>
      <c r="I873" s="184"/>
    </row>
    <row r="874" spans="1:10" ht="22.5" customHeight="1">
      <c r="A874" s="70"/>
      <c r="B874" s="71"/>
      <c r="C874" s="183"/>
      <c r="D874" s="184"/>
      <c r="E874" s="184"/>
      <c r="F874" s="184"/>
      <c r="G874" s="184"/>
      <c r="H874" s="184"/>
      <c r="I874" s="184"/>
    </row>
    <row r="875" spans="1:10" ht="27.75">
      <c r="A875" s="70"/>
      <c r="B875" s="71"/>
      <c r="C875" s="72"/>
      <c r="D875" s="67" t="s">
        <v>1115</v>
      </c>
      <c r="E875" s="67"/>
      <c r="F875" s="67"/>
      <c r="I875" s="68" t="str">
        <f>$M$1</f>
        <v>1405/02/01</v>
      </c>
    </row>
    <row r="876" spans="1:10" ht="45" customHeight="1">
      <c r="A876" s="70"/>
      <c r="B876" s="71"/>
      <c r="C876" s="77"/>
      <c r="D876" s="87" t="s">
        <v>0</v>
      </c>
      <c r="E876" s="88" t="s">
        <v>1</v>
      </c>
      <c r="F876" s="177" t="s">
        <v>448</v>
      </c>
      <c r="G876" s="178"/>
      <c r="H876" s="179"/>
      <c r="I876" s="89" t="s">
        <v>251</v>
      </c>
    </row>
    <row r="877" spans="1:10" ht="61.5" customHeight="1">
      <c r="A877" s="60"/>
      <c r="B877" s="61"/>
      <c r="D877" s="84">
        <v>1</v>
      </c>
      <c r="E877" s="84" t="str">
        <f>INDEX('حذف از تولید و لیست اصلی'!B:B,MATCH('کاتالوگ مبلمان'!J877,'حذف از تولید و لیست اصلی'!I:I,0))</f>
        <v>21200307</v>
      </c>
      <c r="F877" s="180" t="str">
        <f>INDEX('حذف از تولید و لیست اصلی'!C:C,MATCH('کاتالوگ مبلمان'!J877,'حذف از تولید و لیست اصلی'!I:I,0))</f>
        <v>صندلی کانتر ساپن</v>
      </c>
      <c r="G877" s="181"/>
      <c r="H877" s="182"/>
      <c r="I877" s="85">
        <f>INDEX('حذف از تولید و لیست اصلی'!E:E,MATCH('کاتالوگ مبلمان'!J877,'حذف از تولید و لیست اصلی'!I:I,0))</f>
        <v>290000000</v>
      </c>
      <c r="J877" s="64">
        <v>307</v>
      </c>
    </row>
    <row r="878" spans="1:10" ht="31.5">
      <c r="A878" s="60"/>
      <c r="B878" s="61"/>
      <c r="C878" s="78"/>
      <c r="D878"/>
      <c r="E878"/>
      <c r="F878"/>
      <c r="G878"/>
      <c r="H878"/>
      <c r="I878"/>
    </row>
    <row r="879" spans="1:10">
      <c r="A879" s="60"/>
      <c r="B879" s="61"/>
      <c r="D879"/>
      <c r="E879"/>
      <c r="F879"/>
      <c r="G879"/>
      <c r="H879"/>
      <c r="I879"/>
    </row>
    <row r="880" spans="1:10">
      <c r="A880" s="60"/>
      <c r="B880" s="61"/>
      <c r="D880"/>
      <c r="E880"/>
      <c r="F880"/>
      <c r="G880"/>
      <c r="H880"/>
      <c r="I880"/>
    </row>
    <row r="881" spans="1:9">
      <c r="A881" s="60"/>
      <c r="B881" s="61"/>
      <c r="D881"/>
      <c r="E881"/>
      <c r="F881"/>
      <c r="G881"/>
      <c r="H881"/>
      <c r="I881"/>
    </row>
    <row r="882" spans="1:9">
      <c r="A882" s="60"/>
      <c r="B882" s="61"/>
      <c r="D882"/>
      <c r="E882"/>
      <c r="F882"/>
      <c r="G882"/>
      <c r="H882"/>
      <c r="I882"/>
    </row>
    <row r="883" spans="1:9">
      <c r="A883" s="60"/>
      <c r="B883" s="61"/>
      <c r="D883"/>
      <c r="E883"/>
      <c r="F883"/>
      <c r="G883"/>
      <c r="H883"/>
      <c r="I883"/>
    </row>
    <row r="884" spans="1:9">
      <c r="A884" s="60"/>
      <c r="B884" s="61"/>
      <c r="D884"/>
      <c r="E884"/>
      <c r="F884"/>
      <c r="G884"/>
      <c r="H884"/>
      <c r="I884"/>
    </row>
    <row r="885" spans="1:9">
      <c r="A885" s="60"/>
      <c r="B885" s="61"/>
      <c r="G885" s="64"/>
      <c r="H885" s="64"/>
      <c r="I885" s="64"/>
    </row>
    <row r="886" spans="1:9">
      <c r="A886" s="60"/>
      <c r="B886" s="61"/>
      <c r="G886" s="64"/>
      <c r="H886" s="64"/>
      <c r="I886" s="64"/>
    </row>
    <row r="887" spans="1:9">
      <c r="A887" s="60"/>
      <c r="B887" s="61"/>
      <c r="G887" s="64"/>
      <c r="H887" s="64"/>
      <c r="I887" s="64"/>
    </row>
    <row r="888" spans="1:9">
      <c r="A888" s="60"/>
      <c r="B888" s="61"/>
      <c r="G888" s="64"/>
      <c r="H888" s="64"/>
      <c r="I888" s="64"/>
    </row>
    <row r="889" spans="1:9">
      <c r="A889" s="60"/>
      <c r="B889" s="61"/>
      <c r="G889" s="64"/>
      <c r="H889" s="64"/>
      <c r="I889" s="64"/>
    </row>
    <row r="890" spans="1:9">
      <c r="A890" s="60"/>
      <c r="B890" s="61"/>
      <c r="G890" s="64"/>
      <c r="H890" s="64"/>
      <c r="I890" s="64"/>
    </row>
    <row r="891" spans="1:9">
      <c r="A891" s="60"/>
      <c r="B891" s="61"/>
      <c r="G891" s="64"/>
      <c r="H891" s="64"/>
      <c r="I891" s="64"/>
    </row>
    <row r="892" spans="1:9">
      <c r="A892" s="60"/>
      <c r="B892" s="61"/>
      <c r="G892" s="64"/>
      <c r="H892" s="64"/>
      <c r="I892" s="64"/>
    </row>
    <row r="893" spans="1:9">
      <c r="A893" s="60"/>
      <c r="B893" s="61"/>
      <c r="G893" s="64"/>
      <c r="H893" s="64"/>
      <c r="I893" s="64"/>
    </row>
    <row r="894" spans="1:9">
      <c r="A894" s="60"/>
      <c r="B894" s="61"/>
      <c r="G894" s="64"/>
      <c r="H894" s="64"/>
      <c r="I894" s="64"/>
    </row>
    <row r="895" spans="1:9">
      <c r="A895" s="60"/>
      <c r="B895" s="61"/>
      <c r="G895" s="64"/>
      <c r="H895" s="64"/>
      <c r="I895" s="64"/>
    </row>
    <row r="896" spans="1:9">
      <c r="A896" s="60"/>
      <c r="B896" s="61"/>
      <c r="G896" s="64"/>
      <c r="H896" s="64"/>
      <c r="I896" s="64"/>
    </row>
    <row r="897" spans="1:10">
      <c r="A897" s="60"/>
      <c r="B897" s="61"/>
      <c r="G897" s="64"/>
      <c r="H897" s="64"/>
      <c r="I897" s="64"/>
    </row>
    <row r="898" spans="1:10">
      <c r="A898" s="60"/>
      <c r="B898" s="61"/>
      <c r="G898" s="64"/>
      <c r="H898" s="64"/>
      <c r="I898" s="64"/>
    </row>
    <row r="899" spans="1:10">
      <c r="A899" s="60"/>
      <c r="B899" s="61"/>
      <c r="G899" s="64"/>
      <c r="H899" s="64"/>
      <c r="I899" s="64"/>
    </row>
    <row r="900" spans="1:10">
      <c r="A900" s="60"/>
      <c r="B900" s="61"/>
      <c r="G900" s="64"/>
      <c r="H900" s="64"/>
      <c r="I900" s="64"/>
    </row>
    <row r="901" spans="1:10">
      <c r="A901" s="60"/>
      <c r="B901" s="61"/>
      <c r="G901" s="64"/>
      <c r="H901" s="64"/>
      <c r="I901" s="64"/>
    </row>
    <row r="902" spans="1:10">
      <c r="A902" s="60"/>
      <c r="B902" s="61"/>
      <c r="G902" s="64"/>
      <c r="H902" s="64"/>
      <c r="I902" s="64"/>
    </row>
    <row r="903" spans="1:10">
      <c r="A903" s="60"/>
      <c r="B903" s="61"/>
      <c r="G903" s="64"/>
      <c r="H903" s="64"/>
      <c r="I903" s="64"/>
    </row>
    <row r="904" spans="1:10">
      <c r="A904" s="60"/>
      <c r="B904" s="61"/>
      <c r="G904" s="64"/>
      <c r="H904" s="64"/>
      <c r="I904" s="64"/>
    </row>
    <row r="905" spans="1:10">
      <c r="A905" s="60"/>
      <c r="B905" s="61"/>
      <c r="G905" s="64"/>
      <c r="H905" s="64"/>
      <c r="I905" s="76"/>
    </row>
    <row r="906" spans="1:10">
      <c r="A906" s="60"/>
      <c r="B906" s="61"/>
      <c r="I906" s="74">
        <v>38</v>
      </c>
    </row>
    <row r="907" spans="1:10" ht="22.5" customHeight="1">
      <c r="A907" s="70"/>
      <c r="B907" s="71"/>
      <c r="C907" s="183"/>
      <c r="D907" s="184"/>
      <c r="E907" s="184"/>
      <c r="F907" s="184"/>
      <c r="G907" s="184"/>
      <c r="H907" s="184"/>
      <c r="I907" s="184"/>
    </row>
    <row r="908" spans="1:10" ht="22.5" customHeight="1">
      <c r="A908" s="70"/>
      <c r="B908" s="71"/>
      <c r="C908" s="183"/>
      <c r="D908" s="184"/>
      <c r="E908" s="184"/>
      <c r="F908" s="184"/>
      <c r="G908" s="184"/>
      <c r="H908" s="184"/>
      <c r="I908" s="184"/>
    </row>
    <row r="909" spans="1:10" ht="27.75">
      <c r="A909" s="70"/>
      <c r="B909" s="71"/>
      <c r="C909" s="72"/>
      <c r="D909" s="67" t="s">
        <v>1116</v>
      </c>
      <c r="E909" s="67"/>
      <c r="F909" s="67"/>
      <c r="I909" s="68" t="str">
        <f>$M$1</f>
        <v>1405/02/01</v>
      </c>
    </row>
    <row r="910" spans="1:10" ht="45" customHeight="1">
      <c r="A910" s="70"/>
      <c r="B910" s="71"/>
      <c r="C910" s="77"/>
      <c r="D910" s="87" t="s">
        <v>0</v>
      </c>
      <c r="E910" s="88" t="s">
        <v>1</v>
      </c>
      <c r="F910" s="177" t="s">
        <v>448</v>
      </c>
      <c r="G910" s="178"/>
      <c r="H910" s="179"/>
      <c r="I910" s="89" t="s">
        <v>251</v>
      </c>
    </row>
    <row r="911" spans="1:10" ht="30" customHeight="1">
      <c r="A911" s="60"/>
      <c r="B911" s="61"/>
      <c r="D911" s="84">
        <v>1</v>
      </c>
      <c r="E911" s="84" t="str">
        <f>INDEX('حذف از تولید و لیست اصلی'!B:B,MATCH('کاتالوگ مبلمان'!J911,'حذف از تولید و لیست اصلی'!I:I,0))</f>
        <v>21200604</v>
      </c>
      <c r="F911" s="180" t="str">
        <f>INDEX('حذف از تولید و لیست اصلی'!C:C,MATCH('کاتالوگ مبلمان'!J911,'حذف از تولید و لیست اصلی'!I:I,0))</f>
        <v xml:space="preserve">  میز غذاخوری ده نفره نوئل</v>
      </c>
      <c r="G911" s="181"/>
      <c r="H911" s="182"/>
      <c r="I911" s="85">
        <f>INDEX('حذف از تولید و لیست اصلی'!E:E,MATCH('کاتالوگ مبلمان'!J911,'حذف از تولید و لیست اصلی'!I:I,0))</f>
        <v>1953000000</v>
      </c>
      <c r="J911" s="64">
        <v>308</v>
      </c>
    </row>
    <row r="912" spans="1:10" ht="30" customHeight="1">
      <c r="A912" s="60"/>
      <c r="B912" s="61"/>
      <c r="C912" s="78"/>
      <c r="D912" s="86">
        <v>2</v>
      </c>
      <c r="E912" s="84" t="str">
        <f>INDEX('حذف از تولید و لیست اصلی'!B:B,MATCH('کاتالوگ مبلمان'!J912,'حذف از تولید و لیست اصلی'!I:I,0))</f>
        <v>21200603</v>
      </c>
      <c r="F912" s="180" t="str">
        <f>INDEX('حذف از تولید و لیست اصلی'!C:C,MATCH('کاتالوگ مبلمان'!J912,'حذف از تولید و لیست اصلی'!I:I,0))</f>
        <v xml:space="preserve">  میز غذاخوری هشت نفره نوئل</v>
      </c>
      <c r="G912" s="181"/>
      <c r="H912" s="182"/>
      <c r="I912" s="85">
        <f>INDEX('حذف از تولید و لیست اصلی'!E:E,MATCH('کاتالوگ مبلمان'!J912,'حذف از تولید و لیست اصلی'!I:I,0))</f>
        <v>1521000000</v>
      </c>
      <c r="J912" s="64">
        <v>309</v>
      </c>
    </row>
    <row r="913" spans="1:10" ht="30" customHeight="1">
      <c r="A913" s="60"/>
      <c r="B913" s="61"/>
      <c r="D913" s="86">
        <v>3</v>
      </c>
      <c r="E913" s="84" t="str">
        <f>INDEX('حذف از تولید و لیست اصلی'!B:B,MATCH('کاتالوگ مبلمان'!J913,'حذف از تولید و لیست اصلی'!I:I,0))</f>
        <v>21200602</v>
      </c>
      <c r="F913" s="180" t="str">
        <f>INDEX('حذف از تولید و لیست اصلی'!C:C,MATCH('کاتالوگ مبلمان'!J913,'حذف از تولید و لیست اصلی'!I:I,0))</f>
        <v xml:space="preserve">  میز غذاخوری شش نفره نوئل</v>
      </c>
      <c r="G913" s="181"/>
      <c r="H913" s="182"/>
      <c r="I913" s="85">
        <f>INDEX('حذف از تولید و لیست اصلی'!E:E,MATCH('کاتالوگ مبلمان'!J913,'حذف از تولید و لیست اصلی'!I:I,0))</f>
        <v>1093000000</v>
      </c>
      <c r="J913" s="64">
        <v>310</v>
      </c>
    </row>
    <row r="914" spans="1:10" ht="30" customHeight="1">
      <c r="A914" s="60"/>
      <c r="B914" s="61"/>
      <c r="D914" s="86">
        <v>4</v>
      </c>
      <c r="E914" s="84" t="str">
        <f>INDEX('حذف از تولید و لیست اصلی'!B:B,MATCH('کاتالوگ مبلمان'!J914,'حذف از تولید و لیست اصلی'!I:I,0))</f>
        <v>21200601</v>
      </c>
      <c r="F914" s="180" t="str">
        <f>INDEX('حذف از تولید و لیست اصلی'!C:C,MATCH('کاتالوگ مبلمان'!J914,'حذف از تولید و لیست اصلی'!I:I,0))</f>
        <v xml:space="preserve">  میز غذاخوری چهار نفره نوئل</v>
      </c>
      <c r="G914" s="181"/>
      <c r="H914" s="182"/>
      <c r="I914" s="85">
        <f>INDEX('حذف از تولید و لیست اصلی'!E:E,MATCH('کاتالوگ مبلمان'!J914,'حذف از تولید و لیست اصلی'!I:I,0))</f>
        <v>1054000000</v>
      </c>
      <c r="J914" s="64">
        <v>311</v>
      </c>
    </row>
    <row r="915" spans="1:10" ht="30" customHeight="1">
      <c r="A915" s="60"/>
      <c r="B915" s="61"/>
      <c r="D915" s="86">
        <v>5</v>
      </c>
      <c r="E915" s="84" t="str">
        <f>INDEX('حذف از تولید و لیست اصلی'!B:B,MATCH('کاتالوگ مبلمان'!J915,'حذف از تولید و لیست اصلی'!I:I,0))</f>
        <v>21200606</v>
      </c>
      <c r="F915" s="180" t="str">
        <f>INDEX('حذف از تولید و لیست اصلی'!C:C,MATCH('کاتالوگ مبلمان'!J915,'حذف از تولید و لیست اصلی'!I:I,0))</f>
        <v>صندلی غذاخوری پشت چوب نوئل</v>
      </c>
      <c r="G915" s="181"/>
      <c r="H915" s="182"/>
      <c r="I915" s="85">
        <f>INDEX('حذف از تولید و لیست اصلی'!E:E,MATCH('کاتالوگ مبلمان'!J915,'حذف از تولید و لیست اصلی'!I:I,0))</f>
        <v>493000000</v>
      </c>
      <c r="J915" s="64">
        <v>312</v>
      </c>
    </row>
    <row r="916" spans="1:10" ht="30" customHeight="1">
      <c r="A916" s="60"/>
      <c r="B916" s="61"/>
      <c r="D916" s="86">
        <v>6</v>
      </c>
      <c r="E916" s="84" t="str">
        <f>INDEX('حذف از تولید و لیست اصلی'!B:B,MATCH('کاتالوگ مبلمان'!J916,'حذف از تولید و لیست اصلی'!I:I,0))</f>
        <v>21200607</v>
      </c>
      <c r="F916" s="180" t="str">
        <f>INDEX('حذف از تولید و لیست اصلی'!C:C,MATCH('کاتالوگ مبلمان'!J916,'حذف از تولید و لیست اصلی'!I:I,0))</f>
        <v>صندلی غذاخوری پشت پارچه نوئل</v>
      </c>
      <c r="G916" s="181"/>
      <c r="H916" s="182"/>
      <c r="I916" s="85">
        <f>INDEX('حذف از تولید و لیست اصلی'!E:E,MATCH('کاتالوگ مبلمان'!J916,'حذف از تولید و لیست اصلی'!I:I,0))</f>
        <v>435000000</v>
      </c>
      <c r="J916" s="64">
        <v>313</v>
      </c>
    </row>
    <row r="917" spans="1:10" ht="30" customHeight="1">
      <c r="A917" s="60"/>
      <c r="B917" s="61"/>
      <c r="D917" s="86">
        <v>7</v>
      </c>
      <c r="E917" s="84" t="str">
        <f>INDEX('حذف از تولید و لیست اصلی'!B:B,MATCH('کاتالوگ مبلمان'!J917,'حذف از تولید و لیست اصلی'!I:I,0))</f>
        <v>-</v>
      </c>
      <c r="F917" s="180" t="str">
        <f>INDEX('حذف از تولید و لیست اصلی'!C:C,MATCH('کاتالوگ مبلمان'!J917,'حذف از تولید و لیست اصلی'!I:I,0))</f>
        <v xml:space="preserve">متراژ پارچه صندلی غذاخوری نوئل </v>
      </c>
      <c r="G917" s="181"/>
      <c r="H917" s="182"/>
      <c r="I917" s="85" t="str">
        <f>INDEX('حذف از تولید و لیست اصلی'!E:E,MATCH('کاتالوگ مبلمان'!J917,'حذف از تولید و لیست اصلی'!I:I,0))</f>
        <v>1متر</v>
      </c>
      <c r="J917" s="64">
        <v>314</v>
      </c>
    </row>
    <row r="918" spans="1:10">
      <c r="A918" s="60"/>
      <c r="B918" s="61"/>
      <c r="G918" s="64"/>
      <c r="H918" s="64"/>
      <c r="I918" s="64"/>
    </row>
    <row r="919" spans="1:10">
      <c r="A919" s="60"/>
      <c r="B919" s="61"/>
      <c r="G919" s="64"/>
      <c r="H919" s="64"/>
      <c r="I919" s="64"/>
    </row>
    <row r="920" spans="1:10" ht="27.75">
      <c r="A920" s="70"/>
      <c r="B920" s="71"/>
      <c r="C920" s="72"/>
      <c r="D920" s="67" t="s">
        <v>1117</v>
      </c>
      <c r="E920" s="67"/>
      <c r="F920" s="67"/>
      <c r="I920" s="68"/>
    </row>
    <row r="921" spans="1:10" ht="45" customHeight="1">
      <c r="A921" s="70"/>
      <c r="B921" s="71"/>
      <c r="C921" s="77"/>
      <c r="D921" s="87" t="s">
        <v>0</v>
      </c>
      <c r="E921" s="88" t="s">
        <v>1</v>
      </c>
      <c r="F921" s="177" t="s">
        <v>448</v>
      </c>
      <c r="G921" s="178"/>
      <c r="H921" s="179"/>
      <c r="I921" s="89" t="s">
        <v>251</v>
      </c>
    </row>
    <row r="922" spans="1:10" ht="30" customHeight="1">
      <c r="A922" s="60"/>
      <c r="B922" s="61"/>
      <c r="D922" s="84">
        <v>1</v>
      </c>
      <c r="E922" s="84" t="str">
        <f>INDEX('حذف از تولید و لیست اصلی'!B:B,MATCH('کاتالوگ مبلمان'!J922,'حذف از تولید و لیست اصلی'!I:I,0))</f>
        <v>21200604</v>
      </c>
      <c r="F922" s="180" t="str">
        <f>INDEX('حذف از تولید و لیست اصلی'!C:C,MATCH('کاتالوگ مبلمان'!J922,'حذف از تولید و لیست اصلی'!I:I,0))</f>
        <v xml:space="preserve">  میز غذاخوری ده نفره نوئل</v>
      </c>
      <c r="G922" s="181"/>
      <c r="H922" s="182"/>
      <c r="I922" s="85">
        <f>INDEX('حذف از تولید و لیست اصلی'!E:E,MATCH('کاتالوگ مبلمان'!J922,'حذف از تولید و لیست اصلی'!I:I,0))</f>
        <v>1953000000</v>
      </c>
      <c r="J922" s="64">
        <v>315</v>
      </c>
    </row>
    <row r="923" spans="1:10" ht="30" customHeight="1">
      <c r="A923" s="60"/>
      <c r="B923" s="61"/>
      <c r="C923" s="78"/>
      <c r="D923" s="86">
        <v>2</v>
      </c>
      <c r="E923" s="84" t="str">
        <f>INDEX('حذف از تولید و لیست اصلی'!B:B,MATCH('کاتالوگ مبلمان'!J923,'حذف از تولید و لیست اصلی'!I:I,0))</f>
        <v>21200603</v>
      </c>
      <c r="F923" s="180" t="str">
        <f>INDEX('حذف از تولید و لیست اصلی'!C:C,MATCH('کاتالوگ مبلمان'!J923,'حذف از تولید و لیست اصلی'!I:I,0))</f>
        <v xml:space="preserve">  میز غذاخوری هشت نفره نوئل</v>
      </c>
      <c r="G923" s="181"/>
      <c r="H923" s="182"/>
      <c r="I923" s="85">
        <f>INDEX('حذف از تولید و لیست اصلی'!E:E,MATCH('کاتالوگ مبلمان'!J923,'حذف از تولید و لیست اصلی'!I:I,0))</f>
        <v>1521000000</v>
      </c>
      <c r="J923" s="64">
        <v>316</v>
      </c>
    </row>
    <row r="924" spans="1:10" ht="30" customHeight="1">
      <c r="A924" s="60"/>
      <c r="B924" s="61"/>
      <c r="D924" s="86">
        <v>3</v>
      </c>
      <c r="E924" s="84" t="str">
        <f>INDEX('حذف از تولید و لیست اصلی'!B:B,MATCH('کاتالوگ مبلمان'!J924,'حذف از تولید و لیست اصلی'!I:I,0))</f>
        <v>21200602</v>
      </c>
      <c r="F924" s="180" t="str">
        <f>INDEX('حذف از تولید و لیست اصلی'!C:C,MATCH('کاتالوگ مبلمان'!J924,'حذف از تولید و لیست اصلی'!I:I,0))</f>
        <v xml:space="preserve">  میز غذاخوری شش نفره نوئل</v>
      </c>
      <c r="G924" s="181"/>
      <c r="H924" s="182"/>
      <c r="I924" s="85">
        <f>INDEX('حذف از تولید و لیست اصلی'!E:E,MATCH('کاتالوگ مبلمان'!J924,'حذف از تولید و لیست اصلی'!I:I,0))</f>
        <v>1093000000</v>
      </c>
      <c r="J924" s="64">
        <v>317</v>
      </c>
    </row>
    <row r="925" spans="1:10" ht="30" customHeight="1">
      <c r="A925" s="60"/>
      <c r="B925" s="61"/>
      <c r="D925" s="86">
        <v>4</v>
      </c>
      <c r="E925" s="84" t="str">
        <f>INDEX('حذف از تولید و لیست اصلی'!B:B,MATCH('کاتالوگ مبلمان'!J925,'حذف از تولید و لیست اصلی'!I:I,0))</f>
        <v>21200601</v>
      </c>
      <c r="F925" s="180" t="str">
        <f>INDEX('حذف از تولید و لیست اصلی'!C:C,MATCH('کاتالوگ مبلمان'!J925,'حذف از تولید و لیست اصلی'!I:I,0))</f>
        <v xml:space="preserve">  میز غذاخوری چهار نفره نوئل</v>
      </c>
      <c r="G925" s="181"/>
      <c r="H925" s="182"/>
      <c r="I925" s="85">
        <f>INDEX('حذف از تولید و لیست اصلی'!E:E,MATCH('کاتالوگ مبلمان'!J925,'حذف از تولید و لیست اصلی'!I:I,0))</f>
        <v>1054000000</v>
      </c>
      <c r="J925" s="64">
        <v>318</v>
      </c>
    </row>
    <row r="926" spans="1:10" ht="30" customHeight="1">
      <c r="A926" s="60"/>
      <c r="B926" s="61"/>
      <c r="D926" s="86">
        <v>5</v>
      </c>
      <c r="E926" s="84" t="str">
        <f>INDEX('حذف از تولید و لیست اصلی'!B:B,MATCH('کاتالوگ مبلمان'!J926,'حذف از تولید و لیست اصلی'!I:I,0))</f>
        <v>21200606</v>
      </c>
      <c r="F926" s="180" t="str">
        <f>INDEX('حذف از تولید و لیست اصلی'!C:C,MATCH('کاتالوگ مبلمان'!J926,'حذف از تولید و لیست اصلی'!I:I,0))</f>
        <v>صندلی غذاخوری پشت چوب نوئل</v>
      </c>
      <c r="G926" s="181"/>
      <c r="H926" s="182"/>
      <c r="I926" s="85">
        <f>INDEX('حذف از تولید و لیست اصلی'!E:E,MATCH('کاتالوگ مبلمان'!J926,'حذف از تولید و لیست اصلی'!I:I,0))</f>
        <v>473000000</v>
      </c>
      <c r="J926" s="64">
        <v>319</v>
      </c>
    </row>
    <row r="927" spans="1:10" ht="30" customHeight="1">
      <c r="A927" s="60"/>
      <c r="B927" s="61"/>
      <c r="D927" s="86">
        <v>6</v>
      </c>
      <c r="E927" s="84" t="str">
        <f>INDEX('حذف از تولید و لیست اصلی'!B:B,MATCH('کاتالوگ مبلمان'!J927,'حذف از تولید و لیست اصلی'!I:I,0))</f>
        <v>21200607</v>
      </c>
      <c r="F927" s="180" t="str">
        <f>INDEX('حذف از تولید و لیست اصلی'!C:C,MATCH('کاتالوگ مبلمان'!J927,'حذف از تولید و لیست اصلی'!I:I,0))</f>
        <v>صندلی غذاخوری پشت پارچه نوئل</v>
      </c>
      <c r="G927" s="181"/>
      <c r="H927" s="182"/>
      <c r="I927" s="85">
        <f>INDEX('حذف از تولید و لیست اصلی'!E:E,MATCH('کاتالوگ مبلمان'!J927,'حذف از تولید و لیست اصلی'!I:I,0))</f>
        <v>415000000</v>
      </c>
      <c r="J927" s="64">
        <v>320</v>
      </c>
    </row>
    <row r="928" spans="1:10" ht="30" customHeight="1">
      <c r="A928" s="60"/>
      <c r="B928" s="61"/>
      <c r="D928" s="86">
        <v>7</v>
      </c>
      <c r="E928" s="84" t="str">
        <f>INDEX('حذف از تولید و لیست اصلی'!B:B,MATCH('کاتالوگ مبلمان'!J928,'حذف از تولید و لیست اصلی'!I:I,0))</f>
        <v>-</v>
      </c>
      <c r="F928" s="180" t="str">
        <f>INDEX('حذف از تولید و لیست اصلی'!C:C,MATCH('کاتالوگ مبلمان'!J928,'حذف از تولید و لیست اصلی'!I:I,0))</f>
        <v xml:space="preserve">متراژ پارچه صندلی غذاخوری نوئل </v>
      </c>
      <c r="G928" s="181"/>
      <c r="H928" s="182"/>
      <c r="I928" s="85" t="str">
        <f>INDEX('حذف از تولید و لیست اصلی'!E:E,MATCH('کاتالوگ مبلمان'!J928,'حذف از تولید و لیست اصلی'!I:I,0))</f>
        <v>1متر</v>
      </c>
      <c r="J928" s="64">
        <v>321</v>
      </c>
    </row>
    <row r="929" spans="1:10" ht="30" customHeight="1">
      <c r="A929" s="60"/>
      <c r="B929" s="61"/>
      <c r="D929" s="28"/>
      <c r="E929" s="65"/>
      <c r="F929" s="65"/>
      <c r="G929" s="65"/>
      <c r="I929" s="74"/>
    </row>
    <row r="930" spans="1:10">
      <c r="A930" s="60"/>
      <c r="B930" s="61"/>
      <c r="D930"/>
      <c r="E930"/>
      <c r="F930"/>
      <c r="G930"/>
      <c r="H930"/>
      <c r="I930"/>
    </row>
    <row r="931" spans="1:10">
      <c r="A931" s="60"/>
      <c r="B931" s="61"/>
      <c r="I931" s="74">
        <v>39</v>
      </c>
    </row>
    <row r="932" spans="1:10" ht="22.5" customHeight="1">
      <c r="A932" s="60"/>
      <c r="B932" s="61"/>
      <c r="C932" s="183"/>
      <c r="D932" s="184"/>
      <c r="E932" s="184"/>
      <c r="F932" s="184"/>
      <c r="G932" s="184"/>
      <c r="H932" s="184"/>
      <c r="I932" s="184"/>
    </row>
    <row r="933" spans="1:10" ht="22.5" customHeight="1">
      <c r="A933" s="60"/>
      <c r="B933" s="61"/>
      <c r="C933" s="183"/>
      <c r="D933" s="184"/>
      <c r="E933" s="184"/>
      <c r="F933" s="184"/>
      <c r="G933" s="184"/>
      <c r="H933" s="184"/>
      <c r="I933" s="184"/>
    </row>
    <row r="934" spans="1:10" ht="27.75">
      <c r="A934" s="60"/>
      <c r="B934" s="61"/>
      <c r="D934" s="67" t="s">
        <v>1118</v>
      </c>
      <c r="E934" s="67"/>
      <c r="F934" s="67"/>
      <c r="I934" s="68" t="str">
        <f>$M$1</f>
        <v>1405/02/01</v>
      </c>
    </row>
    <row r="935" spans="1:10" ht="21" customHeight="1">
      <c r="A935" s="60"/>
      <c r="B935" s="61"/>
      <c r="D935" s="87" t="s">
        <v>0</v>
      </c>
      <c r="E935" s="88" t="s">
        <v>1</v>
      </c>
      <c r="F935" s="177" t="s">
        <v>448</v>
      </c>
      <c r="G935" s="178"/>
      <c r="H935" s="179"/>
      <c r="I935" s="89" t="s">
        <v>251</v>
      </c>
    </row>
    <row r="936" spans="1:10" ht="78" customHeight="1">
      <c r="A936" s="70"/>
      <c r="B936" s="71"/>
      <c r="C936" s="72"/>
      <c r="D936" s="84">
        <v>1</v>
      </c>
      <c r="E936" s="84" t="str">
        <f>INDEX('حذف از تولید و لیست اصلی'!B:B,MATCH('کاتالوگ مبلمان'!J936,'حذف از تولید و لیست اصلی'!I:I,0))</f>
        <v>2120090000</v>
      </c>
      <c r="F936" s="180" t="str">
        <f>INDEX('حذف از تولید و لیست اصلی'!C:C,MATCH('کاتالوگ مبلمان'!J936,'حذف از تولید و لیست اصلی'!I:I,0))</f>
        <v>غذاخوری هشت نفره میپل ( یک عدد میز هشت نفره + دو عدد صندلی دسته دار + شش عدد صندلی بدون دسته)</v>
      </c>
      <c r="G936" s="181"/>
      <c r="H936" s="182"/>
      <c r="I936" s="85">
        <f>INDEX('حذف از تولید و لیست اصلی'!E:E,MATCH('کاتالوگ مبلمان'!J936,'حذف از تولید و لیست اصلی'!I:I,0))</f>
        <v>6914000000</v>
      </c>
      <c r="J936" s="64">
        <v>322</v>
      </c>
    </row>
    <row r="937" spans="1:10" ht="78" customHeight="1">
      <c r="A937" s="70"/>
      <c r="B937" s="71"/>
      <c r="C937" s="72"/>
      <c r="D937" s="86">
        <v>2</v>
      </c>
      <c r="E937" s="84" t="str">
        <f>INDEX('حذف از تولید و لیست اصلی'!B:B,MATCH('کاتالوگ مبلمان'!J937,'حذف از تولید و لیست اصلی'!I:I,0))</f>
        <v>2120090000</v>
      </c>
      <c r="F937" s="180" t="str">
        <f>INDEX('حذف از تولید و لیست اصلی'!C:C,MATCH('کاتالوگ مبلمان'!J937,'حذف از تولید و لیست اصلی'!I:I,0))</f>
        <v>غذاخوری شش نفره میپل ( یک عدد میز شش نفره + دو عدد صندلی دسته دار + چهار عدد صندلی بدون دسته)</v>
      </c>
      <c r="G937" s="181"/>
      <c r="H937" s="182"/>
      <c r="I937" s="85">
        <f>INDEX('حذف از تولید و لیست اصلی'!E:E,MATCH('کاتالوگ مبلمان'!J937,'حذف از تولید و لیست اصلی'!I:I,0))</f>
        <v>5336000000</v>
      </c>
      <c r="J937" s="64">
        <v>323</v>
      </c>
    </row>
    <row r="938" spans="1:10" ht="49.5" customHeight="1">
      <c r="A938" s="70"/>
      <c r="B938" s="71"/>
      <c r="C938" s="72"/>
      <c r="D938" s="86">
        <v>3</v>
      </c>
      <c r="E938" s="84" t="str">
        <f>INDEX('حذف از تولید و لیست اصلی'!B:B,MATCH('کاتالوگ مبلمان'!J938,'حذف از تولید و لیست اصلی'!I:I,0))</f>
        <v>2120090400</v>
      </c>
      <c r="F938" s="180" t="str">
        <f>INDEX('حذف از تولید و لیست اصلی'!C:C,MATCH('کاتالوگ مبلمان'!J938,'حذف از تولید و لیست اصلی'!I:I,0))</f>
        <v>میز غذاخوری ده نفره میپل</v>
      </c>
      <c r="G938" s="181"/>
      <c r="H938" s="182"/>
      <c r="I938" s="85">
        <f>INDEX('حذف از تولید و لیست اصلی'!E:E,MATCH('کاتالوگ مبلمان'!J938,'حذف از تولید و لیست اصلی'!I:I,0))</f>
        <v>2268000000</v>
      </c>
      <c r="J938" s="64">
        <v>324</v>
      </c>
    </row>
    <row r="939" spans="1:10" ht="49.5" customHeight="1">
      <c r="A939" s="70"/>
      <c r="B939" s="71"/>
      <c r="C939" s="72"/>
      <c r="D939" s="86">
        <v>4</v>
      </c>
      <c r="E939" s="84" t="str">
        <f>INDEX('حذف از تولید و لیست اصلی'!B:B,MATCH('کاتالوگ مبلمان'!J939,'حذف از تولید و لیست اصلی'!I:I,0))</f>
        <v>2120090300</v>
      </c>
      <c r="F939" s="180" t="str">
        <f>INDEX('حذف از تولید و لیست اصلی'!C:C,MATCH('کاتالوگ مبلمان'!J939,'حذف از تولید و لیست اصلی'!I:I,0))</f>
        <v>میز غذاخوری هشت نفره میپل</v>
      </c>
      <c r="G939" s="181"/>
      <c r="H939" s="182"/>
      <c r="I939" s="85">
        <f>INDEX('حذف از تولید و لیست اصلی'!E:E,MATCH('کاتالوگ مبلمان'!J939,'حذف از تولید و لیست اصلی'!I:I,0))</f>
        <v>1700000000</v>
      </c>
      <c r="J939" s="64">
        <v>325</v>
      </c>
    </row>
    <row r="940" spans="1:10" ht="49.5" customHeight="1">
      <c r="A940" s="70"/>
      <c r="B940" s="71"/>
      <c r="C940" s="72"/>
      <c r="D940" s="86">
        <v>5</v>
      </c>
      <c r="E940" s="84" t="str">
        <f>INDEX('حذف از تولید و لیست اصلی'!B:B,MATCH('کاتالوگ مبلمان'!J940,'حذف از تولید و لیست اصلی'!I:I,0))</f>
        <v>2120090200</v>
      </c>
      <c r="F940" s="180" t="str">
        <f>INDEX('حذف از تولید و لیست اصلی'!C:C,MATCH('کاتالوگ مبلمان'!J940,'حذف از تولید و لیست اصلی'!I:I,0))</f>
        <v>میز غذاخوری شش نفره میپل</v>
      </c>
      <c r="G940" s="181"/>
      <c r="H940" s="182"/>
      <c r="I940" s="85">
        <f>INDEX('حذف از تولید و لیست اصلی'!E:E,MATCH('کاتالوگ مبلمان'!J940,'حذف از تولید و لیست اصلی'!I:I,0))</f>
        <v>1418000000</v>
      </c>
      <c r="J940" s="64">
        <v>326</v>
      </c>
    </row>
    <row r="941" spans="1:10" ht="49.5" customHeight="1">
      <c r="A941" s="70"/>
      <c r="B941" s="71"/>
      <c r="C941" s="72"/>
      <c r="D941" s="86">
        <v>6</v>
      </c>
      <c r="E941" s="84" t="str">
        <f>INDEX('حذف از تولید و لیست اصلی'!B:B,MATCH('کاتالوگ مبلمان'!J941,'حذف از تولید و لیست اصلی'!I:I,0))</f>
        <v>2120090100</v>
      </c>
      <c r="F941" s="180" t="str">
        <f>INDEX('حذف از تولید و لیست اصلی'!C:C,MATCH('کاتالوگ مبلمان'!J941,'حذف از تولید و لیست اصلی'!I:I,0))</f>
        <v>میز غذاخوری چهار نفره میپل</v>
      </c>
      <c r="G941" s="181"/>
      <c r="H941" s="182"/>
      <c r="I941" s="85">
        <f>INDEX('حذف از تولید و لیست اصلی'!E:E,MATCH('کاتالوگ مبلمان'!J941,'حذف از تولید و لیست اصلی'!I:I,0))</f>
        <v>1181000000</v>
      </c>
      <c r="J941" s="64">
        <v>327</v>
      </c>
    </row>
    <row r="942" spans="1:10" ht="49.5" customHeight="1">
      <c r="A942" s="70"/>
      <c r="B942" s="71"/>
      <c r="C942" s="72"/>
      <c r="D942" s="86">
        <v>7</v>
      </c>
      <c r="E942" s="84" t="str">
        <f>INDEX('حذف از تولید و لیست اصلی'!B:B,MATCH('کاتالوگ مبلمان'!J942,'حذف از تولید و لیست اصلی'!I:I,0))</f>
        <v>2120090700</v>
      </c>
      <c r="F942" s="180" t="str">
        <f>INDEX('حذف از تولید و لیست اصلی'!C:C,MATCH('کاتالوگ مبلمان'!J942,'حذف از تولید و لیست اصلی'!I:I,0))</f>
        <v>صندلی غذاخوری دسته دار میپل</v>
      </c>
      <c r="G942" s="181"/>
      <c r="H942" s="182"/>
      <c r="I942" s="85">
        <f>INDEX('حذف از تولید و لیست اصلی'!E:E,MATCH('کاتالوگ مبلمان'!J942,'حذف از تولید و لیست اصلی'!I:I,0))</f>
        <v>663000000</v>
      </c>
      <c r="J942" s="64">
        <v>328</v>
      </c>
    </row>
    <row r="943" spans="1:10" ht="49.5" customHeight="1">
      <c r="A943" s="70"/>
      <c r="B943" s="71"/>
      <c r="C943" s="72"/>
      <c r="D943" s="86">
        <v>8</v>
      </c>
      <c r="E943" s="84" t="str">
        <f>INDEX('حذف از تولید و لیست اصلی'!B:B,MATCH('کاتالوگ مبلمان'!J943,'حذف از تولید و لیست اصلی'!I:I,0))</f>
        <v>2120090600</v>
      </c>
      <c r="F943" s="180" t="str">
        <f>INDEX('حذف از تولید و لیست اصلی'!C:C,MATCH('کاتالوگ مبلمان'!J943,'حذف از تولید و لیست اصلی'!I:I,0))</f>
        <v>صندلی غذاخوری بدون دسته میپل</v>
      </c>
      <c r="G943" s="181"/>
      <c r="H943" s="182"/>
      <c r="I943" s="85">
        <f>INDEX('حذف از تولید و لیست اصلی'!E:E,MATCH('کاتالوگ مبلمان'!J943,'حذف از تولید و لیست اصلی'!I:I,0))</f>
        <v>648000000</v>
      </c>
      <c r="J943" s="64">
        <v>329</v>
      </c>
    </row>
    <row r="944" spans="1:10" ht="49.5" customHeight="1">
      <c r="A944" s="70"/>
      <c r="B944" s="71"/>
      <c r="C944" s="72"/>
      <c r="D944" s="84">
        <v>9</v>
      </c>
      <c r="E944" s="84" t="str">
        <f>INDEX('حذف از تولید و لیست اصلی'!B:B,MATCH('کاتالوگ مبلمان'!J944,'حذف از تولید و لیست اصلی'!I:I,0))</f>
        <v>-</v>
      </c>
      <c r="F944" s="180" t="str">
        <f>INDEX('حذف از تولید و لیست اصلی'!C:C,MATCH('کاتالوگ مبلمان'!J944,'حذف از تولید و لیست اصلی'!I:I,0))</f>
        <v xml:space="preserve">  متراژ پارچه یکعدد صندلی غذاخوری میپل ( پشت بیرون 1/5 متر + فریم داخل و کف 1/5 متر )</v>
      </c>
      <c r="G944" s="181"/>
      <c r="H944" s="182"/>
      <c r="I944" s="85" t="str">
        <f>INDEX('حذف از تولید و لیست اصلی'!E:E,MATCH('کاتالوگ مبلمان'!J944,'حذف از تولید و لیست اصلی'!I:I,0))</f>
        <v>3متر</v>
      </c>
      <c r="J944" s="64">
        <v>330</v>
      </c>
    </row>
    <row r="945" spans="1:10">
      <c r="A945" s="70"/>
      <c r="B945" s="71"/>
      <c r="C945" s="72"/>
      <c r="D945"/>
      <c r="E945"/>
      <c r="F945"/>
      <c r="G945"/>
      <c r="H945"/>
      <c r="I945"/>
    </row>
    <row r="946" spans="1:10">
      <c r="A946" s="70"/>
      <c r="B946" s="71"/>
      <c r="C946" s="72"/>
      <c r="D946"/>
      <c r="E946"/>
      <c r="F946"/>
      <c r="G946"/>
      <c r="H946"/>
      <c r="I946"/>
    </row>
    <row r="947" spans="1:10">
      <c r="A947" s="70"/>
      <c r="B947" s="71"/>
      <c r="C947" s="72"/>
      <c r="D947"/>
      <c r="E947"/>
      <c r="F947"/>
      <c r="G947"/>
      <c r="H947"/>
      <c r="I947"/>
    </row>
    <row r="948" spans="1:10">
      <c r="A948" s="70"/>
      <c r="B948" s="71"/>
      <c r="C948" s="72"/>
      <c r="D948"/>
      <c r="E948"/>
      <c r="F948"/>
      <c r="G948"/>
      <c r="H948"/>
      <c r="I948"/>
    </row>
    <row r="949" spans="1:10">
      <c r="A949" s="70"/>
      <c r="B949" s="71"/>
      <c r="C949" s="72"/>
      <c r="D949"/>
      <c r="E949"/>
      <c r="F949"/>
      <c r="G949"/>
      <c r="H949"/>
      <c r="I949"/>
    </row>
    <row r="950" spans="1:10" ht="15" customHeight="1">
      <c r="A950" s="70"/>
      <c r="B950" s="71"/>
      <c r="I950" s="28">
        <v>40</v>
      </c>
    </row>
    <row r="951" spans="1:10" ht="22.5" customHeight="1">
      <c r="A951" s="70"/>
      <c r="B951" s="71"/>
      <c r="C951" s="183"/>
      <c r="D951" s="184"/>
      <c r="E951" s="184"/>
      <c r="F951" s="184"/>
      <c r="G951" s="184"/>
      <c r="H951" s="184"/>
      <c r="I951" s="184"/>
    </row>
    <row r="952" spans="1:10" ht="22.5" customHeight="1">
      <c r="A952" s="70"/>
      <c r="B952" s="71"/>
      <c r="C952" s="183"/>
      <c r="D952" s="184"/>
      <c r="E952" s="184"/>
      <c r="F952" s="184"/>
      <c r="G952" s="184"/>
      <c r="H952" s="184"/>
      <c r="I952" s="184"/>
    </row>
    <row r="953" spans="1:10" ht="27.75">
      <c r="A953" s="70"/>
      <c r="B953" s="71"/>
      <c r="C953" s="72"/>
      <c r="D953" s="67" t="s">
        <v>1119</v>
      </c>
      <c r="E953" s="67"/>
      <c r="F953" s="67"/>
      <c r="I953" s="68" t="str">
        <f>$M$1</f>
        <v>1405/02/01</v>
      </c>
    </row>
    <row r="954" spans="1:10" ht="45" customHeight="1">
      <c r="A954" s="70"/>
      <c r="B954" s="71"/>
      <c r="C954" s="77"/>
      <c r="D954" s="87" t="s">
        <v>0</v>
      </c>
      <c r="E954" s="88" t="s">
        <v>1</v>
      </c>
      <c r="F954" s="177" t="s">
        <v>448</v>
      </c>
      <c r="G954" s="178"/>
      <c r="H954" s="179"/>
      <c r="I954" s="89" t="s">
        <v>251</v>
      </c>
    </row>
    <row r="955" spans="1:10" ht="81" customHeight="1">
      <c r="A955" s="60"/>
      <c r="B955" s="61"/>
      <c r="D955" s="84">
        <v>1</v>
      </c>
      <c r="E955" s="84" t="str">
        <f>INDEX('حذف از تولید و لیست اصلی'!B:B,MATCH('کاتالوگ مبلمان'!J955,'حذف از تولید و لیست اصلی'!I:I,0))</f>
        <v>2120090000</v>
      </c>
      <c r="F955" s="180" t="str">
        <f>INDEX('حذف از تولید و لیست اصلی'!C:C,MATCH('کاتالوگ مبلمان'!J955,'حذف از تولید و لیست اصلی'!I:I,0))</f>
        <v>غذاخوری هشت نفره میپل ( یک عدد میز هشت نفره + دو عدد صندلی دسته دار + شش عدد صندلی بدون دسته)</v>
      </c>
      <c r="G955" s="181"/>
      <c r="H955" s="182"/>
      <c r="I955" s="85">
        <f>INDEX('حذف از تولید و لیست اصلی'!E:E,MATCH('کاتالوگ مبلمان'!J955,'حذف از تولید و لیست اصلی'!I:I,0))</f>
        <v>5714000000</v>
      </c>
      <c r="J955" s="64">
        <v>331</v>
      </c>
    </row>
    <row r="956" spans="1:10" ht="81" customHeight="1">
      <c r="A956" s="60"/>
      <c r="B956" s="61"/>
      <c r="C956" s="78"/>
      <c r="D956" s="86">
        <v>2</v>
      </c>
      <c r="E956" s="84" t="str">
        <f>INDEX('حذف از تولید و لیست اصلی'!B:B,MATCH('کاتالوگ مبلمان'!J956,'حذف از تولید و لیست اصلی'!I:I,0))</f>
        <v>2120090000</v>
      </c>
      <c r="F956" s="180" t="str">
        <f>INDEX('حذف از تولید و لیست اصلی'!C:C,MATCH('کاتالوگ مبلمان'!J956,'حذف از تولید و لیست اصلی'!I:I,0))</f>
        <v>غذاخوری شش نفره میپل ( یک عدد میز شش نفره + دو عدد صندلی دسته دار + چهار عدد صندلی بدون دسته)</v>
      </c>
      <c r="G956" s="181"/>
      <c r="H956" s="182"/>
      <c r="I956" s="85">
        <f>INDEX('حذف از تولید و لیست اصلی'!E:E,MATCH('کاتالوگ مبلمان'!J956,'حذف از تولید و لیست اصلی'!I:I,0))</f>
        <v>4436000000</v>
      </c>
      <c r="J956" s="64">
        <v>332</v>
      </c>
    </row>
    <row r="957" spans="1:10" ht="55.5" customHeight="1">
      <c r="A957" s="60"/>
      <c r="B957" s="61"/>
      <c r="D957" s="86">
        <v>3</v>
      </c>
      <c r="E957" s="84" t="str">
        <f>INDEX('حذف از تولید و لیست اصلی'!B:B,MATCH('کاتالوگ مبلمان'!J957,'حذف از تولید و لیست اصلی'!I:I,0))</f>
        <v>2120090400</v>
      </c>
      <c r="F957" s="180" t="str">
        <f>INDEX('حذف از تولید و لیست اصلی'!C:C,MATCH('کاتالوگ مبلمان'!J957,'حذف از تولید و لیست اصلی'!I:I,0))</f>
        <v>میز غذاخوری ده نفره میپل</v>
      </c>
      <c r="G957" s="181"/>
      <c r="H957" s="182"/>
      <c r="I957" s="85">
        <f>INDEX('حذف از تولید و لیست اصلی'!E:E,MATCH('کاتالوگ مبلمان'!J957,'حذف از تولید و لیست اصلی'!I:I,0))</f>
        <v>2268000000</v>
      </c>
      <c r="J957" s="64">
        <v>333</v>
      </c>
    </row>
    <row r="958" spans="1:10" ht="55.5" customHeight="1">
      <c r="A958" s="60"/>
      <c r="B958" s="61"/>
      <c r="D958" s="86">
        <v>4</v>
      </c>
      <c r="E958" s="84" t="str">
        <f>INDEX('حذف از تولید و لیست اصلی'!B:B,MATCH('کاتالوگ مبلمان'!J958,'حذف از تولید و لیست اصلی'!I:I,0))</f>
        <v>2120090300</v>
      </c>
      <c r="F958" s="180" t="str">
        <f>INDEX('حذف از تولید و لیست اصلی'!C:C,MATCH('کاتالوگ مبلمان'!J958,'حذف از تولید و لیست اصلی'!I:I,0))</f>
        <v>میز غذاخوری هشت نفره میپل</v>
      </c>
      <c r="G958" s="181"/>
      <c r="H958" s="182"/>
      <c r="I958" s="85">
        <f>INDEX('حذف از تولید و لیست اصلی'!E:E,MATCH('کاتالوگ مبلمان'!J958,'حذف از تولید و لیست اصلی'!I:I,0))</f>
        <v>1700000000</v>
      </c>
      <c r="J958" s="64">
        <v>334</v>
      </c>
    </row>
    <row r="959" spans="1:10" ht="55.5" customHeight="1">
      <c r="A959" s="60"/>
      <c r="B959" s="61"/>
      <c r="D959" s="86">
        <v>5</v>
      </c>
      <c r="E959" s="84" t="str">
        <f>INDEX('حذف از تولید و لیست اصلی'!B:B,MATCH('کاتالوگ مبلمان'!J959,'حذف از تولید و لیست اصلی'!I:I,0))</f>
        <v>2120090200</v>
      </c>
      <c r="F959" s="180" t="str">
        <f>INDEX('حذف از تولید و لیست اصلی'!C:C,MATCH('کاتالوگ مبلمان'!J959,'حذف از تولید و لیست اصلی'!I:I,0))</f>
        <v>میز غذاخوری شش نفره میپل</v>
      </c>
      <c r="G959" s="181"/>
      <c r="H959" s="182"/>
      <c r="I959" s="85">
        <f>INDEX('حذف از تولید و لیست اصلی'!E:E,MATCH('کاتالوگ مبلمان'!J959,'حذف از تولید و لیست اصلی'!I:I,0))</f>
        <v>1418000000</v>
      </c>
      <c r="J959" s="64">
        <v>335</v>
      </c>
    </row>
    <row r="960" spans="1:10" ht="55.5" customHeight="1">
      <c r="A960" s="60"/>
      <c r="B960" s="61"/>
      <c r="D960" s="86">
        <v>6</v>
      </c>
      <c r="E960" s="84" t="str">
        <f>INDEX('حذف از تولید و لیست اصلی'!B:B,MATCH('کاتالوگ مبلمان'!J960,'حذف از تولید و لیست اصلی'!I:I,0))</f>
        <v>2120090100</v>
      </c>
      <c r="F960" s="180" t="str">
        <f>INDEX('حذف از تولید و لیست اصلی'!C:C,MATCH('کاتالوگ مبلمان'!J960,'حذف از تولید و لیست اصلی'!I:I,0))</f>
        <v>میز غذاخوری چهار نفره میپل</v>
      </c>
      <c r="G960" s="181"/>
      <c r="H960" s="182"/>
      <c r="I960" s="85">
        <f>INDEX('حذف از تولید و لیست اصلی'!E:E,MATCH('کاتالوگ مبلمان'!J960,'حذف از تولید و لیست اصلی'!I:I,0))</f>
        <v>1181000000</v>
      </c>
      <c r="J960" s="64">
        <v>336</v>
      </c>
    </row>
    <row r="961" spans="1:10" ht="55.5" customHeight="1">
      <c r="A961" s="60"/>
      <c r="B961" s="61"/>
      <c r="D961" s="86">
        <v>7</v>
      </c>
      <c r="E961" s="84" t="str">
        <f>INDEX('حذف از تولید و لیست اصلی'!B:B,MATCH('کاتالوگ مبلمان'!J961,'حذف از تولید و لیست اصلی'!I:I,0))</f>
        <v>2120090700</v>
      </c>
      <c r="F961" s="180" t="str">
        <f>INDEX('حذف از تولید و لیست اصلی'!C:C,MATCH('کاتالوگ مبلمان'!J961,'حذف از تولید و لیست اصلی'!I:I,0))</f>
        <v>صندلی غذاخوری دسته دار میپل</v>
      </c>
      <c r="G961" s="181"/>
      <c r="H961" s="182"/>
      <c r="I961" s="85">
        <f>INDEX('حذف از تولید و لیست اصلی'!E:E,MATCH('کاتالوگ مبلمان'!J961,'حذف از تولید و لیست اصلی'!I:I,0))</f>
        <v>513000000</v>
      </c>
      <c r="J961" s="64">
        <v>337</v>
      </c>
    </row>
    <row r="962" spans="1:10" ht="55.5" customHeight="1">
      <c r="A962" s="60"/>
      <c r="B962" s="61"/>
      <c r="D962" s="86">
        <v>8</v>
      </c>
      <c r="E962" s="84" t="str">
        <f>INDEX('حذف از تولید و لیست اصلی'!B:B,MATCH('کاتالوگ مبلمان'!J962,'حذف از تولید و لیست اصلی'!I:I,0))</f>
        <v>2120090600</v>
      </c>
      <c r="F962" s="180" t="str">
        <f>INDEX('حذف از تولید و لیست اصلی'!C:C,MATCH('کاتالوگ مبلمان'!J962,'حذف از تولید و لیست اصلی'!I:I,0))</f>
        <v>صندلی غذاخوری بدون دسته میپل</v>
      </c>
      <c r="G962" s="181"/>
      <c r="H962" s="182"/>
      <c r="I962" s="85">
        <f>INDEX('حذف از تولید و لیست اصلی'!E:E,MATCH('کاتالوگ مبلمان'!J962,'حذف از تولید و لیست اصلی'!I:I,0))</f>
        <v>498000000</v>
      </c>
      <c r="J962" s="64">
        <v>338</v>
      </c>
    </row>
    <row r="963" spans="1:10" ht="55.5" customHeight="1">
      <c r="A963" s="60"/>
      <c r="B963" s="61"/>
      <c r="D963" s="86">
        <v>9</v>
      </c>
      <c r="E963" s="84" t="str">
        <f>INDEX('حذف از تولید و لیست اصلی'!B:B,MATCH('کاتالوگ مبلمان'!J963,'حذف از تولید و لیست اصلی'!I:I,0))</f>
        <v>-</v>
      </c>
      <c r="F963" s="180" t="str">
        <f>INDEX('حذف از تولید و لیست اصلی'!C:C,MATCH('کاتالوگ مبلمان'!J963,'حذف از تولید و لیست اصلی'!I:I,0))</f>
        <v xml:space="preserve">  متراژ پارچه یکعدد صندلی غذاخوری میپل ( پشت بیرون 1/5 متر + فریم داخل و کف 1/5 متر )</v>
      </c>
      <c r="G963" s="181"/>
      <c r="H963" s="182"/>
      <c r="I963" s="85" t="str">
        <f>INDEX('حذف از تولید و لیست اصلی'!E:E,MATCH('کاتالوگ مبلمان'!J963,'حذف از تولید و لیست اصلی'!I:I,0))</f>
        <v>3متر</v>
      </c>
      <c r="J963" s="64">
        <v>339</v>
      </c>
    </row>
    <row r="964" spans="1:10">
      <c r="A964" s="60"/>
      <c r="B964" s="61"/>
      <c r="D964"/>
      <c r="E964"/>
      <c r="F964"/>
      <c r="G964"/>
      <c r="H964"/>
      <c r="I964"/>
    </row>
    <row r="965" spans="1:10">
      <c r="A965" s="60"/>
      <c r="B965" s="61"/>
      <c r="I965" s="74">
        <v>41</v>
      </c>
    </row>
    <row r="966" spans="1:10" ht="22.5" customHeight="1">
      <c r="A966" s="70"/>
      <c r="B966" s="71"/>
      <c r="C966" s="183"/>
      <c r="D966" s="184"/>
      <c r="E966" s="184"/>
      <c r="F966" s="184"/>
      <c r="G966" s="184"/>
      <c r="H966" s="184"/>
      <c r="I966" s="184"/>
    </row>
    <row r="967" spans="1:10" ht="22.5" customHeight="1">
      <c r="A967" s="70"/>
      <c r="B967" s="71"/>
      <c r="C967" s="183"/>
      <c r="D967" s="184"/>
      <c r="E967" s="184"/>
      <c r="F967" s="184"/>
      <c r="G967" s="184"/>
      <c r="H967" s="184"/>
      <c r="I967" s="184"/>
    </row>
    <row r="968" spans="1:10" ht="27.75">
      <c r="A968" s="70"/>
      <c r="B968" s="71"/>
      <c r="C968" s="72"/>
      <c r="D968" s="67" t="s">
        <v>1097</v>
      </c>
      <c r="E968" s="67"/>
      <c r="F968" s="67"/>
      <c r="I968" s="68" t="str">
        <f>$M$1</f>
        <v>1405/02/01</v>
      </c>
    </row>
    <row r="969" spans="1:10" ht="45" customHeight="1">
      <c r="A969" s="70"/>
      <c r="B969" s="71"/>
      <c r="C969" s="77"/>
      <c r="D969" s="87" t="s">
        <v>0</v>
      </c>
      <c r="E969" s="88" t="s">
        <v>1</v>
      </c>
      <c r="F969" s="177" t="s">
        <v>448</v>
      </c>
      <c r="G969" s="178"/>
      <c r="H969" s="179"/>
      <c r="I969" s="89" t="s">
        <v>251</v>
      </c>
    </row>
    <row r="970" spans="1:10" ht="51" customHeight="1">
      <c r="A970" s="60"/>
      <c r="B970" s="61"/>
      <c r="D970" s="84">
        <v>1</v>
      </c>
      <c r="E970" s="84" t="str">
        <f>INDEX('حذف از تولید و لیست اصلی'!B:B,MATCH('کاتالوگ مبلمان'!J970,'حذف از تولید و لیست اصلی'!I:I,0))</f>
        <v>2130022500</v>
      </c>
      <c r="F970" s="180" t="str">
        <f>INDEX('حذف از تولید و لیست اصلی'!C:C,MATCH('کاتالوگ مبلمان'!J970,'حذف از تولید و لیست اصلی'!I:I,0))</f>
        <v xml:space="preserve">  تخت خواب / 180 ساپلی</v>
      </c>
      <c r="G970" s="181"/>
      <c r="H970" s="182"/>
      <c r="I970" s="85">
        <f>INDEX('حذف از تولید و لیست اصلی'!E:E,MATCH('کاتالوگ مبلمان'!J970,'حذف از تولید و لیست اصلی'!I:I,0))</f>
        <v>1701000000</v>
      </c>
      <c r="J970" s="64">
        <v>340</v>
      </c>
    </row>
    <row r="971" spans="1:10" ht="51" customHeight="1">
      <c r="A971" s="60"/>
      <c r="B971" s="61"/>
      <c r="C971" s="78"/>
      <c r="D971" s="86">
        <v>2</v>
      </c>
      <c r="E971" s="84" t="str">
        <f>INDEX('حذف از تولید و لیست اصلی'!B:B,MATCH('کاتالوگ مبلمان'!J971,'حذف از تولید و لیست اصلی'!I:I,0))</f>
        <v>2130022300</v>
      </c>
      <c r="F971" s="180" t="str">
        <f>INDEX('حذف از تولید و لیست اصلی'!C:C,MATCH('کاتالوگ مبلمان'!J971,'حذف از تولید و لیست اصلی'!I:I,0))</f>
        <v xml:space="preserve">  تخت خواب / 140 ساپلی</v>
      </c>
      <c r="G971" s="181"/>
      <c r="H971" s="182"/>
      <c r="I971" s="85">
        <f>INDEX('حذف از تولید و لیست اصلی'!E:E,MATCH('کاتالوگ مبلمان'!J971,'حذف از تولید و لیست اصلی'!I:I,0))</f>
        <v>1357000000</v>
      </c>
      <c r="J971" s="64">
        <v>341</v>
      </c>
    </row>
    <row r="972" spans="1:10" ht="51" customHeight="1">
      <c r="A972" s="60"/>
      <c r="B972" s="61"/>
      <c r="D972" s="86">
        <v>3</v>
      </c>
      <c r="E972" s="84" t="str">
        <f>INDEX('حذف از تولید و لیست اصلی'!B:B,MATCH('کاتالوگ مبلمان'!J972,'حذف از تولید و لیست اصلی'!I:I,0))</f>
        <v>2130022200</v>
      </c>
      <c r="F972" s="180" t="str">
        <f>INDEX('حذف از تولید و لیست اصلی'!C:C,MATCH('کاتالوگ مبلمان'!J972,'حذف از تولید و لیست اصلی'!I:I,0))</f>
        <v xml:space="preserve">  تخت خواب / 120 ساپلی</v>
      </c>
      <c r="G972" s="181"/>
      <c r="H972" s="182"/>
      <c r="I972" s="85">
        <f>INDEX('حذف از تولید و لیست اصلی'!E:E,MATCH('کاتالوگ مبلمان'!J972,'حذف از تولید و لیست اصلی'!I:I,0))</f>
        <v>1174000000</v>
      </c>
      <c r="J972" s="64">
        <v>342</v>
      </c>
    </row>
    <row r="973" spans="1:10" ht="51" customHeight="1">
      <c r="A973" s="60"/>
      <c r="B973" s="61"/>
      <c r="D973" s="86">
        <v>4</v>
      </c>
      <c r="E973" s="84" t="str">
        <f>INDEX('حذف از تولید و لیست اصلی'!B:B,MATCH('کاتالوگ مبلمان'!J973,'حذف از تولید و لیست اصلی'!I:I,0))</f>
        <v>2130022100</v>
      </c>
      <c r="F973" s="180" t="str">
        <f>INDEX('حذف از تولید و لیست اصلی'!C:C,MATCH('کاتالوگ مبلمان'!J973,'حذف از تولید و لیست اصلی'!I:I,0))</f>
        <v xml:space="preserve">  تخت خواب / 90 ساپلی</v>
      </c>
      <c r="G973" s="181"/>
      <c r="H973" s="182"/>
      <c r="I973" s="85">
        <f>INDEX('حذف از تولید و لیست اصلی'!E:E,MATCH('کاتالوگ مبلمان'!J973,'حذف از تولید و لیست اصلی'!I:I,0))</f>
        <v>1038000000</v>
      </c>
      <c r="J973" s="64">
        <v>343</v>
      </c>
    </row>
    <row r="974" spans="1:10" ht="51" customHeight="1">
      <c r="A974" s="60"/>
      <c r="B974" s="61"/>
      <c r="D974" s="86">
        <v>5</v>
      </c>
      <c r="E974" s="84" t="str">
        <f>INDEX('حذف از تولید و لیست اصلی'!B:B,MATCH('کاتالوگ مبلمان'!J974,'حذف از تولید و لیست اصلی'!I:I,0))</f>
        <v>2130020300</v>
      </c>
      <c r="F974" s="180" t="str">
        <f>INDEX('حذف از تولید و لیست اصلی'!C:C,MATCH('کاتالوگ مبلمان'!J974,'حذف از تولید و لیست اصلی'!I:I,0))</f>
        <v xml:space="preserve">  دراور میز آرایش کنسولی ساپلی</v>
      </c>
      <c r="G974" s="181"/>
      <c r="H974" s="182"/>
      <c r="I974" s="85">
        <f>INDEX('حذف از تولید و لیست اصلی'!E:E,MATCH('کاتالوگ مبلمان'!J974,'حذف از تولید و لیست اصلی'!I:I,0))</f>
        <v>984000000</v>
      </c>
      <c r="J974" s="64">
        <v>344</v>
      </c>
    </row>
    <row r="975" spans="1:10" ht="51" customHeight="1">
      <c r="A975" s="60"/>
      <c r="B975" s="61"/>
      <c r="D975" s="86">
        <v>6</v>
      </c>
      <c r="E975" s="84" t="str">
        <f>INDEX('حذف از تولید و لیست اصلی'!B:B,MATCH('کاتالوگ مبلمان'!J975,'حذف از تولید و لیست اصلی'!I:I,0))</f>
        <v>2130020500</v>
      </c>
      <c r="F975" s="180" t="str">
        <f>INDEX('حذف از تولید و لیست اصلی'!C:C,MATCH('کاتالوگ مبلمان'!J975,'حذف از تولید و لیست اصلی'!I:I,0))</f>
        <v xml:space="preserve">  دراور پنج کشو ساپلی</v>
      </c>
      <c r="G975" s="181"/>
      <c r="H975" s="182"/>
      <c r="I975" s="85">
        <f>INDEX('حذف از تولید و لیست اصلی'!E:E,MATCH('کاتالوگ مبلمان'!J975,'حذف از تولید و لیست اصلی'!I:I,0))</f>
        <v>1145000000</v>
      </c>
      <c r="J975" s="64">
        <v>345</v>
      </c>
    </row>
    <row r="976" spans="1:10" ht="51" customHeight="1">
      <c r="A976" s="60"/>
      <c r="B976" s="61"/>
      <c r="D976" s="86">
        <v>7</v>
      </c>
      <c r="E976" s="84">
        <f>INDEX('حذف از تولید و لیست اصلی'!B:B,MATCH('کاتالوگ مبلمان'!J976,'حذف از تولید و لیست اصلی'!I:I,0))</f>
        <v>2130020900</v>
      </c>
      <c r="F976" s="180" t="str">
        <f>INDEX('حذف از تولید و لیست اصلی'!C:C,MATCH('کاتالوگ مبلمان'!J976,'حذف از تولید و لیست اصلی'!I:I,0))</f>
        <v>لاوست پایه کوتاه ساپلی</v>
      </c>
      <c r="G976" s="181"/>
      <c r="H976" s="182"/>
      <c r="I976" s="85">
        <f>INDEX('حذف از تولید و لیست اصلی'!E:E,MATCH('کاتالوگ مبلمان'!J976,'حذف از تولید و لیست اصلی'!I:I,0))</f>
        <v>264000000</v>
      </c>
      <c r="J976" s="64">
        <v>346</v>
      </c>
    </row>
    <row r="977" spans="1:10" ht="51" customHeight="1">
      <c r="A977" s="60"/>
      <c r="B977" s="61"/>
      <c r="D977" s="86">
        <v>8</v>
      </c>
      <c r="E977" s="84" t="str">
        <f>INDEX('حذف از تولید و لیست اصلی'!B:B,MATCH('کاتالوگ مبلمان'!J977,'حذف از تولید و لیست اصلی'!I:I,0))</f>
        <v>-</v>
      </c>
      <c r="F977" s="180" t="str">
        <f>INDEX('حذف از تولید و لیست اصلی'!C:C,MATCH('کاتالوگ مبلمان'!J977,'حذف از تولید و لیست اصلی'!I:I,0))</f>
        <v xml:space="preserve">  متراژ پارچه سرتخت ساپلی/160_180</v>
      </c>
      <c r="G977" s="181"/>
      <c r="H977" s="182"/>
      <c r="I977" s="85">
        <f>INDEX('حذف از تولید و لیست اصلی'!E:E,MATCH('کاتالوگ مبلمان'!J977,'حذف از تولید و لیست اصلی'!I:I,0))</f>
        <v>0</v>
      </c>
      <c r="J977" s="64">
        <v>347</v>
      </c>
    </row>
    <row r="978" spans="1:10" ht="51" customHeight="1">
      <c r="A978" s="60"/>
      <c r="B978" s="61"/>
      <c r="D978" s="86">
        <v>9</v>
      </c>
      <c r="E978" s="84" t="str">
        <f>INDEX('حذف از تولید و لیست اصلی'!B:B,MATCH('کاتالوگ مبلمان'!J978,'حذف از تولید و لیست اصلی'!I:I,0))</f>
        <v>-</v>
      </c>
      <c r="F978" s="180" t="str">
        <f>INDEX('حذف از تولید و لیست اصلی'!C:C,MATCH('کاتالوگ مبلمان'!J978,'حذف از تولید و لیست اصلی'!I:I,0))</f>
        <v xml:space="preserve">  متراژ پارچه سرتخت ساپلی/120_140</v>
      </c>
      <c r="G978" s="181"/>
      <c r="H978" s="182"/>
      <c r="I978" s="85">
        <f>INDEX('حذف از تولید و لیست اصلی'!E:E,MATCH('کاتالوگ مبلمان'!J978,'حذف از تولید و لیست اصلی'!I:I,0))</f>
        <v>0</v>
      </c>
      <c r="J978" s="64">
        <v>348</v>
      </c>
    </row>
    <row r="979" spans="1:10" ht="51" customHeight="1">
      <c r="A979" s="60"/>
      <c r="B979" s="61"/>
      <c r="D979" s="86">
        <v>10</v>
      </c>
      <c r="E979" s="84" t="str">
        <f>INDEX('حذف از تولید و لیست اصلی'!B:B,MATCH('کاتالوگ مبلمان'!J979,'حذف از تولید و لیست اصلی'!I:I,0))</f>
        <v>-</v>
      </c>
      <c r="F979" s="180" t="str">
        <f>INDEX('حذف از تولید و لیست اصلی'!C:C,MATCH('کاتالوگ مبلمان'!J979,'حذف از تولید و لیست اصلی'!I:I,0))</f>
        <v xml:space="preserve">  متراژ پارچه سرتخت ساپلی/90</v>
      </c>
      <c r="G979" s="181"/>
      <c r="H979" s="182"/>
      <c r="I979" s="85">
        <f>INDEX('حذف از تولید و لیست اصلی'!E:E,MATCH('کاتالوگ مبلمان'!J979,'حذف از تولید و لیست اصلی'!I:I,0))</f>
        <v>0</v>
      </c>
      <c r="J979" s="64">
        <v>349</v>
      </c>
    </row>
    <row r="980" spans="1:10">
      <c r="A980" s="60"/>
      <c r="B980" s="61"/>
      <c r="D980"/>
      <c r="E980"/>
      <c r="F980"/>
      <c r="G980"/>
      <c r="H980"/>
      <c r="I980"/>
    </row>
    <row r="981" spans="1:10">
      <c r="A981" s="60"/>
      <c r="B981" s="61"/>
      <c r="G981" s="64"/>
      <c r="H981" s="64"/>
      <c r="I981" s="64"/>
    </row>
    <row r="982" spans="1:10">
      <c r="A982" s="60"/>
      <c r="B982" s="61"/>
      <c r="G982" s="64"/>
      <c r="H982" s="64"/>
      <c r="I982" s="64"/>
    </row>
    <row r="983" spans="1:10">
      <c r="A983" s="60"/>
      <c r="B983" s="61"/>
      <c r="G983" s="64"/>
      <c r="H983" s="64"/>
      <c r="I983" s="64"/>
    </row>
    <row r="984" spans="1:10">
      <c r="A984" s="60"/>
      <c r="B984" s="61"/>
      <c r="I984" s="74">
        <v>42</v>
      </c>
    </row>
    <row r="985" spans="1:10" ht="22.5" customHeight="1">
      <c r="A985" s="70"/>
      <c r="B985" s="71"/>
      <c r="C985" s="183"/>
      <c r="D985" s="184"/>
      <c r="E985" s="184"/>
      <c r="F985" s="184"/>
      <c r="G985" s="184"/>
      <c r="H985" s="184"/>
      <c r="I985" s="184"/>
    </row>
    <row r="986" spans="1:10" ht="22.5" customHeight="1">
      <c r="A986" s="70"/>
      <c r="B986" s="71"/>
      <c r="C986" s="183"/>
      <c r="D986" s="184"/>
      <c r="E986" s="184"/>
      <c r="F986" s="184"/>
      <c r="G986" s="184"/>
      <c r="H986" s="184"/>
      <c r="I986" s="184"/>
    </row>
    <row r="987" spans="1:10" ht="27.75">
      <c r="A987" s="70"/>
      <c r="B987" s="71"/>
      <c r="C987" s="72"/>
      <c r="D987" s="67" t="s">
        <v>1098</v>
      </c>
      <c r="E987" s="67"/>
      <c r="F987" s="67"/>
      <c r="I987" s="68" t="str">
        <f>$M$1</f>
        <v>1405/02/01</v>
      </c>
    </row>
    <row r="988" spans="1:10" ht="45" customHeight="1">
      <c r="A988" s="70"/>
      <c r="B988" s="71"/>
      <c r="C988" s="77"/>
      <c r="D988" s="87" t="s">
        <v>0</v>
      </c>
      <c r="E988" s="88" t="s">
        <v>1</v>
      </c>
      <c r="F988" s="177" t="s">
        <v>448</v>
      </c>
      <c r="G988" s="178"/>
      <c r="H988" s="179"/>
      <c r="I988" s="89" t="s">
        <v>251</v>
      </c>
    </row>
    <row r="989" spans="1:10" ht="33" customHeight="1">
      <c r="A989" s="60"/>
      <c r="B989" s="61"/>
      <c r="D989" s="84">
        <v>1</v>
      </c>
      <c r="E989" s="84" t="str">
        <f>INDEX('حذف از تولید و لیست اصلی'!B:B,MATCH('کاتالوگ مبلمان'!J989,'حذف از تولید و لیست اصلی'!I:I,0))</f>
        <v>2130032300</v>
      </c>
      <c r="F989" s="180" t="str">
        <f>INDEX('حذف از تولید و لیست اصلی'!C:C,MATCH('کاتالوگ مبلمان'!J989,'حذف از تولید و لیست اصلی'!I:I,0))</f>
        <v xml:space="preserve">  تخت خواب / 140 ساپن</v>
      </c>
      <c r="G989" s="181"/>
      <c r="H989" s="182"/>
      <c r="I989" s="85">
        <f>INDEX('حذف از تولید و لیست اصلی'!E:E,MATCH('کاتالوگ مبلمان'!J989,'حذف از تولید و لیست اصلی'!I:I,0))</f>
        <v>1250000000</v>
      </c>
      <c r="J989" s="64">
        <v>350</v>
      </c>
    </row>
    <row r="990" spans="1:10" ht="24" customHeight="1">
      <c r="A990" s="60"/>
      <c r="B990" s="61"/>
      <c r="C990" s="78"/>
      <c r="D990"/>
      <c r="E990"/>
      <c r="F990"/>
      <c r="G990"/>
      <c r="H990"/>
      <c r="I990"/>
    </row>
    <row r="991" spans="1:10">
      <c r="A991" s="60"/>
      <c r="B991" s="61"/>
      <c r="D991"/>
      <c r="E991"/>
      <c r="F991"/>
      <c r="G991"/>
      <c r="H991"/>
      <c r="I991"/>
    </row>
    <row r="992" spans="1:10">
      <c r="A992" s="60"/>
      <c r="B992" s="61"/>
      <c r="D992"/>
      <c r="E992"/>
      <c r="F992"/>
      <c r="G992"/>
      <c r="H992"/>
      <c r="I992"/>
    </row>
    <row r="993" spans="1:10" ht="27.75">
      <c r="A993" s="70"/>
      <c r="B993" s="71"/>
      <c r="C993" s="72"/>
      <c r="D993" s="67" t="s">
        <v>1099</v>
      </c>
      <c r="E993" s="67"/>
      <c r="F993" s="67"/>
      <c r="I993" s="68"/>
    </row>
    <row r="994" spans="1:10" ht="45" customHeight="1">
      <c r="A994" s="70"/>
      <c r="B994" s="71"/>
      <c r="C994" s="77"/>
      <c r="D994" s="87" t="s">
        <v>0</v>
      </c>
      <c r="E994" s="88" t="s">
        <v>1</v>
      </c>
      <c r="F994" s="177" t="s">
        <v>448</v>
      </c>
      <c r="G994" s="178"/>
      <c r="H994" s="179"/>
      <c r="I994" s="89" t="s">
        <v>251</v>
      </c>
    </row>
    <row r="995" spans="1:10" ht="33" customHeight="1">
      <c r="A995" s="60"/>
      <c r="B995" s="61"/>
      <c r="D995" s="84">
        <v>1</v>
      </c>
      <c r="E995" s="84" t="str">
        <f>INDEX('حذف از تولید و لیست اصلی'!B:B,MATCH('کاتالوگ مبلمان'!J995,'حذف از تولید و لیست اصلی'!I:I,0))</f>
        <v>2130042100</v>
      </c>
      <c r="F995" s="180" t="str">
        <f>INDEX('حذف از تولید و لیست اصلی'!C:C,MATCH('کاتالوگ مبلمان'!J995,'حذف از تولید و لیست اصلی'!I:I,0))</f>
        <v xml:space="preserve">  تخت خواب / 90 فولیا سرتخت چوبی</v>
      </c>
      <c r="G995" s="181"/>
      <c r="H995" s="182"/>
      <c r="I995" s="85">
        <f>INDEX('حذف از تولید و لیست اصلی'!E:E,MATCH('کاتالوگ مبلمان'!J995,'حذف از تولید و لیست اصلی'!I:I,0))</f>
        <v>1141000000</v>
      </c>
      <c r="J995" s="64">
        <v>351</v>
      </c>
    </row>
    <row r="996" spans="1:10" ht="33" customHeight="1">
      <c r="A996" s="60"/>
      <c r="B996" s="61"/>
      <c r="C996" s="78"/>
      <c r="D996" s="86">
        <v>2</v>
      </c>
      <c r="E996" s="84" t="str">
        <f>INDEX('حذف از تولید و لیست اصلی'!B:B,MATCH('کاتالوگ مبلمان'!J996,'حذف از تولید و لیست اصلی'!I:I,0))</f>
        <v>2130042102</v>
      </c>
      <c r="F996" s="180" t="str">
        <f>INDEX('حذف از تولید و لیست اصلی'!C:C,MATCH('کاتالوگ مبلمان'!J996,'حذف از تولید و لیست اصلی'!I:I,0))</f>
        <v xml:space="preserve">  تخت خواب / 90 فولیا سرتخت پارچه</v>
      </c>
      <c r="G996" s="181"/>
      <c r="H996" s="182"/>
      <c r="I996" s="85">
        <f>INDEX('حذف از تولید و لیست اصلی'!E:E,MATCH('کاتالوگ مبلمان'!J996,'حذف از تولید و لیست اصلی'!I:I,0))</f>
        <v>1100000000</v>
      </c>
      <c r="J996" s="64">
        <v>352</v>
      </c>
    </row>
    <row r="997" spans="1:10">
      <c r="A997" s="60"/>
      <c r="B997" s="61"/>
      <c r="D997"/>
      <c r="E997"/>
      <c r="F997"/>
      <c r="G997"/>
      <c r="H997"/>
      <c r="I997"/>
    </row>
    <row r="998" spans="1:10">
      <c r="A998" s="60"/>
      <c r="B998" s="61"/>
      <c r="D998"/>
      <c r="E998"/>
      <c r="F998"/>
      <c r="G998"/>
      <c r="H998"/>
      <c r="I998"/>
    </row>
    <row r="999" spans="1:10">
      <c r="A999" s="60"/>
      <c r="B999" s="61"/>
      <c r="D999"/>
      <c r="E999"/>
      <c r="F999"/>
      <c r="G999"/>
      <c r="H999"/>
      <c r="I999"/>
    </row>
    <row r="1000" spans="1:10">
      <c r="A1000" s="60"/>
      <c r="B1000" s="61"/>
      <c r="D1000"/>
      <c r="E1000"/>
      <c r="F1000"/>
      <c r="G1000"/>
      <c r="H1000"/>
      <c r="I1000"/>
    </row>
    <row r="1001" spans="1:10">
      <c r="A1001" s="70"/>
      <c r="B1001" s="71"/>
      <c r="D1001"/>
      <c r="E1001"/>
      <c r="F1001"/>
      <c r="G1001"/>
      <c r="H1001"/>
      <c r="I1001"/>
    </row>
    <row r="1002" spans="1:10">
      <c r="A1002" s="70"/>
      <c r="B1002" s="71"/>
      <c r="D1002"/>
      <c r="E1002"/>
      <c r="F1002"/>
      <c r="G1002"/>
      <c r="H1002"/>
      <c r="I1002"/>
    </row>
    <row r="1003" spans="1:10" ht="27.75">
      <c r="A1003" s="70"/>
      <c r="B1003" s="71"/>
      <c r="C1003" s="72"/>
      <c r="D1003" s="67" t="s">
        <v>1100</v>
      </c>
      <c r="E1003" s="67"/>
      <c r="F1003" s="67"/>
      <c r="I1003" s="68"/>
    </row>
    <row r="1004" spans="1:10" ht="45" customHeight="1">
      <c r="A1004" s="70"/>
      <c r="B1004" s="71"/>
      <c r="C1004" s="77"/>
      <c r="D1004" s="87" t="s">
        <v>0</v>
      </c>
      <c r="E1004" s="88" t="s">
        <v>1</v>
      </c>
      <c r="F1004" s="177" t="s">
        <v>448</v>
      </c>
      <c r="G1004" s="178"/>
      <c r="H1004" s="179"/>
      <c r="I1004" s="89" t="s">
        <v>251</v>
      </c>
    </row>
    <row r="1005" spans="1:10" ht="30.75" customHeight="1">
      <c r="A1005" s="60"/>
      <c r="B1005" s="61"/>
      <c r="D1005" s="84">
        <v>1</v>
      </c>
      <c r="E1005" s="84" t="str">
        <f>INDEX('حذف از تولید و لیست اصلی'!B:B,MATCH('کاتالوگ مبلمان'!J1005,'حذف از تولید و لیست اصلی'!I:I,0))</f>
        <v>2130052300</v>
      </c>
      <c r="F1005" s="180" t="str">
        <f>INDEX('حذف از تولید و لیست اصلی'!C:C,MATCH('کاتالوگ مبلمان'!J1005,'حذف از تولید و لیست اصلی'!I:I,0))</f>
        <v xml:space="preserve">  تخت خواب / 140 سلتیس</v>
      </c>
      <c r="G1005" s="181"/>
      <c r="H1005" s="182"/>
      <c r="I1005" s="85">
        <f>INDEX('حذف از تولید و لیست اصلی'!E:E,MATCH('کاتالوگ مبلمان'!J1005,'حذف از تولید و لیست اصلی'!I:I,0))</f>
        <v>1058000000</v>
      </c>
      <c r="J1005" s="64">
        <v>353</v>
      </c>
    </row>
    <row r="1006" spans="1:10" ht="30.75" customHeight="1">
      <c r="A1006" s="60"/>
      <c r="B1006" s="61"/>
      <c r="C1006" s="78"/>
      <c r="D1006" s="86">
        <v>2</v>
      </c>
      <c r="E1006" s="84" t="str">
        <f>INDEX('حذف از تولید و لیست اصلی'!B:B,MATCH('کاتالوگ مبلمان'!J1006,'حذف از تولید و لیست اصلی'!I:I,0))</f>
        <v>2130052200</v>
      </c>
      <c r="F1006" s="180" t="str">
        <f>INDEX('حذف از تولید و لیست اصلی'!C:C,MATCH('کاتالوگ مبلمان'!J1006,'حذف از تولید و لیست اصلی'!I:I,0))</f>
        <v xml:space="preserve">  تخت خواب / 120 سلتیس</v>
      </c>
      <c r="G1006" s="181"/>
      <c r="H1006" s="182"/>
      <c r="I1006" s="85">
        <f>INDEX('حذف از تولید و لیست اصلی'!E:E,MATCH('کاتالوگ مبلمان'!J1006,'حذف از تولید و لیست اصلی'!I:I,0))</f>
        <v>971000000</v>
      </c>
      <c r="J1006" s="64">
        <v>354</v>
      </c>
    </row>
    <row r="1007" spans="1:10" ht="30.75" customHeight="1">
      <c r="A1007" s="60"/>
      <c r="B1007" s="61"/>
      <c r="D1007" s="86">
        <v>3</v>
      </c>
      <c r="E1007" s="84" t="str">
        <f>INDEX('حذف از تولید و لیست اصلی'!B:B,MATCH('کاتالوگ مبلمان'!J1007,'حذف از تولید و لیست اصلی'!I:I,0))</f>
        <v>2130052100</v>
      </c>
      <c r="F1007" s="180" t="str">
        <f>INDEX('حذف از تولید و لیست اصلی'!C:C,MATCH('کاتالوگ مبلمان'!J1007,'حذف از تولید و لیست اصلی'!I:I,0))</f>
        <v xml:space="preserve">  تخت خواب / 90 سلتیس</v>
      </c>
      <c r="G1007" s="181"/>
      <c r="H1007" s="182"/>
      <c r="I1007" s="85">
        <f>INDEX('حذف از تولید و لیست اصلی'!E:E,MATCH('کاتالوگ مبلمان'!J1007,'حذف از تولید و لیست اصلی'!I:I,0))</f>
        <v>689000000</v>
      </c>
      <c r="J1007" s="64">
        <v>355</v>
      </c>
    </row>
    <row r="1008" spans="1:10" ht="30.75" customHeight="1">
      <c r="A1008" s="60"/>
      <c r="B1008" s="61"/>
      <c r="D1008" s="86">
        <v>4</v>
      </c>
      <c r="E1008" s="84" t="str">
        <f>INDEX('حذف از تولید و لیست اصلی'!B:B,MATCH('کاتالوگ مبلمان'!J1008,'حذف از تولید و لیست اصلی'!I:I,0))</f>
        <v>2130050500</v>
      </c>
      <c r="F1008" s="180" t="str">
        <f>INDEX('حذف از تولید و لیست اصلی'!C:C,MATCH('کاتالوگ مبلمان'!J1008,'حذف از تولید و لیست اصلی'!I:I,0))</f>
        <v xml:space="preserve">  دراور پنج کشو سلتیس</v>
      </c>
      <c r="G1008" s="181"/>
      <c r="H1008" s="182"/>
      <c r="I1008" s="85">
        <f>INDEX('حذف از تولید و لیست اصلی'!E:E,MATCH('کاتالوگ مبلمان'!J1008,'حذف از تولید و لیست اصلی'!I:I,0))</f>
        <v>967000000</v>
      </c>
      <c r="J1008" s="64">
        <v>356</v>
      </c>
    </row>
    <row r="1009" spans="1:10" ht="30.75" customHeight="1">
      <c r="A1009" s="60"/>
      <c r="B1009" s="61"/>
      <c r="D1009" s="86">
        <v>5</v>
      </c>
      <c r="E1009" s="84" t="str">
        <f>INDEX('حذف از تولید و لیست اصلی'!B:B,MATCH('کاتالوگ مبلمان'!J1009,'حذف از تولید و لیست اصلی'!I:I,0))</f>
        <v>2130050900</v>
      </c>
      <c r="F1009" s="180" t="str">
        <f>INDEX('حذف از تولید و لیست اصلی'!C:C,MATCH('کاتالوگ مبلمان'!J1009,'حذف از تولید و لیست اصلی'!I:I,0))</f>
        <v xml:space="preserve">  لاوست سلتیس</v>
      </c>
      <c r="G1009" s="181"/>
      <c r="H1009" s="182"/>
      <c r="I1009" s="85">
        <f>INDEX('حذف از تولید و لیست اصلی'!E:E,MATCH('کاتالوگ مبلمان'!J1009,'حذف از تولید و لیست اصلی'!I:I,0))</f>
        <v>270000000</v>
      </c>
      <c r="J1009" s="64">
        <v>357</v>
      </c>
    </row>
    <row r="1010" spans="1:10">
      <c r="A1010" s="60"/>
      <c r="B1010" s="61"/>
      <c r="I1010" s="74">
        <v>43</v>
      </c>
    </row>
    <row r="1011" spans="1:10" ht="22.5" customHeight="1">
      <c r="A1011" s="70"/>
      <c r="B1011" s="71"/>
      <c r="C1011" s="183"/>
      <c r="D1011" s="184"/>
      <c r="E1011" s="184"/>
      <c r="F1011" s="184"/>
      <c r="G1011" s="184"/>
      <c r="H1011" s="184"/>
      <c r="I1011" s="184"/>
    </row>
    <row r="1012" spans="1:10" ht="22.5" customHeight="1">
      <c r="A1012" s="70"/>
      <c r="B1012" s="71"/>
      <c r="C1012" s="183"/>
      <c r="D1012" s="184"/>
      <c r="E1012" s="184"/>
      <c r="F1012" s="184"/>
      <c r="G1012" s="184"/>
      <c r="H1012" s="184"/>
      <c r="I1012" s="184"/>
    </row>
    <row r="1013" spans="1:10" ht="27.75">
      <c r="A1013" s="70"/>
      <c r="B1013" s="71"/>
      <c r="C1013" s="72"/>
      <c r="D1013" s="67" t="s">
        <v>1120</v>
      </c>
      <c r="E1013" s="67"/>
      <c r="F1013" s="67"/>
      <c r="I1013" s="68" t="str">
        <f>$M$1</f>
        <v>1405/02/01</v>
      </c>
    </row>
    <row r="1014" spans="1:10" ht="45" customHeight="1">
      <c r="A1014" s="70"/>
      <c r="B1014" s="71"/>
      <c r="C1014" s="77"/>
      <c r="D1014" s="87" t="s">
        <v>0</v>
      </c>
      <c r="E1014" s="88" t="s">
        <v>1</v>
      </c>
      <c r="F1014" s="177" t="s">
        <v>448</v>
      </c>
      <c r="G1014" s="178"/>
      <c r="H1014" s="179"/>
      <c r="I1014" s="89" t="s">
        <v>251</v>
      </c>
    </row>
    <row r="1015" spans="1:10" ht="54" customHeight="1">
      <c r="A1015" s="60"/>
      <c r="B1015" s="61"/>
      <c r="D1015" s="84">
        <v>1</v>
      </c>
      <c r="E1015" s="84" t="str">
        <f>INDEX('حذف از تولید و لیست اصلی'!B:B,MATCH('کاتالوگ مبلمان'!J1015,'حذف از تولید و لیست اصلی'!I:I,0))</f>
        <v>2130062500</v>
      </c>
      <c r="F1015" s="180" t="str">
        <f>INDEX('حذف از تولید و لیست اصلی'!C:C,MATCH('کاتالوگ مبلمان'!J1015,'حذف از تولید و لیست اصلی'!I:I,0))</f>
        <v xml:space="preserve">  تخت خواب / 180 ایلکس</v>
      </c>
      <c r="G1015" s="181"/>
      <c r="H1015" s="182"/>
      <c r="I1015" s="85">
        <f>INDEX('حذف از تولید و لیست اصلی'!E:E,MATCH('کاتالوگ مبلمان'!J1015,'حذف از تولید و لیست اصلی'!I:I,0))</f>
        <v>1584000000</v>
      </c>
      <c r="J1015" s="64">
        <v>358</v>
      </c>
    </row>
    <row r="1016" spans="1:10" ht="54" customHeight="1">
      <c r="A1016" s="60"/>
      <c r="B1016" s="61"/>
      <c r="C1016" s="78"/>
      <c r="D1016" s="86">
        <v>2</v>
      </c>
      <c r="E1016" s="84" t="str">
        <f>INDEX('حذف از تولید و لیست اصلی'!B:B,MATCH('کاتالوگ مبلمان'!J1016,'حذف از تولید و لیست اصلی'!I:I,0))</f>
        <v>2130062400</v>
      </c>
      <c r="F1016" s="180" t="str">
        <f>INDEX('حذف از تولید و لیست اصلی'!C:C,MATCH('کاتالوگ مبلمان'!J1016,'حذف از تولید و لیست اصلی'!I:I,0))</f>
        <v xml:space="preserve">  تخت خواب / 160 ایلکس</v>
      </c>
      <c r="G1016" s="181"/>
      <c r="H1016" s="182"/>
      <c r="I1016" s="85">
        <f>INDEX('حذف از تولید و لیست اصلی'!E:E,MATCH('کاتالوگ مبلمان'!J1016,'حذف از تولید و لیست اصلی'!I:I,0))</f>
        <v>1410000000</v>
      </c>
      <c r="J1016" s="64">
        <v>359</v>
      </c>
    </row>
    <row r="1017" spans="1:10" ht="54" customHeight="1">
      <c r="A1017" s="60"/>
      <c r="B1017" s="61"/>
      <c r="D1017" s="86">
        <v>3</v>
      </c>
      <c r="E1017" s="84" t="str">
        <f>INDEX('حذف از تولید و لیست اصلی'!B:B,MATCH('کاتالوگ مبلمان'!J1017,'حذف از تولید و لیست اصلی'!I:I,0))</f>
        <v>2130060100</v>
      </c>
      <c r="F1017" s="180" t="str">
        <f>INDEX('حذف از تولید و لیست اصلی'!C:C,MATCH('کاتالوگ مبلمان'!J1017,'حذف از تولید و لیست اصلی'!I:I,0))</f>
        <v xml:space="preserve">  دراور میز آرایش اصلی ایلکس</v>
      </c>
      <c r="G1017" s="181"/>
      <c r="H1017" s="182"/>
      <c r="I1017" s="85">
        <f>INDEX('حذف از تولید و لیست اصلی'!E:E,MATCH('کاتالوگ مبلمان'!J1017,'حذف از تولید و لیست اصلی'!I:I,0))</f>
        <v>933000000</v>
      </c>
      <c r="J1017" s="64">
        <v>360</v>
      </c>
    </row>
    <row r="1018" spans="1:10" ht="54" customHeight="1">
      <c r="A1018" s="60"/>
      <c r="B1018" s="61"/>
      <c r="D1018" s="86">
        <v>4</v>
      </c>
      <c r="E1018" s="84" t="str">
        <f>INDEX('حذف از تولید و لیست اصلی'!B:B,MATCH('کاتالوگ مبلمان'!J1018,'حذف از تولید و لیست اصلی'!I:I,0))</f>
        <v>2130060600</v>
      </c>
      <c r="F1018" s="180" t="str">
        <f>INDEX('حذف از تولید و لیست اصلی'!C:C,MATCH('کاتالوگ مبلمان'!J1018,'حذف از تولید و لیست اصلی'!I:I,0))</f>
        <v xml:space="preserve">  قاب آینه اصلی ایلکس</v>
      </c>
      <c r="G1018" s="181"/>
      <c r="H1018" s="182"/>
      <c r="I1018" s="85">
        <f>INDEX('حذف از تولید و لیست اصلی'!E:E,MATCH('کاتالوگ مبلمان'!J1018,'حذف از تولید و لیست اصلی'!I:I,0))</f>
        <v>428000000</v>
      </c>
      <c r="J1018" s="64">
        <v>361</v>
      </c>
    </row>
    <row r="1019" spans="1:10" ht="54" customHeight="1">
      <c r="A1019" s="60"/>
      <c r="B1019" s="61"/>
      <c r="D1019" s="86">
        <v>5</v>
      </c>
      <c r="E1019" s="84" t="str">
        <f>INDEX('حذف از تولید و لیست اصلی'!B:B,MATCH('کاتالوگ مبلمان'!J1019,'حذف از تولید و لیست اصلی'!I:I,0))</f>
        <v>2130060800</v>
      </c>
      <c r="F1019" s="180" t="str">
        <f>INDEX('حذف از تولید و لیست اصلی'!C:C,MATCH('کاتالوگ مبلمان'!J1019,'حذف از تولید و لیست اصلی'!I:I,0))</f>
        <v xml:space="preserve">  صندلی میز آرایش  ایلکس</v>
      </c>
      <c r="G1019" s="181"/>
      <c r="H1019" s="182"/>
      <c r="I1019" s="85">
        <f>INDEX('حذف از تولید و لیست اصلی'!E:E,MATCH('کاتالوگ مبلمان'!J1019,'حذف از تولید و لیست اصلی'!I:I,0))</f>
        <v>149000000</v>
      </c>
      <c r="J1019" s="64">
        <v>362</v>
      </c>
    </row>
    <row r="1020" spans="1:10" ht="54" customHeight="1">
      <c r="A1020" s="60"/>
      <c r="B1020" s="61"/>
      <c r="D1020" s="86">
        <v>6</v>
      </c>
      <c r="E1020" s="84" t="str">
        <f>INDEX('حذف از تولید و لیست اصلی'!B:B,MATCH('کاتالوگ مبلمان'!J1020,'حذف از تولید و لیست اصلی'!I:I,0))</f>
        <v>2130060400</v>
      </c>
      <c r="F1020" s="180" t="str">
        <f>INDEX('حذف از تولید و لیست اصلی'!C:C,MATCH('کاتالوگ مبلمان'!J1020,'حذف از تولید و لیست اصلی'!I:I,0))</f>
        <v xml:space="preserve">  پاتختی ایلکس</v>
      </c>
      <c r="G1020" s="181"/>
      <c r="H1020" s="182"/>
      <c r="I1020" s="85">
        <f>INDEX('حذف از تولید و لیست اصلی'!E:E,MATCH('کاتالوگ مبلمان'!J1020,'حذف از تولید و لیست اصلی'!I:I,0))</f>
        <v>469000000</v>
      </c>
      <c r="J1020" s="64">
        <v>363</v>
      </c>
    </row>
    <row r="1021" spans="1:10" ht="54" customHeight="1">
      <c r="A1021" s="60"/>
      <c r="B1021" s="61"/>
      <c r="D1021" s="86">
        <v>7</v>
      </c>
      <c r="E1021" s="84" t="str">
        <f>INDEX('حذف از تولید و لیست اصلی'!B:B,MATCH('کاتالوگ مبلمان'!J1021,'حذف از تولید و لیست اصلی'!I:I,0))</f>
        <v>2130060500</v>
      </c>
      <c r="F1021" s="180" t="str">
        <f>INDEX('حذف از تولید و لیست اصلی'!C:C,MATCH('کاتالوگ مبلمان'!J1021,'حذف از تولید و لیست اصلی'!I:I,0))</f>
        <v xml:space="preserve">  دراور پنج کشو ایلکس</v>
      </c>
      <c r="G1021" s="181"/>
      <c r="H1021" s="182"/>
      <c r="I1021" s="85">
        <f>INDEX('حذف از تولید و لیست اصلی'!E:E,MATCH('کاتالوگ مبلمان'!J1021,'حذف از تولید و لیست اصلی'!I:I,0))</f>
        <v>1137000000</v>
      </c>
      <c r="J1021" s="64">
        <v>364</v>
      </c>
    </row>
    <row r="1022" spans="1:10" ht="54" customHeight="1">
      <c r="A1022" s="60"/>
      <c r="B1022" s="61"/>
      <c r="D1022" s="86">
        <v>8</v>
      </c>
      <c r="E1022" s="84" t="str">
        <f>INDEX('حذف از تولید و لیست اصلی'!B:B,MATCH('کاتالوگ مبلمان'!J1022,'حذف از تولید و لیست اصلی'!I:I,0))</f>
        <v>2130060900</v>
      </c>
      <c r="F1022" s="180" t="str">
        <f>INDEX('حذف از تولید و لیست اصلی'!C:C,MATCH('کاتالوگ مبلمان'!J1022,'حذف از تولید و لیست اصلی'!I:I,0))</f>
        <v xml:space="preserve">  لاوست ایلکس</v>
      </c>
      <c r="G1022" s="181"/>
      <c r="H1022" s="182"/>
      <c r="I1022" s="85">
        <f>INDEX('حذف از تولید و لیست اصلی'!E:E,MATCH('کاتالوگ مبلمان'!J1022,'حذف از تولید و لیست اصلی'!I:I,0))</f>
        <v>194000000</v>
      </c>
      <c r="J1022" s="64">
        <v>365</v>
      </c>
    </row>
    <row r="1023" spans="1:10" ht="54" customHeight="1">
      <c r="A1023" s="60"/>
      <c r="B1023" s="61"/>
      <c r="D1023" s="86">
        <v>9</v>
      </c>
      <c r="E1023" s="84" t="str">
        <f>INDEX('حذف از تولید و لیست اصلی'!B:B,MATCH('کاتالوگ مبلمان'!J1023,'حذف از تولید و لیست اصلی'!I:I,0))</f>
        <v>-</v>
      </c>
      <c r="F1023" s="180" t="str">
        <f>INDEX('حذف از تولید و لیست اصلی'!C:C,MATCH('کاتالوگ مبلمان'!J1023,'حذف از تولید و لیست اصلی'!I:I,0))</f>
        <v xml:space="preserve">  متراژ پارچه لاوست</v>
      </c>
      <c r="G1023" s="181"/>
      <c r="H1023" s="182"/>
      <c r="I1023" s="85">
        <f>INDEX('حذف از تولید و لیست اصلی'!E:E,MATCH('کاتالوگ مبلمان'!J1023,'حذف از تولید و لیست اصلی'!I:I,0))</f>
        <v>0</v>
      </c>
      <c r="J1023" s="64">
        <v>366</v>
      </c>
    </row>
    <row r="1024" spans="1:10" ht="54" customHeight="1">
      <c r="A1024" s="60"/>
      <c r="B1024" s="61"/>
      <c r="D1024" s="86">
        <v>10</v>
      </c>
      <c r="E1024" s="84" t="str">
        <f>INDEX('حذف از تولید و لیست اصلی'!B:B,MATCH('کاتالوگ مبلمان'!J1024,'حذف از تولید و لیست اصلی'!I:I,0))</f>
        <v>-</v>
      </c>
      <c r="F1024" s="180" t="str">
        <f>INDEX('حذف از تولید و لیست اصلی'!C:C,MATCH('کاتالوگ مبلمان'!J1024,'حذف از تولید و لیست اصلی'!I:I,0))</f>
        <v xml:space="preserve">  متراژ پارچه صندلی میز آرایش</v>
      </c>
      <c r="G1024" s="181"/>
      <c r="H1024" s="182"/>
      <c r="I1024" s="85">
        <f>INDEX('حذف از تولید و لیست اصلی'!E:E,MATCH('کاتالوگ مبلمان'!J1024,'حذف از تولید و لیست اصلی'!I:I,0))</f>
        <v>0</v>
      </c>
      <c r="J1024" s="64">
        <v>367</v>
      </c>
    </row>
    <row r="1025" spans="1:10">
      <c r="A1025" s="60"/>
      <c r="B1025" s="61"/>
      <c r="D1025"/>
      <c r="E1025"/>
      <c r="F1025"/>
      <c r="G1025"/>
      <c r="H1025"/>
      <c r="I1025"/>
    </row>
    <row r="1026" spans="1:10">
      <c r="A1026" s="60"/>
      <c r="B1026" s="61"/>
      <c r="D1026"/>
      <c r="E1026"/>
      <c r="F1026"/>
      <c r="G1026"/>
      <c r="H1026"/>
      <c r="I1026"/>
    </row>
    <row r="1027" spans="1:10">
      <c r="A1027" s="60"/>
      <c r="B1027" s="61"/>
      <c r="I1027" s="74">
        <v>44</v>
      </c>
    </row>
    <row r="1028" spans="1:10" ht="22.5" customHeight="1">
      <c r="A1028" s="70"/>
      <c r="B1028" s="71"/>
      <c r="C1028" s="183"/>
      <c r="D1028" s="184"/>
      <c r="E1028" s="184"/>
      <c r="F1028" s="184"/>
      <c r="G1028" s="184"/>
      <c r="H1028" s="184"/>
      <c r="I1028" s="184"/>
    </row>
    <row r="1029" spans="1:10" ht="22.5" customHeight="1">
      <c r="A1029" s="70"/>
      <c r="B1029" s="71"/>
      <c r="C1029" s="183"/>
      <c r="D1029" s="184"/>
      <c r="E1029" s="184"/>
      <c r="F1029" s="184"/>
      <c r="G1029" s="184"/>
      <c r="H1029" s="184"/>
      <c r="I1029" s="184"/>
    </row>
    <row r="1030" spans="1:10" ht="27.75">
      <c r="A1030" s="70"/>
      <c r="B1030" s="71"/>
      <c r="C1030" s="72"/>
      <c r="D1030" s="67" t="s">
        <v>1121</v>
      </c>
      <c r="E1030" s="67"/>
      <c r="F1030" s="67"/>
      <c r="I1030" s="68" t="str">
        <f>$M$1</f>
        <v>1405/02/01</v>
      </c>
    </row>
    <row r="1031" spans="1:10" ht="45" customHeight="1">
      <c r="A1031" s="70"/>
      <c r="B1031" s="71"/>
      <c r="C1031" s="77"/>
      <c r="D1031" s="87" t="s">
        <v>0</v>
      </c>
      <c r="E1031" s="88" t="s">
        <v>1</v>
      </c>
      <c r="F1031" s="177" t="s">
        <v>448</v>
      </c>
      <c r="G1031" s="178"/>
      <c r="H1031" s="179"/>
      <c r="I1031" s="89" t="s">
        <v>251</v>
      </c>
    </row>
    <row r="1032" spans="1:10" ht="30" customHeight="1">
      <c r="A1032" s="60"/>
      <c r="B1032" s="61"/>
      <c r="D1032" s="84">
        <v>1</v>
      </c>
      <c r="E1032" s="84">
        <f>INDEX('حذف از تولید و لیست اصلی'!B:B,MATCH('کاتالوگ مبلمان'!J1032,'حذف از تولید و لیست اصلی'!I:I,0))</f>
        <v>2130070000</v>
      </c>
      <c r="F1032" s="180" t="str">
        <f>INDEX('حذف از تولید و لیست اصلی'!C:C,MATCH('کاتالوگ مبلمان'!J1032,'حذف از تولید و لیست اصلی'!I:I,0))</f>
        <v>سرویس خواب / 180 مرانتی فریم قاب و پرده</v>
      </c>
      <c r="G1032" s="181"/>
      <c r="H1032" s="182"/>
      <c r="I1032" s="85">
        <f>INDEX('حذف از تولید و لیست اصلی'!E:E,MATCH('کاتالوگ مبلمان'!J1032,'حذف از تولید و لیست اصلی'!I:I,0))</f>
        <v>8098000000</v>
      </c>
      <c r="J1032" s="64">
        <v>368</v>
      </c>
    </row>
    <row r="1033" spans="1:10" ht="30" customHeight="1">
      <c r="A1033" s="60"/>
      <c r="B1033" s="61"/>
      <c r="C1033" s="78"/>
      <c r="D1033" s="86">
        <v>2</v>
      </c>
      <c r="E1033" s="84">
        <f>INDEX('حذف از تولید و لیست اصلی'!B:B,MATCH('کاتالوگ مبلمان'!J1033,'حذف از تولید و لیست اصلی'!I:I,0))</f>
        <v>2130070000</v>
      </c>
      <c r="F1033" s="180" t="str">
        <f>INDEX('حذف از تولید و لیست اصلی'!C:C,MATCH('کاتالوگ مبلمان'!J1033,'حذف از تولید و لیست اصلی'!I:I,0))</f>
        <v>سرویس خواب / 180 مرانتی</v>
      </c>
      <c r="G1033" s="181"/>
      <c r="H1033" s="182"/>
      <c r="I1033" s="85">
        <f>INDEX('حذف از تولید و لیست اصلی'!E:E,MATCH('کاتالوگ مبلمان'!J1033,'حذف از تولید و لیست اصلی'!I:I,0))</f>
        <v>7306000000</v>
      </c>
      <c r="J1033" s="64">
        <v>369</v>
      </c>
    </row>
    <row r="1034" spans="1:10" ht="30" customHeight="1">
      <c r="A1034" s="60"/>
      <c r="B1034" s="61"/>
      <c r="D1034" s="86">
        <v>3</v>
      </c>
      <c r="E1034" s="84">
        <f>INDEX('حذف از تولید و لیست اصلی'!B:B,MATCH('کاتالوگ مبلمان'!J1034,'حذف از تولید و لیست اصلی'!I:I,0))</f>
        <v>2130070000</v>
      </c>
      <c r="F1034" s="180" t="str">
        <f>INDEX('حذف از تولید و لیست اصلی'!C:C,MATCH('کاتالوگ مبلمان'!J1034,'حذف از تولید و لیست اصلی'!I:I,0))</f>
        <v>سرویس خواب / 160 مرانتی فریم قاب و پرده</v>
      </c>
      <c r="G1034" s="181"/>
      <c r="H1034" s="182"/>
      <c r="I1034" s="85">
        <f>INDEX('حذف از تولید و لیست اصلی'!E:E,MATCH('کاتالوگ مبلمان'!J1034,'حذف از تولید و لیست اصلی'!I:I,0))</f>
        <v>7830000000</v>
      </c>
      <c r="J1034" s="64">
        <v>370</v>
      </c>
    </row>
    <row r="1035" spans="1:10" ht="30" customHeight="1">
      <c r="A1035" s="60"/>
      <c r="B1035" s="61"/>
      <c r="D1035" s="86">
        <v>4</v>
      </c>
      <c r="E1035" s="84">
        <f>INDEX('حذف از تولید و لیست اصلی'!B:B,MATCH('کاتالوگ مبلمان'!J1035,'حذف از تولید و لیست اصلی'!I:I,0))</f>
        <v>2130070000</v>
      </c>
      <c r="F1035" s="180" t="str">
        <f>INDEX('حذف از تولید و لیست اصلی'!C:C,MATCH('کاتالوگ مبلمان'!J1035,'حذف از تولید و لیست اصلی'!I:I,0))</f>
        <v>سرویس خواب / 160 مرانتی</v>
      </c>
      <c r="G1035" s="181"/>
      <c r="H1035" s="182"/>
      <c r="I1035" s="85">
        <f>INDEX('حذف از تولید و لیست اصلی'!E:E,MATCH('کاتالوگ مبلمان'!J1035,'حذف از تولید و لیست اصلی'!I:I,0))</f>
        <v>7038000000</v>
      </c>
      <c r="J1035" s="64">
        <v>371</v>
      </c>
    </row>
    <row r="1036" spans="1:10" ht="30" customHeight="1">
      <c r="A1036" s="60"/>
      <c r="B1036" s="61"/>
      <c r="D1036" s="86">
        <v>5</v>
      </c>
      <c r="E1036" s="84" t="str">
        <f>INDEX('حذف از تولید و لیست اصلی'!B:B,MATCH('کاتالوگ مبلمان'!J1036,'حذف از تولید و لیست اصلی'!I:I,0))</f>
        <v>2130072500</v>
      </c>
      <c r="F1036" s="180" t="str">
        <f>INDEX('حذف از تولید و لیست اصلی'!C:C,MATCH('کاتالوگ مبلمان'!J1036,'حذف از تولید و لیست اصلی'!I:I,0))</f>
        <v xml:space="preserve">  تخت خواب / 180 مرانتی</v>
      </c>
      <c r="G1036" s="181"/>
      <c r="H1036" s="182"/>
      <c r="I1036" s="85">
        <f>INDEX('حذف از تولید و لیست اصلی'!E:E,MATCH('کاتالوگ مبلمان'!J1036,'حذف از تولید و لیست اصلی'!I:I,0))</f>
        <v>3038000000</v>
      </c>
      <c r="J1036" s="64">
        <v>372</v>
      </c>
    </row>
    <row r="1037" spans="1:10" ht="30" customHeight="1">
      <c r="A1037" s="60"/>
      <c r="B1037" s="61"/>
      <c r="D1037" s="86">
        <v>6</v>
      </c>
      <c r="E1037" s="84">
        <f>INDEX('حذف از تولید و لیست اصلی'!B:B,MATCH('کاتالوگ مبلمان'!J1037,'حذف از تولید و لیست اصلی'!I:I,0))</f>
        <v>2130072400</v>
      </c>
      <c r="F1037" s="180" t="str">
        <f>INDEX('حذف از تولید و لیست اصلی'!C:C,MATCH('کاتالوگ مبلمان'!J1037,'حذف از تولید و لیست اصلی'!I:I,0))</f>
        <v>تخت خواب / 160 مرانتی</v>
      </c>
      <c r="G1037" s="181"/>
      <c r="H1037" s="182"/>
      <c r="I1037" s="85">
        <f>INDEX('حذف از تولید و لیست اصلی'!E:E,MATCH('کاتالوگ مبلمان'!J1037,'حذف از تولید و لیست اصلی'!I:I,0))</f>
        <v>2770000000</v>
      </c>
      <c r="J1037" s="64">
        <v>373</v>
      </c>
    </row>
    <row r="1038" spans="1:10" ht="30" customHeight="1">
      <c r="A1038" s="60"/>
      <c r="B1038" s="61"/>
      <c r="D1038" s="86">
        <v>7</v>
      </c>
      <c r="E1038" s="84" t="str">
        <f>INDEX('حذف از تولید و لیست اصلی'!B:B,MATCH('کاتالوگ مبلمان'!J1038,'حذف از تولید و لیست اصلی'!I:I,0))</f>
        <v>2130072700</v>
      </c>
      <c r="F1038" s="180" t="str">
        <f>INDEX('حذف از تولید و لیست اصلی'!C:C,MATCH('کاتالوگ مبلمان'!J1038,'حذف از تولید و لیست اصلی'!I:I,0))</f>
        <v xml:space="preserve">  فریم قاب پرده مرانتی / 180</v>
      </c>
      <c r="G1038" s="181"/>
      <c r="H1038" s="182"/>
      <c r="I1038" s="85">
        <f>INDEX('حذف از تولید و لیست اصلی'!E:E,MATCH('کاتالوگ مبلمان'!J1038,'حذف از تولید و لیست اصلی'!I:I,0))</f>
        <v>580000000</v>
      </c>
      <c r="J1038" s="64">
        <v>374</v>
      </c>
    </row>
    <row r="1039" spans="1:10" ht="30" customHeight="1">
      <c r="A1039" s="60"/>
      <c r="B1039" s="61"/>
      <c r="D1039" s="86">
        <v>8</v>
      </c>
      <c r="E1039" s="84">
        <f>INDEX('حذف از تولید و لیست اصلی'!B:B,MATCH('کاتالوگ مبلمان'!J1039,'حذف از تولید و لیست اصلی'!I:I,0))</f>
        <v>2130070100</v>
      </c>
      <c r="F1039" s="180" t="str">
        <f>INDEX('حذف از تولید و لیست اصلی'!C:C,MATCH('کاتالوگ مبلمان'!J1039,'حذف از تولید و لیست اصلی'!I:I,0))</f>
        <v>دراور میز آرایش اصلی مرانتی</v>
      </c>
      <c r="G1039" s="181"/>
      <c r="H1039" s="182"/>
      <c r="I1039" s="85">
        <f>INDEX('حذف از تولید و لیست اصلی'!E:E,MATCH('کاتالوگ مبلمان'!J1039,'حذف از تولید و لیست اصلی'!I:I,0))</f>
        <v>1994000000</v>
      </c>
      <c r="J1039" s="64">
        <v>375</v>
      </c>
    </row>
    <row r="1040" spans="1:10" ht="30" customHeight="1">
      <c r="A1040" s="60"/>
      <c r="B1040" s="61"/>
      <c r="D1040" s="86">
        <v>9</v>
      </c>
      <c r="E1040" s="84">
        <f>INDEX('حذف از تولید و لیست اصلی'!B:B,MATCH('کاتالوگ مبلمان'!J1040,'حذف از تولید و لیست اصلی'!I:I,0))</f>
        <v>2130070600</v>
      </c>
      <c r="F1040" s="180" t="str">
        <f>INDEX('حذف از تولید و لیست اصلی'!C:C,MATCH('کاتالوگ مبلمان'!J1040,'حذف از تولید و لیست اصلی'!I:I,0))</f>
        <v>قاب آینه اصلی مرانتی</v>
      </c>
      <c r="G1040" s="181"/>
      <c r="H1040" s="182"/>
      <c r="I1040" s="85">
        <f>INDEX('حذف از تولید و لیست اصلی'!E:E,MATCH('کاتالوگ مبلمان'!J1040,'حذف از تولید و لیست اصلی'!I:I,0))</f>
        <v>553000000</v>
      </c>
      <c r="J1040" s="64">
        <v>376</v>
      </c>
    </row>
    <row r="1041" spans="1:10" ht="30" customHeight="1">
      <c r="A1041" s="60"/>
      <c r="B1041" s="61"/>
      <c r="D1041" s="86">
        <v>10</v>
      </c>
      <c r="E1041" s="84">
        <f>INDEX('حذف از تولید و لیست اصلی'!B:B,MATCH('کاتالوگ مبلمان'!J1041,'حذف از تولید و لیست اصلی'!I:I,0))</f>
        <v>2130070800</v>
      </c>
      <c r="F1041" s="180" t="str">
        <f>INDEX('حذف از تولید و لیست اصلی'!C:C,MATCH('کاتالوگ مبلمان'!J1041,'حذف از تولید و لیست اصلی'!I:I,0))</f>
        <v>صندلی میز آرایش مرانتی</v>
      </c>
      <c r="G1041" s="181"/>
      <c r="H1041" s="182"/>
      <c r="I1041" s="85">
        <f>INDEX('حذف از تولید و لیست اصلی'!E:E,MATCH('کاتالوگ مبلمان'!J1041,'حذف از تولید و لیست اصلی'!I:I,0))</f>
        <v>359000000</v>
      </c>
      <c r="J1041" s="64">
        <v>377</v>
      </c>
    </row>
    <row r="1042" spans="1:10" ht="30" customHeight="1">
      <c r="A1042" s="60"/>
      <c r="B1042" s="61"/>
      <c r="D1042" s="86">
        <v>11</v>
      </c>
      <c r="E1042" s="84">
        <f>INDEX('حذف از تولید و لیست اصلی'!B:B,MATCH('کاتالوگ مبلمان'!J1042,'حذف از تولید و لیست اصلی'!I:I,0))</f>
        <v>2130070400</v>
      </c>
      <c r="F1042" s="180" t="str">
        <f>INDEX('حذف از تولید و لیست اصلی'!C:C,MATCH('کاتالوگ مبلمان'!J1042,'حذف از تولید و لیست اصلی'!I:I,0))</f>
        <v>پاتختی مرانتی</v>
      </c>
      <c r="G1042" s="181"/>
      <c r="H1042" s="182"/>
      <c r="I1042" s="85">
        <f>INDEX('حذف از تولید و لیست اصلی'!E:E,MATCH('کاتالوگ مبلمان'!J1042,'حذف از تولید و لیست اصلی'!I:I,0))</f>
        <v>681000000</v>
      </c>
      <c r="J1042" s="64">
        <v>378</v>
      </c>
    </row>
    <row r="1043" spans="1:10" ht="30" customHeight="1">
      <c r="A1043" s="60"/>
      <c r="B1043" s="61"/>
      <c r="D1043" s="86">
        <v>12</v>
      </c>
      <c r="E1043" s="84">
        <f>INDEX('حذف از تولید و لیست اصلی'!B:B,MATCH('کاتالوگ مبلمان'!J1043,'حذف از تولید و لیست اصلی'!I:I,0))</f>
        <v>2130070500</v>
      </c>
      <c r="F1043" s="180" t="str">
        <f>INDEX('حذف از تولید و لیست اصلی'!C:C,MATCH('کاتالوگ مبلمان'!J1043,'حذف از تولید و لیست اصلی'!I:I,0))</f>
        <v>دراور شش کشو مرانتی</v>
      </c>
      <c r="G1043" s="181"/>
      <c r="H1043" s="182"/>
      <c r="I1043" s="85">
        <f>INDEX('حذف از تولید و لیست اصلی'!E:E,MATCH('کاتالوگ مبلمان'!J1043,'حذف از تولید و لیست اصلی'!I:I,0))</f>
        <v>2095000000</v>
      </c>
      <c r="J1043" s="64">
        <v>379</v>
      </c>
    </row>
    <row r="1044" spans="1:10" ht="30" customHeight="1">
      <c r="A1044" s="60"/>
      <c r="B1044" s="61"/>
      <c r="D1044" s="86">
        <v>13</v>
      </c>
      <c r="E1044" s="84">
        <f>INDEX('حذف از تولید و لیست اصلی'!B:B,MATCH('کاتالوگ مبلمان'!J1044,'حذف از تولید و لیست اصلی'!I:I,0))</f>
        <v>2130070900</v>
      </c>
      <c r="F1044" s="180" t="str">
        <f>INDEX('حذف از تولید و لیست اصلی'!C:C,MATCH('کاتالوگ مبلمان'!J1044,'حذف از تولید و لیست اصلی'!I:I,0))</f>
        <v>لاوست دسته‌دار مرانتی</v>
      </c>
      <c r="G1044" s="181"/>
      <c r="H1044" s="182"/>
      <c r="I1044" s="85">
        <f>INDEX('حذف از تولید و لیست اصلی'!E:E,MATCH('کاتالوگ مبلمان'!J1044,'حذف از تولید و لیست اصلی'!I:I,0))</f>
        <v>642000000</v>
      </c>
      <c r="J1044" s="64">
        <v>380</v>
      </c>
    </row>
    <row r="1045" spans="1:10" ht="30" customHeight="1">
      <c r="A1045" s="60"/>
      <c r="B1045" s="61"/>
      <c r="D1045" s="86">
        <v>14</v>
      </c>
      <c r="E1045" s="84">
        <f>INDEX('حذف از تولید و لیست اصلی'!B:B,MATCH('کاتالوگ مبلمان'!J1045,'حذف از تولید و لیست اصلی'!I:I,0))</f>
        <v>2130072600</v>
      </c>
      <c r="F1045" s="180" t="str">
        <f>INDEX('حذف از تولید و لیست اصلی'!C:C,MATCH('کاتالوگ مبلمان'!J1045,'حذف از تولید و لیست اصلی'!I:I,0))</f>
        <v>فریم قاب پرده مرانتی / 160</v>
      </c>
      <c r="G1045" s="181"/>
      <c r="H1045" s="182"/>
      <c r="I1045" s="85">
        <f>INDEX('حذف از تولید و لیست اصلی'!E:E,MATCH('کاتالوگ مبلمان'!J1045,'حذف از تولید و لیست اصلی'!I:I,0))</f>
        <v>580000000</v>
      </c>
      <c r="J1045" s="64">
        <v>381</v>
      </c>
    </row>
    <row r="1046" spans="1:10" ht="30" customHeight="1">
      <c r="A1046" s="60"/>
      <c r="B1046" s="61"/>
      <c r="D1046" s="86">
        <v>15</v>
      </c>
      <c r="E1046" s="84">
        <f>INDEX('حذف از تولید و لیست اصلی'!B:B,MATCH('کاتالوگ مبلمان'!J1046,'حذف از تولید و لیست اصلی'!I:I,0))</f>
        <v>2130074500</v>
      </c>
      <c r="F1046" s="180" t="str">
        <f>INDEX('حذف از تولید و لیست اصلی'!C:C,MATCH('کاتالوگ مبلمان'!J1046,'حذف از تولید و لیست اصلی'!I:I,0))</f>
        <v>نگه‌دارنده قاب آینه اصلی مرانتی</v>
      </c>
      <c r="G1046" s="181"/>
      <c r="H1046" s="182"/>
      <c r="I1046" s="85">
        <f>INDEX('حذف از تولید و لیست اصلی'!E:E,MATCH('کاتالوگ مبلمان'!J1046,'حذف از تولید و لیست اصلی'!I:I,0))</f>
        <v>97000000</v>
      </c>
      <c r="J1046" s="64">
        <v>382</v>
      </c>
    </row>
    <row r="1047" spans="1:10" ht="30" customHeight="1">
      <c r="A1047" s="60"/>
      <c r="B1047" s="61"/>
      <c r="D1047" s="86">
        <v>16</v>
      </c>
      <c r="E1047" s="84">
        <f>INDEX('حذف از تولید و لیست اصلی'!B:B,MATCH('کاتالوگ مبلمان'!J1047,'حذف از تولید و لیست اصلی'!I:I,0))</f>
        <v>2170020401</v>
      </c>
      <c r="F1047" s="180" t="str">
        <f>INDEX('حذف از تولید و لیست اصلی'!C:C,MATCH('کاتالوگ مبلمان'!J1047,'حذف از تولید و لیست اصلی'!I:I,0))</f>
        <v xml:space="preserve"> پرده تخت مرانتی</v>
      </c>
      <c r="G1047" s="181"/>
      <c r="H1047" s="182"/>
      <c r="I1047" s="85">
        <f>INDEX('حذف از تولید و لیست اصلی'!E:E,MATCH('کاتالوگ مبلمان'!J1047,'حذف از تولید و لیست اصلی'!I:I,0))</f>
        <v>212000000</v>
      </c>
      <c r="J1047" s="64">
        <v>383</v>
      </c>
    </row>
    <row r="1048" spans="1:10" ht="30" customHeight="1">
      <c r="A1048" s="60"/>
      <c r="B1048" s="61"/>
      <c r="D1048" s="86">
        <v>17</v>
      </c>
      <c r="E1048" s="84">
        <f>INDEX('حذف از تولید و لیست اصلی'!B:B,MATCH('کاتالوگ مبلمان'!J1048,'حذف از تولید و لیست اصلی'!I:I,0))</f>
        <v>0</v>
      </c>
      <c r="F1048" s="180" t="str">
        <f>INDEX('حذف از تولید و لیست اصلی'!C:C,MATCH('کاتالوگ مبلمان'!J1048,'حذف از تولید و لیست اصلی'!I:I,0))</f>
        <v>متراژ پارچه صندلی میز آرایش مرانتی</v>
      </c>
      <c r="G1048" s="181"/>
      <c r="H1048" s="182"/>
      <c r="I1048" s="85">
        <f>INDEX('حذف از تولید و لیست اصلی'!E:E,MATCH('کاتالوگ مبلمان'!J1048,'حذف از تولید و لیست اصلی'!I:I,0))</f>
        <v>0</v>
      </c>
      <c r="J1048" s="64">
        <v>384</v>
      </c>
    </row>
    <row r="1049" spans="1:10" ht="30" customHeight="1">
      <c r="A1049" s="60"/>
      <c r="B1049" s="61"/>
      <c r="D1049" s="86">
        <v>18</v>
      </c>
      <c r="E1049" s="84">
        <f>INDEX('حذف از تولید و لیست اصلی'!B:B,MATCH('کاتالوگ مبلمان'!J1049,'حذف از تولید و لیست اصلی'!I:I,0))</f>
        <v>0</v>
      </c>
      <c r="F1049" s="180" t="str">
        <f>INDEX('حذف از تولید و لیست اصلی'!C:C,MATCH('کاتالوگ مبلمان'!J1049,'حذف از تولید و لیست اصلی'!I:I,0))</f>
        <v>متراژ پارچه لاوست دسته‌دار مرانتی</v>
      </c>
      <c r="G1049" s="181"/>
      <c r="H1049" s="182"/>
      <c r="I1049" s="85">
        <f>INDEX('حذف از تولید و لیست اصلی'!E:E,MATCH('کاتالوگ مبلمان'!J1049,'حذف از تولید و لیست اصلی'!I:I,0))</f>
        <v>0</v>
      </c>
      <c r="J1049" s="64">
        <v>385</v>
      </c>
    </row>
    <row r="1050" spans="1:10" ht="30" customHeight="1">
      <c r="A1050" s="60"/>
      <c r="B1050" s="61"/>
      <c r="D1050" s="181" t="str">
        <f>INDEX('حذف از تولید و لیست اصلی'!A:A,MATCH('کاتالوگ مبلمان'!J1050,'حذف از تولید و لیست اصلی'!I:I,0))</f>
        <v xml:space="preserve">نکته مهم : تخت خواب مرانتی با سرتخت حلقه ای می باشد </v>
      </c>
      <c r="E1050" s="181"/>
      <c r="F1050" s="181"/>
      <c r="G1050" s="181"/>
      <c r="H1050" s="181"/>
      <c r="I1050" s="181"/>
      <c r="J1050" s="64">
        <v>386</v>
      </c>
    </row>
    <row r="1051" spans="1:10">
      <c r="A1051" s="60"/>
      <c r="B1051" s="61"/>
      <c r="I1051" s="74">
        <v>45</v>
      </c>
    </row>
    <row r="1052" spans="1:10" ht="22.5" customHeight="1">
      <c r="A1052" s="70"/>
      <c r="B1052" s="71"/>
      <c r="C1052" s="183"/>
      <c r="D1052" s="184"/>
      <c r="E1052" s="184"/>
      <c r="F1052" s="184"/>
      <c r="G1052" s="184"/>
      <c r="H1052" s="184"/>
      <c r="I1052" s="184"/>
    </row>
    <row r="1053" spans="1:10" ht="22.5" customHeight="1">
      <c r="A1053" s="70"/>
      <c r="B1053" s="71"/>
      <c r="C1053" s="183"/>
      <c r="D1053" s="184"/>
      <c r="E1053" s="184"/>
      <c r="F1053" s="184"/>
      <c r="G1053" s="184"/>
      <c r="H1053" s="184"/>
      <c r="I1053" s="184"/>
    </row>
    <row r="1054" spans="1:10" ht="27.75">
      <c r="A1054" s="70"/>
      <c r="B1054" s="71"/>
      <c r="C1054" s="72"/>
      <c r="D1054" s="67" t="s">
        <v>1122</v>
      </c>
      <c r="E1054" s="67"/>
      <c r="F1054" s="67"/>
      <c r="I1054" s="68" t="str">
        <f>$M$1</f>
        <v>1405/02/01</v>
      </c>
    </row>
    <row r="1055" spans="1:10" ht="45" customHeight="1">
      <c r="A1055" s="70"/>
      <c r="B1055" s="71"/>
      <c r="C1055" s="77"/>
      <c r="D1055" s="87" t="s">
        <v>0</v>
      </c>
      <c r="E1055" s="88" t="s">
        <v>1</v>
      </c>
      <c r="F1055" s="177" t="s">
        <v>448</v>
      </c>
      <c r="G1055" s="178"/>
      <c r="H1055" s="179"/>
      <c r="I1055" s="89" t="s">
        <v>251</v>
      </c>
    </row>
    <row r="1056" spans="1:10" ht="54" customHeight="1">
      <c r="A1056" s="60"/>
      <c r="B1056" s="61"/>
      <c r="D1056" s="84">
        <v>1</v>
      </c>
      <c r="E1056" s="84" t="str">
        <f>INDEX('حذف از تولید و لیست اصلی'!B:B,MATCH('کاتالوگ مبلمان'!J1056,'حذف از تولید و لیست اصلی'!I:I,0))</f>
        <v>2130082500</v>
      </c>
      <c r="F1056" s="180" t="str">
        <f>INDEX('حذف از تولید و لیست اصلی'!C:C,MATCH('کاتالوگ مبلمان'!J1056,'حذف از تولید و لیست اصلی'!I:I,0))</f>
        <v xml:space="preserve">  تخت خواب دو نفره واوونا /180</v>
      </c>
      <c r="G1056" s="181"/>
      <c r="H1056" s="182"/>
      <c r="I1056" s="85">
        <f>INDEX('حذف از تولید و لیست اصلی'!E:E,MATCH('کاتالوگ مبلمان'!J1056,'حذف از تولید و لیست اصلی'!I:I,0))</f>
        <v>1634000000</v>
      </c>
      <c r="J1056" s="64">
        <v>387</v>
      </c>
    </row>
    <row r="1057" spans="1:10" ht="54" customHeight="1">
      <c r="A1057" s="60"/>
      <c r="B1057" s="61"/>
      <c r="C1057" s="78"/>
      <c r="D1057" s="86">
        <v>2</v>
      </c>
      <c r="E1057" s="84" t="str">
        <f>INDEX('حذف از تولید و لیست اصلی'!B:B,MATCH('کاتالوگ مبلمان'!J1057,'حذف از تولید و لیست اصلی'!I:I,0))</f>
        <v>2130082400</v>
      </c>
      <c r="F1057" s="180" t="str">
        <f>INDEX('حذف از تولید و لیست اصلی'!C:C,MATCH('کاتالوگ مبلمان'!J1057,'حذف از تولید و لیست اصلی'!I:I,0))</f>
        <v xml:space="preserve">  تخت خواب دو نفره واوونا /160</v>
      </c>
      <c r="G1057" s="181"/>
      <c r="H1057" s="182"/>
      <c r="I1057" s="85">
        <f>INDEX('حذف از تولید و لیست اصلی'!E:E,MATCH('کاتالوگ مبلمان'!J1057,'حذف از تولید و لیست اصلی'!I:I,0))</f>
        <v>1501000000</v>
      </c>
      <c r="J1057" s="64">
        <v>388</v>
      </c>
    </row>
    <row r="1058" spans="1:10" ht="54" customHeight="1">
      <c r="A1058" s="60"/>
      <c r="B1058" s="61"/>
      <c r="D1058" s="86">
        <v>3</v>
      </c>
      <c r="E1058" s="84" t="str">
        <f>INDEX('حذف از تولید و لیست اصلی'!B:B,MATCH('کاتالوگ مبلمان'!J1058,'حذف از تولید و لیست اصلی'!I:I,0))</f>
        <v>2130080100</v>
      </c>
      <c r="F1058" s="180" t="str">
        <f>INDEX('حذف از تولید و لیست اصلی'!C:C,MATCH('کاتالوگ مبلمان'!J1058,'حذف از تولید و لیست اصلی'!I:I,0))</f>
        <v xml:space="preserve">دراور میز آرایش اصلی واوونا </v>
      </c>
      <c r="G1058" s="181"/>
      <c r="H1058" s="182"/>
      <c r="I1058" s="85">
        <f>INDEX('حذف از تولید و لیست اصلی'!E:E,MATCH('کاتالوگ مبلمان'!J1058,'حذف از تولید و لیست اصلی'!I:I,0))</f>
        <v>1534000000</v>
      </c>
      <c r="J1058" s="64">
        <v>389</v>
      </c>
    </row>
    <row r="1059" spans="1:10" ht="54" customHeight="1">
      <c r="A1059" s="60"/>
      <c r="B1059" s="61"/>
      <c r="D1059" s="86">
        <v>4</v>
      </c>
      <c r="E1059" s="84" t="str">
        <f>INDEX('حذف از تولید و لیست اصلی'!B:B,MATCH('کاتالوگ مبلمان'!J1059,'حذف از تولید و لیست اصلی'!I:I,0))</f>
        <v>2130080600</v>
      </c>
      <c r="F1059" s="180" t="str">
        <f>INDEX('حذف از تولید و لیست اصلی'!C:C,MATCH('کاتالوگ مبلمان'!J1059,'حذف از تولید و لیست اصلی'!I:I,0))</f>
        <v xml:space="preserve">  قاب آیینه میز آرایش واوونا </v>
      </c>
      <c r="G1059" s="181"/>
      <c r="H1059" s="182"/>
      <c r="I1059" s="85">
        <f>INDEX('حذف از تولید و لیست اصلی'!E:E,MATCH('کاتالوگ مبلمان'!J1059,'حذف از تولید و لیست اصلی'!I:I,0))</f>
        <v>315000000</v>
      </c>
      <c r="J1059" s="64">
        <v>390</v>
      </c>
    </row>
    <row r="1060" spans="1:10" ht="54" customHeight="1">
      <c r="A1060" s="60"/>
      <c r="B1060" s="61"/>
      <c r="D1060" s="86">
        <v>5</v>
      </c>
      <c r="E1060" s="84" t="str">
        <f>INDEX('حذف از تولید و لیست اصلی'!B:B,MATCH('کاتالوگ مبلمان'!J1060,'حذف از تولید و لیست اصلی'!I:I,0))</f>
        <v>2130080800</v>
      </c>
      <c r="F1060" s="180" t="str">
        <f>INDEX('حذف از تولید و لیست اصلی'!C:C,MATCH('کاتالوگ مبلمان'!J1060,'حذف از تولید و لیست اصلی'!I:I,0))</f>
        <v xml:space="preserve">  صندلی  میز آرایش واوونا</v>
      </c>
      <c r="G1060" s="181"/>
      <c r="H1060" s="182"/>
      <c r="I1060" s="85">
        <f>INDEX('حذف از تولید و لیست اصلی'!E:E,MATCH('کاتالوگ مبلمان'!J1060,'حذف از تولید و لیست اصلی'!I:I,0))</f>
        <v>98000000</v>
      </c>
      <c r="J1060" s="64">
        <v>391</v>
      </c>
    </row>
    <row r="1061" spans="1:10" ht="54" customHeight="1">
      <c r="A1061" s="60"/>
      <c r="B1061" s="61"/>
      <c r="D1061" s="86">
        <v>6</v>
      </c>
      <c r="E1061" s="84" t="str">
        <f>INDEX('حذف از تولید و لیست اصلی'!B:B,MATCH('کاتالوگ مبلمان'!J1061,'حذف از تولید و لیست اصلی'!I:I,0))</f>
        <v>2130080400</v>
      </c>
      <c r="F1061" s="180" t="str">
        <f>INDEX('حذف از تولید و لیست اصلی'!C:C,MATCH('کاتالوگ مبلمان'!J1061,'حذف از تولید و لیست اصلی'!I:I,0))</f>
        <v xml:space="preserve">  پاتختی واوونا</v>
      </c>
      <c r="G1061" s="181"/>
      <c r="H1061" s="182"/>
      <c r="I1061" s="85">
        <f>INDEX('حذف از تولید و لیست اصلی'!E:E,MATCH('کاتالوگ مبلمان'!J1061,'حذف از تولید و لیست اصلی'!I:I,0))</f>
        <v>383000000</v>
      </c>
      <c r="J1061" s="64">
        <v>392</v>
      </c>
    </row>
    <row r="1062" spans="1:10" ht="54" customHeight="1">
      <c r="A1062" s="60"/>
      <c r="B1062" s="61"/>
      <c r="D1062" s="86">
        <v>7</v>
      </c>
      <c r="E1062" s="84" t="str">
        <f>INDEX('حذف از تولید و لیست اصلی'!B:B,MATCH('کاتالوگ مبلمان'!J1062,'حذف از تولید و لیست اصلی'!I:I,0))</f>
        <v>2130080500</v>
      </c>
      <c r="F1062" s="180" t="str">
        <f>INDEX('حذف از تولید و لیست اصلی'!C:C,MATCH('کاتالوگ مبلمان'!J1062,'حذف از تولید و لیست اصلی'!I:I,0))</f>
        <v xml:space="preserve">  دراورپنج کشو واوونا</v>
      </c>
      <c r="G1062" s="181"/>
      <c r="H1062" s="182"/>
      <c r="I1062" s="85">
        <f>INDEX('حذف از تولید و لیست اصلی'!E:E,MATCH('کاتالوگ مبلمان'!J1062,'حذف از تولید و لیست اصلی'!I:I,0))</f>
        <v>1128000000</v>
      </c>
      <c r="J1062" s="64">
        <v>393</v>
      </c>
    </row>
    <row r="1063" spans="1:10" ht="54" customHeight="1">
      <c r="A1063" s="60"/>
      <c r="B1063" s="61"/>
      <c r="D1063" s="86">
        <v>8</v>
      </c>
      <c r="E1063" s="84" t="str">
        <f>INDEX('حذف از تولید و لیست اصلی'!B:B,MATCH('کاتالوگ مبلمان'!J1063,'حذف از تولید و لیست اصلی'!I:I,0))</f>
        <v>-</v>
      </c>
      <c r="F1063" s="180" t="str">
        <f>INDEX('حذف از تولید و لیست اصلی'!C:C,MATCH('کاتالوگ مبلمان'!J1063,'حذف از تولید و لیست اصلی'!I:I,0))</f>
        <v xml:space="preserve">  متراژ پارچه تخت -180/160</v>
      </c>
      <c r="G1063" s="181"/>
      <c r="H1063" s="182"/>
      <c r="I1063" s="85" t="str">
        <f>INDEX('حذف از تولید و لیست اصلی'!E:E,MATCH('کاتالوگ مبلمان'!J1063,'حذف از تولید و لیست اصلی'!I:I,0))</f>
        <v>3/5متر</v>
      </c>
      <c r="J1063" s="64">
        <v>394</v>
      </c>
    </row>
    <row r="1064" spans="1:10" ht="54" customHeight="1">
      <c r="A1064" s="60"/>
      <c r="B1064" s="61"/>
      <c r="D1064" s="86">
        <v>9</v>
      </c>
      <c r="E1064" s="84" t="str">
        <f>INDEX('حذف از تولید و لیست اصلی'!B:B,MATCH('کاتالوگ مبلمان'!J1064,'حذف از تولید و لیست اصلی'!I:I,0))</f>
        <v>-</v>
      </c>
      <c r="F1064" s="180" t="str">
        <f>INDEX('حذف از تولید و لیست اصلی'!C:C,MATCH('کاتالوگ مبلمان'!J1064,'حذف از تولید و لیست اصلی'!I:I,0))</f>
        <v xml:space="preserve">  متراژ پارچه صندلی میز آرایش</v>
      </c>
      <c r="G1064" s="181"/>
      <c r="H1064" s="182"/>
      <c r="I1064" s="85" t="str">
        <f>INDEX('حذف از تولید و لیست اصلی'!E:E,MATCH('کاتالوگ مبلمان'!J1064,'حذف از تولید و لیست اصلی'!I:I,0))</f>
        <v>0.6متر</v>
      </c>
      <c r="J1064" s="64">
        <v>395</v>
      </c>
    </row>
    <row r="1065" spans="1:10">
      <c r="A1065" s="60"/>
      <c r="B1065" s="61"/>
      <c r="D1065"/>
      <c r="E1065"/>
      <c r="F1065"/>
      <c r="G1065"/>
      <c r="H1065"/>
      <c r="I1065"/>
    </row>
    <row r="1066" spans="1:10">
      <c r="A1066" s="60"/>
      <c r="B1066" s="61"/>
      <c r="D1066"/>
      <c r="E1066"/>
      <c r="F1066"/>
      <c r="G1066"/>
      <c r="H1066"/>
      <c r="I1066"/>
    </row>
    <row r="1067" spans="1:10">
      <c r="A1067" s="60"/>
      <c r="B1067" s="61"/>
      <c r="D1067"/>
      <c r="E1067"/>
      <c r="F1067"/>
      <c r="G1067"/>
      <c r="H1067"/>
      <c r="I1067"/>
    </row>
    <row r="1068" spans="1:10">
      <c r="A1068" s="60"/>
      <c r="B1068" s="61"/>
      <c r="D1068"/>
      <c r="E1068"/>
      <c r="F1068"/>
      <c r="G1068"/>
      <c r="H1068"/>
      <c r="I1068"/>
    </row>
    <row r="1069" spans="1:10">
      <c r="A1069" s="60"/>
      <c r="B1069" s="61"/>
      <c r="D1069"/>
      <c r="E1069"/>
      <c r="F1069"/>
      <c r="G1069"/>
      <c r="H1069"/>
      <c r="I1069"/>
    </row>
    <row r="1070" spans="1:10">
      <c r="A1070" s="60"/>
      <c r="B1070" s="61"/>
      <c r="I1070" s="74">
        <v>46</v>
      </c>
    </row>
    <row r="1071" spans="1:10" ht="22.5" customHeight="1">
      <c r="A1071" s="70"/>
      <c r="B1071" s="71"/>
      <c r="C1071" s="183"/>
      <c r="D1071" s="184"/>
      <c r="E1071" s="184"/>
      <c r="F1071" s="184"/>
      <c r="G1071" s="184"/>
      <c r="H1071" s="184"/>
      <c r="I1071" s="184"/>
    </row>
    <row r="1072" spans="1:10" ht="22.5" customHeight="1">
      <c r="A1072" s="70"/>
      <c r="B1072" s="71"/>
      <c r="C1072" s="183"/>
      <c r="D1072" s="184"/>
      <c r="E1072" s="184"/>
      <c r="F1072" s="184"/>
      <c r="G1072" s="184"/>
      <c r="H1072" s="184"/>
      <c r="I1072" s="184"/>
    </row>
    <row r="1073" spans="1:10" ht="27.75">
      <c r="A1073" s="70"/>
      <c r="B1073" s="71"/>
      <c r="C1073" s="72"/>
      <c r="D1073" s="67" t="s">
        <v>1123</v>
      </c>
      <c r="E1073" s="67"/>
      <c r="F1073" s="67"/>
      <c r="I1073" s="68" t="str">
        <f>$M$1</f>
        <v>1405/02/01</v>
      </c>
    </row>
    <row r="1074" spans="1:10" ht="48.75" customHeight="1">
      <c r="A1074" s="70"/>
      <c r="B1074" s="71"/>
      <c r="C1074" s="77"/>
      <c r="D1074" s="87" t="s">
        <v>0</v>
      </c>
      <c r="E1074" s="88" t="s">
        <v>1</v>
      </c>
      <c r="F1074" s="177" t="s">
        <v>448</v>
      </c>
      <c r="G1074" s="178"/>
      <c r="H1074" s="179"/>
      <c r="I1074" s="89" t="s">
        <v>251</v>
      </c>
    </row>
    <row r="1075" spans="1:10" ht="46.5" customHeight="1">
      <c r="A1075" s="60"/>
      <c r="B1075" s="61"/>
      <c r="D1075" s="84">
        <v>1</v>
      </c>
      <c r="E1075" s="84">
        <f>INDEX('حذف از تولید و لیست اصلی'!B:B,MATCH('کاتالوگ مبلمان'!J1075,'حذف از تولید و لیست اصلی'!I:I,0))</f>
        <v>21301025</v>
      </c>
      <c r="F1075" s="180" t="str">
        <f>INDEX('حذف از تولید و لیست اصلی'!C:C,MATCH('کاتالوگ مبلمان'!J1075,'حذف از تولید و لیست اصلی'!I:I,0))</f>
        <v xml:space="preserve">  تخت خواب دو نفره پارانا / 180  </v>
      </c>
      <c r="G1075" s="181"/>
      <c r="H1075" s="182"/>
      <c r="I1075" s="85">
        <f>INDEX('حذف از تولید و لیست اصلی'!E:E,MATCH('کاتالوگ مبلمان'!J1075,'حذف از تولید و لیست اصلی'!I:I,0))</f>
        <v>2713000000</v>
      </c>
      <c r="J1075" s="64">
        <v>396</v>
      </c>
    </row>
    <row r="1076" spans="1:10" ht="46.5" customHeight="1">
      <c r="A1076" s="60"/>
      <c r="B1076" s="61"/>
      <c r="C1076" s="78"/>
      <c r="D1076" s="86">
        <v>2</v>
      </c>
      <c r="E1076" s="84">
        <f>INDEX('حذف از تولید و لیست اصلی'!B:B,MATCH('کاتالوگ مبلمان'!J1076,'حذف از تولید و لیست اصلی'!I:I,0))</f>
        <v>21301024</v>
      </c>
      <c r="F1076" s="180" t="str">
        <f>INDEX('حذف از تولید و لیست اصلی'!C:C,MATCH('کاتالوگ مبلمان'!J1076,'حذف از تولید و لیست اصلی'!I:I,0))</f>
        <v xml:space="preserve">  تخت خواب دو نفره پارانا / 160  </v>
      </c>
      <c r="G1076" s="181"/>
      <c r="H1076" s="182"/>
      <c r="I1076" s="85">
        <f>INDEX('حذف از تولید و لیست اصلی'!E:E,MATCH('کاتالوگ مبلمان'!J1076,'حذف از تولید و لیست اصلی'!I:I,0))</f>
        <v>2449000000</v>
      </c>
      <c r="J1076" s="64">
        <v>397</v>
      </c>
    </row>
    <row r="1077" spans="1:10" ht="46.5" customHeight="1">
      <c r="A1077" s="60"/>
      <c r="B1077" s="61"/>
      <c r="D1077" s="86">
        <v>3</v>
      </c>
      <c r="E1077" s="84">
        <f>INDEX('حذف از تولید و لیست اصلی'!B:B,MATCH('کاتالوگ مبلمان'!J1077,'حذف از تولید و لیست اصلی'!I:I,0))</f>
        <v>21301023</v>
      </c>
      <c r="F1077" s="180" t="str">
        <f>INDEX('حذف از تولید و لیست اصلی'!C:C,MATCH('کاتالوگ مبلمان'!J1077,'حذف از تولید و لیست اصلی'!I:I,0))</f>
        <v xml:space="preserve">  تخت خواب دو نفره پارانا / 140  </v>
      </c>
      <c r="G1077" s="181"/>
      <c r="H1077" s="182"/>
      <c r="I1077" s="85">
        <f>INDEX('حذف از تولید و لیست اصلی'!E:E,MATCH('کاتالوگ مبلمان'!J1077,'حذف از تولید و لیست اصلی'!I:I,0))</f>
        <v>2162000000</v>
      </c>
      <c r="J1077" s="64">
        <v>398</v>
      </c>
    </row>
    <row r="1078" spans="1:10" ht="46.5" customHeight="1">
      <c r="A1078" s="60"/>
      <c r="B1078" s="61"/>
      <c r="D1078" s="86">
        <v>4</v>
      </c>
      <c r="E1078" s="84">
        <f>INDEX('حذف از تولید و لیست اصلی'!B:B,MATCH('کاتالوگ مبلمان'!J1078,'حذف از تولید و لیست اصلی'!I:I,0))</f>
        <v>21301022</v>
      </c>
      <c r="F1078" s="180" t="str">
        <f>INDEX('حذف از تولید و لیست اصلی'!C:C,MATCH('کاتالوگ مبلمان'!J1078,'حذف از تولید و لیست اصلی'!I:I,0))</f>
        <v xml:space="preserve">  تخت خواب دو نفره پارانا / 120  </v>
      </c>
      <c r="G1078" s="181"/>
      <c r="H1078" s="182"/>
      <c r="I1078" s="85">
        <f>INDEX('حذف از تولید و لیست اصلی'!E:E,MATCH('کاتالوگ مبلمان'!J1078,'حذف از تولید و لیست اصلی'!I:I,0))</f>
        <v>1835000000</v>
      </c>
      <c r="J1078" s="64">
        <v>399</v>
      </c>
    </row>
    <row r="1079" spans="1:10" ht="46.5" customHeight="1">
      <c r="A1079" s="60"/>
      <c r="B1079" s="61"/>
      <c r="D1079" s="86">
        <v>5</v>
      </c>
      <c r="E1079" s="84">
        <f>INDEX('حذف از تولید و لیست اصلی'!B:B,MATCH('کاتالوگ مبلمان'!J1079,'حذف از تولید و لیست اصلی'!I:I,0))</f>
        <v>21301021</v>
      </c>
      <c r="F1079" s="180" t="str">
        <f>INDEX('حذف از تولید و لیست اصلی'!C:C,MATCH('کاتالوگ مبلمان'!J1079,'حذف از تولید و لیست اصلی'!I:I,0))</f>
        <v xml:space="preserve">  تخت خواب دو نفره پارانا / 90  </v>
      </c>
      <c r="G1079" s="181"/>
      <c r="H1079" s="182"/>
      <c r="I1079" s="85">
        <f>INDEX('حذف از تولید و لیست اصلی'!E:E,MATCH('کاتالوگ مبلمان'!J1079,'حذف از تولید و لیست اصلی'!I:I,0))</f>
        <v>1426000000</v>
      </c>
      <c r="J1079" s="64">
        <v>400</v>
      </c>
    </row>
    <row r="1080" spans="1:10" ht="46.5" customHeight="1">
      <c r="A1080" s="60"/>
      <c r="B1080" s="61"/>
      <c r="D1080" s="86">
        <v>6</v>
      </c>
      <c r="E1080" s="84">
        <f>INDEX('حذف از تولید و لیست اصلی'!B:B,MATCH('کاتالوگ مبلمان'!J1080,'حذف از تولید و لیست اصلی'!I:I,0))</f>
        <v>21301001</v>
      </c>
      <c r="F1080" s="180" t="str">
        <f>INDEX('حذف از تولید و لیست اصلی'!C:C,MATCH('کاتالوگ مبلمان'!J1080,'حذف از تولید و لیست اصلی'!I:I,0))</f>
        <v xml:space="preserve">  دراور میز آرایش اصلی پارانا</v>
      </c>
      <c r="G1080" s="181"/>
      <c r="H1080" s="182"/>
      <c r="I1080" s="85">
        <f>INDEX('حذف از تولید و لیست اصلی'!E:E,MATCH('کاتالوگ مبلمان'!J1080,'حذف از تولید و لیست اصلی'!I:I,0))</f>
        <v>1967000000</v>
      </c>
      <c r="J1080" s="64">
        <v>401</v>
      </c>
    </row>
    <row r="1081" spans="1:10" ht="46.5" customHeight="1">
      <c r="A1081" s="60"/>
      <c r="B1081" s="61"/>
      <c r="D1081" s="86">
        <v>7</v>
      </c>
      <c r="E1081" s="84">
        <f>INDEX('حذف از تولید و لیست اصلی'!B:B,MATCH('کاتالوگ مبلمان'!J1081,'حذف از تولید و لیست اصلی'!I:I,0))</f>
        <v>21301003</v>
      </c>
      <c r="F1081" s="180" t="str">
        <f>INDEX('حذف از تولید و لیست اصلی'!C:C,MATCH('کاتالوگ مبلمان'!J1081,'حذف از تولید و لیست اصلی'!I:I,0))</f>
        <v xml:space="preserve">  دراور میز آرایش کنسولی پارانا</v>
      </c>
      <c r="G1081" s="181"/>
      <c r="H1081" s="182"/>
      <c r="I1081" s="85">
        <f>INDEX('حذف از تولید و لیست اصلی'!E:E,MATCH('کاتالوگ مبلمان'!J1081,'حذف از تولید و لیست اصلی'!I:I,0))</f>
        <v>1611000000</v>
      </c>
      <c r="J1081" s="64">
        <v>402</v>
      </c>
    </row>
    <row r="1082" spans="1:10" ht="46.5" customHeight="1">
      <c r="A1082" s="60"/>
      <c r="B1082" s="61"/>
      <c r="D1082" s="86">
        <v>8</v>
      </c>
      <c r="E1082" s="84">
        <f>INDEX('حذف از تولید و لیست اصلی'!B:B,MATCH('کاتالوگ مبلمان'!J1082,'حذف از تولید و لیست اصلی'!I:I,0))</f>
        <v>21301006</v>
      </c>
      <c r="F1082" s="180" t="str">
        <f>INDEX('حذف از تولید و لیست اصلی'!C:C,MATCH('کاتالوگ مبلمان'!J1082,'حذف از تولید و لیست اصلی'!I:I,0))</f>
        <v xml:space="preserve">  قاب آینه اصلی پارانا</v>
      </c>
      <c r="G1082" s="181"/>
      <c r="H1082" s="182"/>
      <c r="I1082" s="85">
        <f>INDEX('حذف از تولید و لیست اصلی'!E:E,MATCH('کاتالوگ مبلمان'!J1082,'حذف از تولید و لیست اصلی'!I:I,0))</f>
        <v>377000000</v>
      </c>
      <c r="J1082" s="64">
        <v>403</v>
      </c>
    </row>
    <row r="1083" spans="1:10" ht="46.5" customHeight="1">
      <c r="A1083" s="60"/>
      <c r="B1083" s="61"/>
      <c r="D1083" s="86">
        <v>9</v>
      </c>
      <c r="E1083" s="84">
        <f>INDEX('حذف از تولید و لیست اصلی'!B:B,MATCH('کاتالوگ مبلمان'!J1083,'حذف از تولید و لیست اصلی'!I:I,0))</f>
        <v>21301008</v>
      </c>
      <c r="F1083" s="180" t="str">
        <f>INDEX('حذف از تولید و لیست اصلی'!C:C,MATCH('کاتالوگ مبلمان'!J1083,'حذف از تولید و لیست اصلی'!I:I,0))</f>
        <v>صندلی میز آرایش پارانا</v>
      </c>
      <c r="G1083" s="181"/>
      <c r="H1083" s="182"/>
      <c r="I1083" s="85">
        <f>INDEX('حذف از تولید و لیست اصلی'!E:E,MATCH('کاتالوگ مبلمان'!J1083,'حذف از تولید و لیست اصلی'!I:I,0))</f>
        <v>238000000</v>
      </c>
      <c r="J1083" s="64">
        <v>404</v>
      </c>
    </row>
    <row r="1084" spans="1:10" ht="46.5" customHeight="1">
      <c r="A1084" s="60"/>
      <c r="B1084" s="61"/>
      <c r="D1084" s="86">
        <v>10</v>
      </c>
      <c r="E1084" s="84">
        <f>INDEX('حذف از تولید و لیست اصلی'!B:B,MATCH('کاتالوگ مبلمان'!J1084,'حذف از تولید و لیست اصلی'!I:I,0))</f>
        <v>21301004</v>
      </c>
      <c r="F1084" s="180" t="str">
        <f>INDEX('حذف از تولید و لیست اصلی'!C:C,MATCH('کاتالوگ مبلمان'!J1084,'حذف از تولید و لیست اصلی'!I:I,0))</f>
        <v xml:space="preserve">  پاتختی پارانا</v>
      </c>
      <c r="G1084" s="181"/>
      <c r="H1084" s="182"/>
      <c r="I1084" s="85">
        <f>INDEX('حذف از تولید و لیست اصلی'!E:E,MATCH('کاتالوگ مبلمان'!J1084,'حذف از تولید و لیست اصلی'!I:I,0))</f>
        <v>912000000</v>
      </c>
      <c r="J1084" s="64">
        <v>405</v>
      </c>
    </row>
    <row r="1085" spans="1:10" ht="46.5" customHeight="1">
      <c r="A1085" s="60"/>
      <c r="B1085" s="61"/>
      <c r="D1085" s="86">
        <v>11</v>
      </c>
      <c r="E1085" s="84">
        <f>INDEX('حذف از تولید و لیست اصلی'!B:B,MATCH('کاتالوگ مبلمان'!J1085,'حذف از تولید و لیست اصلی'!I:I,0))</f>
        <v>21301005</v>
      </c>
      <c r="F1085" s="180" t="str">
        <f>INDEX('حذف از تولید و لیست اصلی'!C:C,MATCH('کاتالوگ مبلمان'!J1085,'حذف از تولید و لیست اصلی'!I:I,0))</f>
        <v>دراور شش کشو پارانا</v>
      </c>
      <c r="G1085" s="181"/>
      <c r="H1085" s="182"/>
      <c r="I1085" s="85">
        <f>INDEX('حذف از تولید و لیست اصلی'!E:E,MATCH('کاتالوگ مبلمان'!J1085,'حذف از تولید و لیست اصلی'!I:I,0))</f>
        <v>1719000000</v>
      </c>
      <c r="J1085" s="64">
        <v>406</v>
      </c>
    </row>
    <row r="1086" spans="1:10" ht="46.5" customHeight="1">
      <c r="A1086" s="60"/>
      <c r="B1086" s="61"/>
      <c r="D1086" s="86">
        <v>12</v>
      </c>
      <c r="E1086" s="84">
        <f>INDEX('حذف از تولید و لیست اصلی'!B:B,MATCH('کاتالوگ مبلمان'!J1086,'حذف از تولید و لیست اصلی'!I:I,0))</f>
        <v>21301009</v>
      </c>
      <c r="F1086" s="180" t="str">
        <f>INDEX('حذف از تولید و لیست اصلی'!C:C,MATCH('کاتالوگ مبلمان'!J1086,'حذف از تولید و لیست اصلی'!I:I,0))</f>
        <v>لاوست پارانا</v>
      </c>
      <c r="G1086" s="181"/>
      <c r="H1086" s="182"/>
      <c r="I1086" s="85">
        <f>INDEX('حذف از تولید و لیست اصلی'!E:E,MATCH('کاتالوگ مبلمان'!J1086,'حذف از تولید و لیست اصلی'!I:I,0))</f>
        <v>284000000</v>
      </c>
      <c r="J1086" s="64">
        <v>407</v>
      </c>
    </row>
    <row r="1087" spans="1:10">
      <c r="A1087" s="60"/>
      <c r="B1087" s="61"/>
      <c r="D1087"/>
      <c r="E1087"/>
      <c r="F1087"/>
      <c r="G1087"/>
      <c r="H1087"/>
      <c r="I1087"/>
    </row>
    <row r="1088" spans="1:10">
      <c r="A1088" s="60"/>
      <c r="B1088" s="61"/>
      <c r="I1088" s="74">
        <v>47</v>
      </c>
    </row>
    <row r="1089" spans="1:10" ht="22.5" customHeight="1">
      <c r="A1089" s="70"/>
      <c r="B1089" s="71"/>
      <c r="C1089" s="183"/>
      <c r="D1089" s="184"/>
      <c r="E1089" s="184"/>
      <c r="F1089" s="184"/>
      <c r="G1089" s="184"/>
      <c r="H1089" s="184"/>
      <c r="I1089" s="184"/>
    </row>
    <row r="1090" spans="1:10" ht="22.5" customHeight="1">
      <c r="A1090" s="70"/>
      <c r="B1090" s="71"/>
      <c r="C1090" s="183"/>
      <c r="D1090" s="184"/>
      <c r="E1090" s="184"/>
      <c r="F1090" s="184"/>
      <c r="G1090" s="184"/>
      <c r="H1090" s="184"/>
      <c r="I1090" s="184"/>
    </row>
    <row r="1091" spans="1:10" ht="27.75">
      <c r="A1091" s="70"/>
      <c r="B1091" s="71"/>
      <c r="C1091" s="72"/>
      <c r="D1091" s="67" t="s">
        <v>1124</v>
      </c>
      <c r="E1091" s="67"/>
      <c r="F1091" s="67"/>
      <c r="I1091" s="68" t="str">
        <f>$M$1</f>
        <v>1405/02/01</v>
      </c>
    </row>
    <row r="1092" spans="1:10" ht="48.75" customHeight="1">
      <c r="A1092" s="70"/>
      <c r="B1092" s="71"/>
      <c r="C1092" s="77"/>
      <c r="D1092" s="87" t="s">
        <v>0</v>
      </c>
      <c r="E1092" s="88" t="s">
        <v>1</v>
      </c>
      <c r="F1092" s="177" t="s">
        <v>448</v>
      </c>
      <c r="G1092" s="178"/>
      <c r="H1092" s="179"/>
      <c r="I1092" s="89" t="s">
        <v>251</v>
      </c>
    </row>
    <row r="1093" spans="1:10" ht="52.5" customHeight="1">
      <c r="A1093" s="60"/>
      <c r="B1093" s="61"/>
      <c r="D1093" s="84">
        <v>1</v>
      </c>
      <c r="E1093" s="84" t="str">
        <f>INDEX('حذف از تولید و لیست اصلی'!B:B,MATCH('کاتالوگ مبلمان'!J1093,'حذف از تولید و لیست اصلی'!I:I,0))</f>
        <v>21301225</v>
      </c>
      <c r="F1093" s="180" t="str">
        <f>INDEX('حذف از تولید و لیست اصلی'!C:C,MATCH('کاتالوگ مبلمان'!J1093,'حذف از تولید و لیست اصلی'!I:I,0))</f>
        <v xml:space="preserve">  تخت خواب دو نفره آمارانت / 180  </v>
      </c>
      <c r="G1093" s="181"/>
      <c r="H1093" s="182"/>
      <c r="I1093" s="85">
        <f>INDEX('حذف از تولید و لیست اصلی'!E:E,MATCH('کاتالوگ مبلمان'!J1093,'حذف از تولید و لیست اصلی'!I:I,0))</f>
        <v>5425000000</v>
      </c>
      <c r="J1093" s="64">
        <v>408</v>
      </c>
    </row>
    <row r="1094" spans="1:10" ht="52.5" customHeight="1">
      <c r="A1094" s="60"/>
      <c r="B1094" s="61"/>
      <c r="C1094" s="78"/>
      <c r="D1094" s="86">
        <v>2</v>
      </c>
      <c r="E1094" s="84" t="str">
        <f>INDEX('حذف از تولید و لیست اصلی'!B:B,MATCH('کاتالوگ مبلمان'!J1094,'حذف از تولید و لیست اصلی'!I:I,0))</f>
        <v>21301203</v>
      </c>
      <c r="F1094" s="180" t="str">
        <f>INDEX('حذف از تولید و لیست اصلی'!C:C,MATCH('کاتالوگ مبلمان'!J1094,'حذف از تولید و لیست اصلی'!I:I,0))</f>
        <v xml:space="preserve">  دراور میز آرایش اصلی آمارانت</v>
      </c>
      <c r="G1094" s="181"/>
      <c r="H1094" s="182"/>
      <c r="I1094" s="85">
        <f>INDEX('حذف از تولید و لیست اصلی'!E:E,MATCH('کاتالوگ مبلمان'!J1094,'حذف از تولید و لیست اصلی'!I:I,0))</f>
        <v>3224000000</v>
      </c>
      <c r="J1094" s="64">
        <v>409</v>
      </c>
    </row>
    <row r="1095" spans="1:10" ht="52.5" customHeight="1">
      <c r="A1095" s="60"/>
      <c r="B1095" s="61"/>
      <c r="D1095" s="86">
        <v>3</v>
      </c>
      <c r="E1095" s="84" t="str">
        <f>INDEX('حذف از تولید و لیست اصلی'!B:B,MATCH('کاتالوگ مبلمان'!J1095,'حذف از تولید و لیست اصلی'!I:I,0))</f>
        <v>21301206</v>
      </c>
      <c r="F1095" s="180" t="str">
        <f>INDEX('حذف از تولید و لیست اصلی'!C:C,MATCH('کاتالوگ مبلمان'!J1095,'حذف از تولید و لیست اصلی'!I:I,0))</f>
        <v xml:space="preserve">  قاب آینه اصلی آمارانت</v>
      </c>
      <c r="G1095" s="181"/>
      <c r="H1095" s="182"/>
      <c r="I1095" s="85">
        <f>INDEX('حذف از تولید و لیست اصلی'!E:E,MATCH('کاتالوگ مبلمان'!J1095,'حذف از تولید و لیست اصلی'!I:I,0))</f>
        <v>566000000</v>
      </c>
      <c r="J1095" s="64">
        <v>410</v>
      </c>
    </row>
    <row r="1096" spans="1:10" ht="52.5" customHeight="1">
      <c r="A1096" s="60"/>
      <c r="B1096" s="61"/>
      <c r="D1096" s="86">
        <v>4</v>
      </c>
      <c r="E1096" s="84" t="str">
        <f>INDEX('حذف از تولید و لیست اصلی'!B:B,MATCH('کاتالوگ مبلمان'!J1096,'حذف از تولید و لیست اصلی'!I:I,0))</f>
        <v>21301208</v>
      </c>
      <c r="F1096" s="180" t="str">
        <f>INDEX('حذف از تولید و لیست اصلی'!C:C,MATCH('کاتالوگ مبلمان'!J1096,'حذف از تولید و لیست اصلی'!I:I,0))</f>
        <v>صندلی میز آرایش آمارانت</v>
      </c>
      <c r="G1096" s="181"/>
      <c r="H1096" s="182"/>
      <c r="I1096" s="85">
        <f>INDEX('حذف از تولید و لیست اصلی'!E:E,MATCH('کاتالوگ مبلمان'!J1096,'حذف از تولید و لیست اصلی'!I:I,0))</f>
        <v>400000000</v>
      </c>
      <c r="J1096" s="64">
        <v>411</v>
      </c>
    </row>
    <row r="1097" spans="1:10" ht="52.5" customHeight="1">
      <c r="A1097" s="60"/>
      <c r="B1097" s="61"/>
      <c r="D1097" s="86">
        <v>5</v>
      </c>
      <c r="E1097" s="84" t="str">
        <f>INDEX('حذف از تولید و لیست اصلی'!B:B,MATCH('کاتالوگ مبلمان'!J1097,'حذف از تولید و لیست اصلی'!I:I,0))</f>
        <v>21301204</v>
      </c>
      <c r="F1097" s="180" t="str">
        <f>INDEX('حذف از تولید و لیست اصلی'!C:C,MATCH('کاتالوگ مبلمان'!J1097,'حذف از تولید و لیست اصلی'!I:I,0))</f>
        <v xml:space="preserve">  پاتختی آمارانت</v>
      </c>
      <c r="G1097" s="181"/>
      <c r="H1097" s="182"/>
      <c r="I1097" s="85">
        <f>INDEX('حذف از تولید و لیست اصلی'!E:E,MATCH('کاتالوگ مبلمان'!J1097,'حذف از تولید و لیست اصلی'!I:I,0))</f>
        <v>1048000000</v>
      </c>
      <c r="J1097" s="64">
        <v>412</v>
      </c>
    </row>
    <row r="1098" spans="1:10" ht="52.5" customHeight="1">
      <c r="A1098" s="60"/>
      <c r="B1098" s="61"/>
      <c r="D1098" s="86">
        <v>6</v>
      </c>
      <c r="E1098" s="84" t="str">
        <f>INDEX('حذف از تولید و لیست اصلی'!B:B,MATCH('کاتالوگ مبلمان'!J1098,'حذف از تولید و لیست اصلی'!I:I,0))</f>
        <v>21301205</v>
      </c>
      <c r="F1098" s="180" t="str">
        <f>INDEX('حذف از تولید و لیست اصلی'!C:C,MATCH('کاتالوگ مبلمان'!J1098,'حذف از تولید و لیست اصلی'!I:I,0))</f>
        <v>دراور شش کشو آمارانت</v>
      </c>
      <c r="G1098" s="181"/>
      <c r="H1098" s="182"/>
      <c r="I1098" s="85">
        <f>INDEX('حذف از تولید و لیست اصلی'!E:E,MATCH('کاتالوگ مبلمان'!J1098,'حذف از تولید و لیست اصلی'!I:I,0))</f>
        <v>2404000000</v>
      </c>
      <c r="J1098" s="64">
        <v>413</v>
      </c>
    </row>
    <row r="1099" spans="1:10" ht="52.5" customHeight="1">
      <c r="A1099" s="60"/>
      <c r="B1099" s="61"/>
      <c r="D1099" s="86">
        <v>7</v>
      </c>
      <c r="E1099" s="84" t="str">
        <f>INDEX('حذف از تولید و لیست اصلی'!B:B,MATCH('کاتالوگ مبلمان'!J1099,'حذف از تولید و لیست اصلی'!I:I,0))</f>
        <v>21301209</v>
      </c>
      <c r="F1099" s="180" t="str">
        <f>INDEX('حذف از تولید و لیست اصلی'!C:C,MATCH('کاتالوگ مبلمان'!J1099,'حذف از تولید و لیست اصلی'!I:I,0))</f>
        <v>لاوست آمارانت</v>
      </c>
      <c r="G1099" s="181"/>
      <c r="H1099" s="182"/>
      <c r="I1099" s="85">
        <f>INDEX('حذف از تولید و لیست اصلی'!E:E,MATCH('کاتالوگ مبلمان'!J1099,'حذف از تولید و لیست اصلی'!I:I,0))</f>
        <v>0</v>
      </c>
      <c r="J1099" s="64">
        <v>414</v>
      </c>
    </row>
    <row r="1100" spans="1:10" ht="52.5" customHeight="1">
      <c r="A1100" s="60"/>
      <c r="B1100" s="61"/>
      <c r="D1100" s="86">
        <v>8</v>
      </c>
      <c r="E1100" s="84" t="str">
        <f>INDEX('حذف از تولید و لیست اصلی'!B:B,MATCH('کاتالوگ مبلمان'!J1100,'حذف از تولید و لیست اصلی'!I:I,0))</f>
        <v>21301227</v>
      </c>
      <c r="F1100" s="180" t="str">
        <f>INDEX('حذف از تولید و لیست اصلی'!C:C,MATCH('کاتالوگ مبلمان'!J1100,'حذف از تولید و لیست اصلی'!I:I,0))</f>
        <v>فریم قاب و پرده آمارانت</v>
      </c>
      <c r="G1100" s="181"/>
      <c r="H1100" s="182"/>
      <c r="I1100" s="85">
        <f>INDEX('حذف از تولید و لیست اصلی'!E:E,MATCH('کاتالوگ مبلمان'!J1100,'حذف از تولید و لیست اصلی'!I:I,0))</f>
        <v>361000000</v>
      </c>
      <c r="J1100" s="64">
        <v>415</v>
      </c>
    </row>
    <row r="1101" spans="1:10">
      <c r="A1101" s="60"/>
      <c r="B1101" s="61"/>
      <c r="D1101"/>
      <c r="E1101"/>
      <c r="F1101"/>
      <c r="G1101"/>
      <c r="H1101"/>
      <c r="I1101"/>
    </row>
    <row r="1102" spans="1:10">
      <c r="A1102" s="60"/>
      <c r="B1102" s="61"/>
      <c r="D1102"/>
      <c r="E1102"/>
      <c r="F1102"/>
      <c r="G1102"/>
      <c r="H1102"/>
      <c r="I1102"/>
    </row>
    <row r="1103" spans="1:10">
      <c r="A1103" s="60"/>
      <c r="B1103" s="61"/>
      <c r="D1103"/>
      <c r="E1103"/>
      <c r="F1103"/>
      <c r="G1103"/>
      <c r="H1103"/>
      <c r="I1103"/>
    </row>
    <row r="1104" spans="1:10">
      <c r="A1104" s="60"/>
      <c r="B1104" s="61"/>
      <c r="D1104"/>
      <c r="E1104"/>
      <c r="F1104"/>
      <c r="G1104"/>
      <c r="H1104"/>
      <c r="I1104"/>
    </row>
    <row r="1105" spans="1:10">
      <c r="A1105" s="60"/>
      <c r="B1105" s="61"/>
      <c r="D1105"/>
      <c r="E1105"/>
      <c r="F1105"/>
      <c r="G1105"/>
      <c r="H1105"/>
      <c r="I1105"/>
    </row>
    <row r="1106" spans="1:10">
      <c r="A1106" s="60"/>
      <c r="B1106" s="61"/>
      <c r="D1106"/>
      <c r="E1106"/>
      <c r="F1106"/>
      <c r="G1106"/>
      <c r="H1106"/>
      <c r="I1106"/>
    </row>
    <row r="1107" spans="1:10">
      <c r="A1107" s="60"/>
      <c r="B1107" s="61"/>
      <c r="D1107"/>
      <c r="E1107"/>
      <c r="F1107"/>
      <c r="G1107"/>
      <c r="H1107"/>
      <c r="I1107"/>
    </row>
    <row r="1108" spans="1:10">
      <c r="A1108" s="60"/>
      <c r="B1108" s="61"/>
      <c r="G1108" s="64"/>
      <c r="H1108" s="64"/>
      <c r="I1108" s="64"/>
    </row>
    <row r="1109" spans="1:10">
      <c r="A1109" s="60"/>
      <c r="B1109" s="61"/>
      <c r="I1109" s="74">
        <v>48</v>
      </c>
    </row>
    <row r="1110" spans="1:10" ht="22.5" customHeight="1">
      <c r="A1110" s="60"/>
      <c r="B1110" s="61"/>
      <c r="C1110" s="183"/>
      <c r="D1110" s="184"/>
      <c r="E1110" s="184"/>
      <c r="F1110" s="184"/>
      <c r="G1110" s="184"/>
      <c r="H1110" s="184"/>
      <c r="I1110" s="184"/>
    </row>
    <row r="1111" spans="1:10" ht="22.5" customHeight="1">
      <c r="A1111" s="60"/>
      <c r="B1111" s="61"/>
      <c r="C1111" s="183"/>
      <c r="D1111" s="184"/>
      <c r="E1111" s="184"/>
      <c r="F1111" s="184"/>
      <c r="G1111" s="184"/>
      <c r="H1111" s="184"/>
      <c r="I1111" s="184"/>
    </row>
    <row r="1112" spans="1:10" ht="27.75">
      <c r="A1112" s="60"/>
      <c r="B1112" s="61"/>
      <c r="D1112" s="67" t="s">
        <v>1125</v>
      </c>
      <c r="E1112" s="67"/>
      <c r="F1112" s="67"/>
      <c r="I1112" s="68" t="str">
        <f>$M$1</f>
        <v>1405/02/01</v>
      </c>
    </row>
    <row r="1113" spans="1:10" ht="22.5">
      <c r="A1113" s="60"/>
      <c r="B1113" s="61"/>
      <c r="D1113" s="87" t="s">
        <v>0</v>
      </c>
      <c r="E1113" s="88" t="s">
        <v>1</v>
      </c>
      <c r="F1113" s="177" t="s">
        <v>448</v>
      </c>
      <c r="G1113" s="178"/>
      <c r="H1113" s="179"/>
      <c r="I1113" s="89" t="s">
        <v>251</v>
      </c>
    </row>
    <row r="1114" spans="1:10" ht="56.25" customHeight="1">
      <c r="A1114" s="70"/>
      <c r="B1114" s="71"/>
      <c r="C1114" s="72"/>
      <c r="D1114" s="84">
        <v>1</v>
      </c>
      <c r="E1114" s="84" t="str">
        <f>INDEX('حذف از تولید و لیست اصلی'!B:B,MATCH('کاتالوگ مبلمان'!J1114,'حذف از تولید و لیست اصلی'!I:I,0))</f>
        <v>2130092400</v>
      </c>
      <c r="F1114" s="180" t="str">
        <f>INDEX('حذف از تولید و لیست اصلی'!C:C,MATCH('کاتالوگ مبلمان'!J1114,'حذف از تولید و لیست اصلی'!I:I,0))</f>
        <v xml:space="preserve">  تخت خواب دو نفره جیوا / 160   </v>
      </c>
      <c r="G1114" s="181"/>
      <c r="H1114" s="182"/>
      <c r="I1114" s="85">
        <f>INDEX('حذف از تولید و لیست اصلی'!E:E,MATCH('کاتالوگ مبلمان'!J1114,'حذف از تولید و لیست اصلی'!I:I,0))</f>
        <v>2403000000</v>
      </c>
      <c r="J1114" s="64">
        <v>416</v>
      </c>
    </row>
    <row r="1115" spans="1:10" ht="56.25" customHeight="1">
      <c r="A1115" s="70"/>
      <c r="B1115" s="71"/>
      <c r="C1115" s="72"/>
      <c r="D1115" s="86">
        <v>2</v>
      </c>
      <c r="E1115" s="84" t="str">
        <f>INDEX('حذف از تولید و لیست اصلی'!B:B,MATCH('کاتالوگ مبلمان'!J1115,'حذف از تولید و لیست اصلی'!I:I,0))</f>
        <v>2130090100</v>
      </c>
      <c r="F1115" s="180" t="str">
        <f>INDEX('حذف از تولید و لیست اصلی'!C:C,MATCH('کاتالوگ مبلمان'!J1115,'حذف از تولید و لیست اصلی'!I:I,0))</f>
        <v xml:space="preserve">  دراور میز آرایش اصلی جیوا </v>
      </c>
      <c r="G1115" s="181"/>
      <c r="H1115" s="182"/>
      <c r="I1115" s="85">
        <f>INDEX('حذف از تولید و لیست اصلی'!E:E,MATCH('کاتالوگ مبلمان'!J1115,'حذف از تولید و لیست اصلی'!I:I,0))</f>
        <v>1882000000</v>
      </c>
      <c r="J1115" s="64">
        <v>417</v>
      </c>
    </row>
    <row r="1116" spans="1:10" ht="56.25" customHeight="1">
      <c r="A1116" s="70"/>
      <c r="B1116" s="71"/>
      <c r="C1116" s="72"/>
      <c r="D1116" s="86">
        <v>3</v>
      </c>
      <c r="E1116" s="84" t="str">
        <f>INDEX('حذف از تولید و لیست اصلی'!B:B,MATCH('کاتالوگ مبلمان'!J1116,'حذف از تولید و لیست اصلی'!I:I,0))</f>
        <v>2130090600</v>
      </c>
      <c r="F1116" s="180" t="str">
        <f>INDEX('حذف از تولید و لیست اصلی'!C:C,MATCH('کاتالوگ مبلمان'!J1116,'حذف از تولید و لیست اصلی'!I:I,0))</f>
        <v xml:space="preserve">  قاب آینه میز آرایش جیوا</v>
      </c>
      <c r="G1116" s="181"/>
      <c r="H1116" s="182"/>
      <c r="I1116" s="85">
        <f>INDEX('حذف از تولید و لیست اصلی'!E:E,MATCH('کاتالوگ مبلمان'!J1116,'حذف از تولید و لیست اصلی'!I:I,0))</f>
        <v>361000000</v>
      </c>
      <c r="J1116" s="64">
        <v>418</v>
      </c>
    </row>
    <row r="1117" spans="1:10" ht="56.25" customHeight="1">
      <c r="A1117" s="70"/>
      <c r="B1117" s="71"/>
      <c r="C1117" s="72"/>
      <c r="D1117" s="86">
        <v>4</v>
      </c>
      <c r="E1117" s="84" t="str">
        <f>INDEX('حذف از تولید و لیست اصلی'!B:B,MATCH('کاتالوگ مبلمان'!J1117,'حذف از تولید و لیست اصلی'!I:I,0))</f>
        <v>2130090800</v>
      </c>
      <c r="F1117" s="180" t="str">
        <f>INDEX('حذف از تولید و لیست اصلی'!C:C,MATCH('کاتالوگ مبلمان'!J1117,'حذف از تولید و لیست اصلی'!I:I,0))</f>
        <v>صندلی میز آرایش جیوا</v>
      </c>
      <c r="G1117" s="181"/>
      <c r="H1117" s="182"/>
      <c r="I1117" s="85">
        <f>INDEX('حذف از تولید و لیست اصلی'!E:E,MATCH('کاتالوگ مبلمان'!J1117,'حذف از تولید و لیست اصلی'!I:I,0))</f>
        <v>132000000</v>
      </c>
      <c r="J1117" s="64">
        <v>419</v>
      </c>
    </row>
    <row r="1118" spans="1:10" ht="56.25" customHeight="1">
      <c r="A1118" s="70"/>
      <c r="B1118" s="71"/>
      <c r="C1118" s="72"/>
      <c r="D1118" s="86">
        <v>5</v>
      </c>
      <c r="E1118" s="84" t="str">
        <f>INDEX('حذف از تولید و لیست اصلی'!B:B,MATCH('کاتالوگ مبلمان'!J1118,'حذف از تولید و لیست اصلی'!I:I,0))</f>
        <v>2130090400</v>
      </c>
      <c r="F1118" s="180" t="str">
        <f>INDEX('حذف از تولید و لیست اصلی'!C:C,MATCH('کاتالوگ مبلمان'!J1118,'حذف از تولید و لیست اصلی'!I:I,0))</f>
        <v xml:space="preserve">  پاتختی جیوا</v>
      </c>
      <c r="G1118" s="181"/>
      <c r="H1118" s="182"/>
      <c r="I1118" s="85">
        <f>INDEX('حذف از تولید و لیست اصلی'!E:E,MATCH('کاتالوگ مبلمان'!J1118,'حذف از تولید و لیست اصلی'!I:I,0))</f>
        <v>591000000</v>
      </c>
      <c r="J1118" s="64">
        <v>420</v>
      </c>
    </row>
    <row r="1119" spans="1:10" ht="56.25" customHeight="1">
      <c r="A1119" s="70"/>
      <c r="B1119" s="71"/>
      <c r="C1119" s="72"/>
      <c r="D1119" s="86">
        <v>6</v>
      </c>
      <c r="E1119" s="84" t="str">
        <f>INDEX('حذف از تولید و لیست اصلی'!B:B,MATCH('کاتالوگ مبلمان'!J1119,'حذف از تولید و لیست اصلی'!I:I,0))</f>
        <v>2130090500</v>
      </c>
      <c r="F1119" s="180" t="str">
        <f>INDEX('حذف از تولید و لیست اصلی'!C:C,MATCH('کاتالوگ مبلمان'!J1119,'حذف از تولید و لیست اصلی'!I:I,0))</f>
        <v>دراور شش کشو جیوا</v>
      </c>
      <c r="G1119" s="181"/>
      <c r="H1119" s="182"/>
      <c r="I1119" s="85">
        <f>INDEX('حذف از تولید و لیست اصلی'!E:E,MATCH('کاتالوگ مبلمان'!J1119,'حذف از تولید و لیست اصلی'!I:I,0))</f>
        <v>1857000000</v>
      </c>
      <c r="J1119" s="64">
        <v>421</v>
      </c>
    </row>
    <row r="1120" spans="1:10" ht="56.25" customHeight="1">
      <c r="A1120" s="70"/>
      <c r="B1120" s="71"/>
      <c r="C1120" s="72"/>
      <c r="D1120" s="86">
        <v>7</v>
      </c>
      <c r="E1120" s="84" t="str">
        <f>INDEX('حذف از تولید و لیست اصلی'!B:B,MATCH('کاتالوگ مبلمان'!J1120,'حذف از تولید و لیست اصلی'!I:I,0))</f>
        <v>2130090900</v>
      </c>
      <c r="F1120" s="180" t="str">
        <f>INDEX('حذف از تولید و لیست اصلی'!C:C,MATCH('کاتالوگ مبلمان'!J1120,'حذف از تولید و لیست اصلی'!I:I,0))</f>
        <v>لاوست جیوا</v>
      </c>
      <c r="G1120" s="181"/>
      <c r="H1120" s="182"/>
      <c r="I1120" s="85">
        <f>INDEX('حذف از تولید و لیست اصلی'!E:E,MATCH('کاتالوگ مبلمان'!J1120,'حذف از تولید و لیست اصلی'!I:I,0))</f>
        <v>242000000</v>
      </c>
      <c r="J1120" s="64">
        <v>422</v>
      </c>
    </row>
    <row r="1121" spans="1:10" ht="56.25" customHeight="1">
      <c r="A1121" s="70"/>
      <c r="B1121" s="71"/>
      <c r="C1121" s="72"/>
      <c r="D1121" s="86">
        <v>8</v>
      </c>
      <c r="E1121" s="84" t="str">
        <f>INDEX('حذف از تولید و لیست اصلی'!B:B,MATCH('کاتالوگ مبلمان'!J1121,'حذف از تولید و لیست اصلی'!I:I,0))</f>
        <v>-</v>
      </c>
      <c r="F1121" s="180" t="str">
        <f>INDEX('حذف از تولید و لیست اصلی'!C:C,MATCH('کاتالوگ مبلمان'!J1121,'حذف از تولید و لیست اصلی'!I:I,0))</f>
        <v xml:space="preserve">  متراژ پارچه صندلی میز آرایش</v>
      </c>
      <c r="G1121" s="181"/>
      <c r="H1121" s="182"/>
      <c r="I1121" s="85">
        <f>INDEX('حذف از تولید و لیست اصلی'!E:E,MATCH('کاتالوگ مبلمان'!J1121,'حذف از تولید و لیست اصلی'!I:I,0))</f>
        <v>0</v>
      </c>
      <c r="J1121" s="64">
        <v>423</v>
      </c>
    </row>
    <row r="1122" spans="1:10">
      <c r="A1122" s="70"/>
      <c r="B1122" s="71"/>
      <c r="C1122" s="72"/>
      <c r="G1122" s="64"/>
      <c r="H1122" s="64"/>
      <c r="I1122" s="64"/>
    </row>
    <row r="1123" spans="1:10">
      <c r="A1123" s="70"/>
      <c r="B1123" s="71"/>
      <c r="C1123" s="72"/>
      <c r="G1123" s="64"/>
      <c r="H1123" s="64"/>
      <c r="I1123" s="64"/>
    </row>
    <row r="1124" spans="1:10">
      <c r="A1124" s="70"/>
      <c r="B1124" s="71"/>
      <c r="C1124" s="72"/>
      <c r="G1124" s="64"/>
      <c r="H1124" s="64"/>
      <c r="I1124" s="64"/>
    </row>
    <row r="1125" spans="1:10">
      <c r="A1125" s="70"/>
      <c r="B1125" s="71"/>
      <c r="C1125" s="72"/>
      <c r="G1125" s="64"/>
      <c r="H1125" s="64"/>
      <c r="I1125" s="64"/>
    </row>
    <row r="1126" spans="1:10">
      <c r="A1126" s="70"/>
      <c r="B1126" s="71"/>
      <c r="C1126" s="72"/>
      <c r="G1126" s="64"/>
      <c r="H1126" s="64"/>
      <c r="I1126" s="64"/>
    </row>
    <row r="1127" spans="1:10">
      <c r="A1127" s="70"/>
      <c r="B1127" s="71"/>
      <c r="C1127" s="72"/>
      <c r="G1127" s="64"/>
      <c r="H1127" s="64"/>
      <c r="I1127" s="64"/>
    </row>
    <row r="1128" spans="1:10">
      <c r="A1128" s="70"/>
      <c r="B1128" s="71"/>
      <c r="C1128" s="72"/>
      <c r="G1128" s="64"/>
      <c r="H1128" s="64"/>
      <c r="I1128" s="64"/>
    </row>
    <row r="1129" spans="1:10">
      <c r="A1129" s="70"/>
      <c r="B1129" s="71"/>
      <c r="C1129" s="72"/>
      <c r="G1129" s="64"/>
      <c r="H1129" s="64"/>
      <c r="I1129" s="64"/>
    </row>
    <row r="1130" spans="1:10">
      <c r="A1130" s="70"/>
      <c r="B1130" s="71"/>
      <c r="I1130" s="28">
        <v>49</v>
      </c>
    </row>
    <row r="1131" spans="1:10" ht="22.5" customHeight="1">
      <c r="A1131" s="70"/>
      <c r="B1131" s="71"/>
      <c r="C1131" s="183"/>
      <c r="D1131" s="184"/>
      <c r="E1131" s="184"/>
      <c r="F1131" s="184"/>
      <c r="G1131" s="184"/>
      <c r="H1131" s="184"/>
      <c r="I1131" s="184"/>
    </row>
    <row r="1132" spans="1:10" ht="22.5" customHeight="1">
      <c r="A1132" s="70"/>
      <c r="B1132" s="71"/>
      <c r="C1132" s="183"/>
      <c r="D1132" s="184"/>
      <c r="E1132" s="184"/>
      <c r="F1132" s="184"/>
      <c r="G1132" s="184"/>
      <c r="H1132" s="184"/>
      <c r="I1132" s="184"/>
    </row>
    <row r="1133" spans="1:10" ht="27.75">
      <c r="A1133" s="70"/>
      <c r="B1133" s="71"/>
      <c r="C1133" s="72"/>
      <c r="D1133" s="67" t="s">
        <v>117</v>
      </c>
      <c r="E1133" s="67"/>
      <c r="F1133" s="67"/>
      <c r="I1133" s="68" t="str">
        <f>$M$1</f>
        <v>1405/02/01</v>
      </c>
    </row>
    <row r="1134" spans="1:10" ht="45" customHeight="1">
      <c r="A1134" s="70"/>
      <c r="B1134" s="71"/>
      <c r="C1134" s="77"/>
      <c r="D1134" s="87" t="s">
        <v>0</v>
      </c>
      <c r="E1134" s="88" t="s">
        <v>1</v>
      </c>
      <c r="F1134" s="177" t="s">
        <v>448</v>
      </c>
      <c r="G1134" s="178"/>
      <c r="H1134" s="179"/>
      <c r="I1134" s="89" t="s">
        <v>251</v>
      </c>
    </row>
    <row r="1135" spans="1:10" ht="54" customHeight="1">
      <c r="A1135" s="60"/>
      <c r="B1135" s="61"/>
      <c r="D1135" s="84">
        <v>1</v>
      </c>
      <c r="E1135" s="84" t="str">
        <f>INDEX('حذف از تولید و لیست اصلی'!B:B,MATCH('کاتالوگ مبلمان'!J1135,'حذف از تولید و لیست اصلی'!I:I,0))</f>
        <v>2140060100</v>
      </c>
      <c r="F1135" s="180" t="str">
        <f>INDEX('حذف از تولید و لیست اصلی'!C:C,MATCH('کاتالوگ مبلمان'!J1135,'حذف از تولید و لیست اصلی'!I:I,0))</f>
        <v xml:space="preserve">  میز TV  واوونا / 150</v>
      </c>
      <c r="G1135" s="181"/>
      <c r="H1135" s="182"/>
      <c r="I1135" s="85">
        <f>INDEX('حذف از تولید و لیست اصلی'!E:E,MATCH('کاتالوگ مبلمان'!J1135,'حذف از تولید و لیست اصلی'!I:I,0))</f>
        <v>1001000000</v>
      </c>
      <c r="J1135" s="64">
        <v>424</v>
      </c>
    </row>
    <row r="1136" spans="1:10" ht="54" customHeight="1">
      <c r="A1136" s="60"/>
      <c r="B1136" s="61"/>
      <c r="C1136" s="78"/>
      <c r="D1136" s="86">
        <v>2</v>
      </c>
      <c r="E1136" s="84" t="str">
        <f>INDEX('حذف از تولید و لیست اصلی'!B:B,MATCH('کاتالوگ مبلمان'!J1136,'حذف از تولید و لیست اصلی'!I:I,0))</f>
        <v>2140010200</v>
      </c>
      <c r="F1136" s="180" t="str">
        <f>INDEX('حذف از تولید و لیست اصلی'!C:C,MATCH('کاتالوگ مبلمان'!J1136,'حذف از تولید و لیست اصلی'!I:I,0))</f>
        <v xml:space="preserve">  میز TV  آکومه/180 </v>
      </c>
      <c r="G1136" s="181"/>
      <c r="H1136" s="182"/>
      <c r="I1136" s="85">
        <f>INDEX('حذف از تولید و لیست اصلی'!E:E,MATCH('کاتالوگ مبلمان'!J1136,'حذف از تولید و لیست اصلی'!I:I,0))</f>
        <v>1504000000</v>
      </c>
      <c r="J1136" s="64">
        <v>425</v>
      </c>
    </row>
    <row r="1137" spans="1:10" ht="54" customHeight="1">
      <c r="A1137" s="60"/>
      <c r="B1137" s="61"/>
      <c r="D1137" s="86">
        <v>3</v>
      </c>
      <c r="E1137" s="84">
        <f>INDEX('حذف از تولید و لیست اصلی'!B:B,MATCH('کاتالوگ مبلمان'!J1137,'حذف از تولید و لیست اصلی'!I:I,0))</f>
        <v>2140020200</v>
      </c>
      <c r="F1137" s="180" t="str">
        <f>INDEX('حذف از تولید و لیست اصلی'!C:C,MATCH('کاتالوگ مبلمان'!J1137,'حذف از تولید و لیست اصلی'!I:I,0))</f>
        <v>میز تلویزیون ساپلی / 180</v>
      </c>
      <c r="G1137" s="181"/>
      <c r="H1137" s="182"/>
      <c r="I1137" s="85">
        <f>INDEX('حذف از تولید و لیست اصلی'!E:E,MATCH('کاتالوگ مبلمان'!J1137,'حذف از تولید و لیست اصلی'!I:I,0))</f>
        <v>1544000000</v>
      </c>
      <c r="J1137" s="64">
        <v>426</v>
      </c>
    </row>
    <row r="1138" spans="1:10" ht="54" customHeight="1">
      <c r="A1138" s="60"/>
      <c r="B1138" s="61"/>
      <c r="D1138" s="86">
        <v>4</v>
      </c>
      <c r="E1138" s="84" t="str">
        <f>INDEX('حذف از تولید و لیست اصلی'!B:B,MATCH('کاتالوگ مبلمان'!J1138,'حذف از تولید و لیست اصلی'!I:I,0))</f>
        <v>2140040400</v>
      </c>
      <c r="F1138" s="180" t="str">
        <f>INDEX('حذف از تولید و لیست اصلی'!C:C,MATCH('کاتالوگ مبلمان'!J1138,'حذف از تولید و لیست اصلی'!I:I,0))</f>
        <v>میز تلویزیون ساپن 180 کشو دار</v>
      </c>
      <c r="G1138" s="181"/>
      <c r="H1138" s="182"/>
      <c r="I1138" s="85">
        <f>INDEX('حذف از تولید و لیست اصلی'!E:E,MATCH('کاتالوگ مبلمان'!J1138,'حذف از تولید و لیست اصلی'!I:I,0))</f>
        <v>883000000</v>
      </c>
      <c r="J1138" s="64">
        <v>427</v>
      </c>
    </row>
    <row r="1139" spans="1:10" ht="54" customHeight="1">
      <c r="A1139" s="60"/>
      <c r="B1139" s="61"/>
      <c r="D1139" s="86">
        <v>5</v>
      </c>
      <c r="E1139" s="84" t="str">
        <f>INDEX('حذف از تولید و لیست اصلی'!B:B,MATCH('کاتالوگ مبلمان'!J1139,'حذف از تولید و لیست اصلی'!I:I,0))</f>
        <v>2140040200</v>
      </c>
      <c r="F1139" s="180" t="str">
        <f>INDEX('حذف از تولید و لیست اصلی'!C:C,MATCH('کاتالوگ مبلمان'!J1139,'حذف از تولید و لیست اصلی'!I:I,0))</f>
        <v>میز تلویزیون ساپن 180 بدون کشو</v>
      </c>
      <c r="G1139" s="181"/>
      <c r="H1139" s="182"/>
      <c r="I1139" s="85">
        <f>INDEX('حذف از تولید و لیست اصلی'!E:E,MATCH('کاتالوگ مبلمان'!J1139,'حذف از تولید و لیست اصلی'!I:I,0))</f>
        <v>777000000</v>
      </c>
      <c r="J1139" s="64">
        <v>428</v>
      </c>
    </row>
    <row r="1140" spans="1:10" ht="54" customHeight="1">
      <c r="A1140" s="60"/>
      <c r="B1140" s="61"/>
      <c r="D1140" s="86">
        <v>6</v>
      </c>
      <c r="E1140" s="84" t="str">
        <f>INDEX('حذف از تولید و لیست اصلی'!B:B,MATCH('کاتالوگ مبلمان'!J1140,'حذف از تولید و لیست اصلی'!I:I,0))</f>
        <v>2140040104</v>
      </c>
      <c r="F1140" s="180" t="str">
        <f>INDEX('حذف از تولید و لیست اصلی'!C:C,MATCH('کاتالوگ مبلمان'!J1140,'حذف از تولید و لیست اصلی'!I:I,0))</f>
        <v>میز تلویزیون ساپن 150 کشو دار</v>
      </c>
      <c r="G1140" s="181"/>
      <c r="H1140" s="182"/>
      <c r="I1140" s="85">
        <f>INDEX('حذف از تولید و لیست اصلی'!E:E,MATCH('کاتالوگ مبلمان'!J1140,'حذف از تولید و لیست اصلی'!I:I,0))</f>
        <v>792000000</v>
      </c>
      <c r="J1140" s="64">
        <v>429</v>
      </c>
    </row>
    <row r="1141" spans="1:10" ht="54" customHeight="1">
      <c r="A1141" s="60"/>
      <c r="B1141" s="61"/>
      <c r="D1141" s="86">
        <v>7</v>
      </c>
      <c r="E1141" s="84" t="str">
        <f>INDEX('حذف از تولید و لیست اصلی'!B:B,MATCH('کاتالوگ مبلمان'!J1141,'حذف از تولید و لیست اصلی'!I:I,0))</f>
        <v>2140040100</v>
      </c>
      <c r="F1141" s="180" t="str">
        <f>INDEX('حذف از تولید و لیست اصلی'!C:C,MATCH('کاتالوگ مبلمان'!J1141,'حذف از تولید و لیست اصلی'!I:I,0))</f>
        <v>میز تلویزیون ساپن 150 بدون کشو</v>
      </c>
      <c r="G1141" s="181"/>
      <c r="H1141" s="182"/>
      <c r="I1141" s="85">
        <f>INDEX('حذف از تولید و لیست اصلی'!E:E,MATCH('کاتالوگ مبلمان'!J1141,'حذف از تولید و لیست اصلی'!I:I,0))</f>
        <v>705000000</v>
      </c>
      <c r="J1141" s="64">
        <v>430</v>
      </c>
    </row>
    <row r="1142" spans="1:10" ht="54" customHeight="1">
      <c r="A1142" s="60"/>
      <c r="B1142" s="61"/>
      <c r="D1142" s="86">
        <v>8</v>
      </c>
      <c r="E1142" s="84">
        <f>INDEX('حذف از تولید و لیست اصلی'!B:B,MATCH('کاتالوگ مبلمان'!J1142,'حذف از تولید و لیست اصلی'!I:I,0))</f>
        <v>2140010100</v>
      </c>
      <c r="F1142" s="180" t="str">
        <f>INDEX('حذف از تولید و لیست اصلی'!C:C,MATCH('کاتالوگ مبلمان'!J1142,'حذف از تولید و لیست اصلی'!I:I,0))</f>
        <v>میز تلویزیون آکومه / 160</v>
      </c>
      <c r="G1142" s="181"/>
      <c r="H1142" s="182"/>
      <c r="I1142" s="85">
        <f>INDEX('حذف از تولید و لیست اصلی'!E:E,MATCH('کاتالوگ مبلمان'!J1142,'حذف از تولید و لیست اصلی'!I:I,0))</f>
        <v>1387000000</v>
      </c>
      <c r="J1142" s="64">
        <v>431</v>
      </c>
    </row>
    <row r="1143" spans="1:10" ht="54" customHeight="1">
      <c r="A1143" s="60"/>
      <c r="B1143" s="61"/>
      <c r="D1143" s="86">
        <v>9</v>
      </c>
      <c r="E1143" s="84">
        <f>INDEX('حذف از تولید و لیست اصلی'!B:B,MATCH('کاتالوگ مبلمان'!J1143,'حذف از تولید و لیست اصلی'!I:I,0))</f>
        <v>2140030200</v>
      </c>
      <c r="F1143" s="180" t="str">
        <f>INDEX('حذف از تولید و لیست اصلی'!C:C,MATCH('کاتالوگ مبلمان'!J1143,'حذف از تولید و لیست اصلی'!I:I,0))</f>
        <v>میز تلویزیون نوئل / 180</v>
      </c>
      <c r="G1143" s="181"/>
      <c r="H1143" s="182"/>
      <c r="I1143" s="85">
        <f>INDEX('حذف از تولید و لیست اصلی'!E:E,MATCH('کاتالوگ مبلمان'!J1143,'حذف از تولید و لیست اصلی'!I:I,0))</f>
        <v>1101000000</v>
      </c>
      <c r="J1143" s="64">
        <v>432</v>
      </c>
    </row>
    <row r="1144" spans="1:10">
      <c r="A1144" s="60"/>
      <c r="B1144" s="61"/>
      <c r="G1144" s="64"/>
      <c r="H1144" s="64"/>
      <c r="I1144" s="64"/>
    </row>
    <row r="1145" spans="1:10">
      <c r="A1145" s="60"/>
      <c r="B1145" s="61"/>
      <c r="G1145" s="64"/>
      <c r="H1145" s="64"/>
      <c r="I1145" s="64"/>
    </row>
    <row r="1146" spans="1:10">
      <c r="A1146" s="60"/>
      <c r="B1146" s="61"/>
      <c r="G1146" s="64"/>
      <c r="H1146" s="64"/>
      <c r="I1146" s="64"/>
    </row>
    <row r="1147" spans="1:10">
      <c r="A1147" s="60"/>
      <c r="B1147" s="61"/>
      <c r="G1147" s="64"/>
      <c r="H1147" s="64"/>
      <c r="I1147" s="64"/>
    </row>
    <row r="1148" spans="1:10">
      <c r="A1148" s="60"/>
      <c r="B1148" s="61"/>
      <c r="G1148" s="64"/>
      <c r="H1148" s="64"/>
      <c r="I1148" s="64"/>
    </row>
    <row r="1149" spans="1:10">
      <c r="A1149" s="60"/>
      <c r="B1149" s="61"/>
      <c r="I1149" s="74">
        <v>50</v>
      </c>
    </row>
    <row r="1150" spans="1:10" ht="22.5" customHeight="1">
      <c r="A1150" s="70"/>
      <c r="B1150" s="71"/>
      <c r="C1150" s="183"/>
      <c r="D1150" s="184"/>
      <c r="E1150" s="184"/>
      <c r="F1150" s="184"/>
      <c r="G1150" s="184"/>
      <c r="H1150" s="184"/>
      <c r="I1150" s="184"/>
    </row>
    <row r="1151" spans="1:10" ht="22.5" customHeight="1">
      <c r="A1151" s="70"/>
      <c r="B1151" s="71"/>
      <c r="C1151" s="183"/>
      <c r="D1151" s="184"/>
      <c r="E1151" s="184"/>
      <c r="F1151" s="184"/>
      <c r="G1151" s="184"/>
      <c r="H1151" s="184"/>
      <c r="I1151" s="184"/>
    </row>
    <row r="1152" spans="1:10" ht="27.75">
      <c r="A1152" s="70"/>
      <c r="B1152" s="71"/>
      <c r="C1152" s="72"/>
      <c r="D1152" s="67" t="s">
        <v>85</v>
      </c>
      <c r="E1152" s="67"/>
      <c r="F1152" s="67"/>
      <c r="I1152" s="68" t="str">
        <f>$M$1</f>
        <v>1405/02/01</v>
      </c>
    </row>
    <row r="1153" spans="1:10" ht="45" customHeight="1">
      <c r="A1153" s="70"/>
      <c r="B1153" s="71"/>
      <c r="C1153" s="77"/>
      <c r="D1153" s="87" t="s">
        <v>0</v>
      </c>
      <c r="E1153" s="88" t="s">
        <v>1</v>
      </c>
      <c r="F1153" s="177" t="s">
        <v>448</v>
      </c>
      <c r="G1153" s="178"/>
      <c r="H1153" s="179"/>
      <c r="I1153" s="89" t="s">
        <v>251</v>
      </c>
    </row>
    <row r="1154" spans="1:10" ht="27.75" customHeight="1">
      <c r="A1154" s="60"/>
      <c r="B1154" s="61"/>
      <c r="D1154" s="84">
        <v>1</v>
      </c>
      <c r="E1154" s="84" t="str">
        <f>INDEX('حذف از تولید و لیست اصلی'!B:B,MATCH('کاتالوگ مبلمان'!J1154,'حذف از تولید و لیست اصلی'!I:I,0))</f>
        <v>2150031300</v>
      </c>
      <c r="F1154" s="180" t="str">
        <f>INDEX('حذف از تولید و لیست اصلی'!C:C,MATCH('کاتالوگ مبلمان'!J1154,'حذف از تولید و لیست اصلی'!I:I,0))</f>
        <v>بوفه کف فولیا</v>
      </c>
      <c r="G1154" s="181"/>
      <c r="H1154" s="182"/>
      <c r="I1154" s="85">
        <f>INDEX('حذف از تولید و لیست اصلی'!E:E,MATCH('کاتالوگ مبلمان'!J1154,'حذف از تولید و لیست اصلی'!I:I,0))</f>
        <v>1418000000</v>
      </c>
      <c r="J1154" s="64">
        <v>433</v>
      </c>
    </row>
    <row r="1155" spans="1:10" ht="27.75" customHeight="1">
      <c r="A1155" s="60"/>
      <c r="B1155" s="61"/>
      <c r="C1155" s="78"/>
      <c r="D1155" s="86">
        <v>2</v>
      </c>
      <c r="E1155" s="84" t="str">
        <f>INDEX('حذف از تولید و لیست اصلی'!B:B,MATCH('کاتالوگ مبلمان'!J1155,'حذف از تولید و لیست اصلی'!I:I,0))</f>
        <v>2150031400</v>
      </c>
      <c r="F1155" s="180" t="str">
        <f>INDEX('حذف از تولید و لیست اصلی'!C:C,MATCH('کاتالوگ مبلمان'!J1155,'حذف از تولید و لیست اصلی'!I:I,0))</f>
        <v>قاب آینه بوفه کف فولیا</v>
      </c>
      <c r="G1155" s="181"/>
      <c r="H1155" s="182"/>
      <c r="I1155" s="85">
        <f>INDEX('حذف از تولید و لیست اصلی'!E:E,MATCH('کاتالوگ مبلمان'!J1155,'حذف از تولید و لیست اصلی'!I:I,0))</f>
        <v>346000000</v>
      </c>
      <c r="J1155" s="64">
        <v>434</v>
      </c>
    </row>
    <row r="1156" spans="1:10" ht="27.75" customHeight="1">
      <c r="A1156" s="60"/>
      <c r="B1156" s="61"/>
      <c r="D1156" s="86">
        <v>3</v>
      </c>
      <c r="E1156" s="84" t="str">
        <f>INDEX('حذف از تولید و لیست اصلی'!B:B,MATCH('کاتالوگ مبلمان'!J1156,'حذف از تولید و لیست اصلی'!I:I,0))</f>
        <v>2150010200</v>
      </c>
      <c r="F1156" s="180" t="str">
        <f>INDEX('حذف از تولید و لیست اصلی'!C:C,MATCH('کاتالوگ مبلمان'!J1156,'حذف از تولید و لیست اصلی'!I:I,0))</f>
        <v xml:space="preserve"> بوفه کف ساپلی سه درب با قاب</v>
      </c>
      <c r="G1156" s="181"/>
      <c r="H1156" s="182"/>
      <c r="I1156" s="85">
        <f>INDEX('حذف از تولید و لیست اصلی'!E:E,MATCH('کاتالوگ مبلمان'!J1156,'حذف از تولید و لیست اصلی'!I:I,0))</f>
        <v>1869000000</v>
      </c>
      <c r="J1156" s="64">
        <v>435</v>
      </c>
    </row>
    <row r="1157" spans="1:10" ht="27.75" customHeight="1">
      <c r="A1157" s="60"/>
      <c r="B1157" s="61"/>
      <c r="D1157" s="86">
        <v>4</v>
      </c>
      <c r="E1157" s="84" t="str">
        <f>INDEX('حذف از تولید و لیست اصلی'!B:B,MATCH('کاتالوگ مبلمان'!J1157,'حذف از تولید و لیست اصلی'!I:I,0))</f>
        <v>2150010200</v>
      </c>
      <c r="F1157" s="180" t="str">
        <f>INDEX('حذف از تولید و لیست اصلی'!C:C,MATCH('کاتالوگ مبلمان'!J1157,'حذف از تولید و لیست اصلی'!I:I,0))</f>
        <v xml:space="preserve"> بوفه کف ساپلی سه درب بدون قاب آینه</v>
      </c>
      <c r="G1157" s="181"/>
      <c r="H1157" s="182"/>
      <c r="I1157" s="85">
        <f>INDEX('حذف از تولید و لیست اصلی'!E:E,MATCH('کاتالوگ مبلمان'!J1157,'حذف از تولید و لیست اصلی'!I:I,0))</f>
        <v>1487000000</v>
      </c>
      <c r="J1157" s="64">
        <v>436</v>
      </c>
    </row>
    <row r="1158" spans="1:10" ht="27.75" customHeight="1">
      <c r="A1158" s="60"/>
      <c r="B1158" s="61"/>
      <c r="D1158" s="86">
        <v>5</v>
      </c>
      <c r="E1158" s="84" t="str">
        <f>INDEX('حذف از تولید و لیست اصلی'!B:B,MATCH('کاتالوگ مبلمان'!J1158,'حذف از تولید و لیست اصلی'!I:I,0))</f>
        <v>2150010400</v>
      </c>
      <c r="F1158" s="180" t="str">
        <f>INDEX('حذف از تولید و لیست اصلی'!C:C,MATCH('کاتالوگ مبلمان'!J1158,'حذف از تولید و لیست اصلی'!I:I,0))</f>
        <v xml:space="preserve"> قاب آینه بوفه کف ساپلی سه درب</v>
      </c>
      <c r="G1158" s="181"/>
      <c r="H1158" s="182"/>
      <c r="I1158" s="85">
        <f>INDEX('حذف از تولید و لیست اصلی'!E:E,MATCH('کاتالوگ مبلمان'!J1158,'حذف از تولید و لیست اصلی'!I:I,0))</f>
        <v>382000000</v>
      </c>
      <c r="J1158" s="64">
        <v>437</v>
      </c>
    </row>
    <row r="1159" spans="1:10" ht="27.75" customHeight="1">
      <c r="A1159" s="60"/>
      <c r="B1159" s="61"/>
      <c r="D1159" s="86">
        <v>6</v>
      </c>
      <c r="E1159" s="84" t="str">
        <f>INDEX('حذف از تولید و لیست اصلی'!B:B,MATCH('کاتالوگ مبلمان'!J1159,'حذف از تولید و لیست اصلی'!I:I,0))</f>
        <v>2150010100</v>
      </c>
      <c r="F1159" s="180" t="str">
        <f>INDEX('حذف از تولید و لیست اصلی'!C:C,MATCH('کاتالوگ مبلمان'!J1159,'حذف از تولید و لیست اصلی'!I:I,0))</f>
        <v xml:space="preserve"> بوفه کف ساپلی دو درب با قاب</v>
      </c>
      <c r="G1159" s="181"/>
      <c r="H1159" s="182"/>
      <c r="I1159" s="85">
        <f>INDEX('حذف از تولید و لیست اصلی'!E:E,MATCH('کاتالوگ مبلمان'!J1159,'حذف از تولید و لیست اصلی'!I:I,0))</f>
        <v>1332000000</v>
      </c>
      <c r="J1159" s="64">
        <v>438</v>
      </c>
    </row>
    <row r="1160" spans="1:10" ht="27.75" customHeight="1">
      <c r="A1160" s="60"/>
      <c r="B1160" s="61"/>
      <c r="D1160" s="86">
        <v>7</v>
      </c>
      <c r="E1160" s="84" t="str">
        <f>INDEX('حذف از تولید و لیست اصلی'!B:B,MATCH('کاتالوگ مبلمان'!J1160,'حذف از تولید و لیست اصلی'!I:I,0))</f>
        <v>2150010100</v>
      </c>
      <c r="F1160" s="180" t="str">
        <f>INDEX('حذف از تولید و لیست اصلی'!C:C,MATCH('کاتالوگ مبلمان'!J1160,'حذف از تولید و لیست اصلی'!I:I,0))</f>
        <v xml:space="preserve"> بوفه کف ساپلی دو درب بدون قاب آینه</v>
      </c>
      <c r="G1160" s="181"/>
      <c r="H1160" s="182"/>
      <c r="I1160" s="85">
        <f>INDEX('حذف از تولید و لیست اصلی'!E:E,MATCH('کاتالوگ مبلمان'!J1160,'حذف از تولید و لیست اصلی'!I:I,0))</f>
        <v>1025000000</v>
      </c>
      <c r="J1160" s="64">
        <v>439</v>
      </c>
    </row>
    <row r="1161" spans="1:10" ht="27.75" customHeight="1">
      <c r="A1161" s="60"/>
      <c r="B1161" s="61"/>
      <c r="D1161" s="86">
        <v>8</v>
      </c>
      <c r="E1161" s="84" t="str">
        <f>INDEX('حذف از تولید و لیست اصلی'!B:B,MATCH('کاتالوگ مبلمان'!J1161,'حذف از تولید و لیست اصلی'!I:I,0))</f>
        <v>2150010300</v>
      </c>
      <c r="F1161" s="180" t="str">
        <f>INDEX('حذف از تولید و لیست اصلی'!C:C,MATCH('کاتالوگ مبلمان'!J1161,'حذف از تولید و لیست اصلی'!I:I,0))</f>
        <v xml:space="preserve"> قاب آینه بوفه کف ساپلی دو درب</v>
      </c>
      <c r="G1161" s="181"/>
      <c r="H1161" s="182"/>
      <c r="I1161" s="85">
        <f>INDEX('حذف از تولید و لیست اصلی'!E:E,MATCH('کاتالوگ مبلمان'!J1161,'حذف از تولید و لیست اصلی'!I:I,0))</f>
        <v>307000000</v>
      </c>
      <c r="J1161" s="64">
        <v>440</v>
      </c>
    </row>
    <row r="1162" spans="1:10" ht="27.75" customHeight="1">
      <c r="A1162" s="60"/>
      <c r="B1162" s="61"/>
      <c r="D1162" s="86">
        <v>9</v>
      </c>
      <c r="E1162" s="84" t="str">
        <f>INDEX('حذف از تولید و لیست اصلی'!B:B,MATCH('کاتالوگ مبلمان'!J1162,'حذف از تولید و لیست اصلی'!I:I,0))</f>
        <v>2150040200</v>
      </c>
      <c r="F1162" s="180" t="str">
        <f>INDEX('حذف از تولید و لیست اصلی'!C:C,MATCH('کاتالوگ مبلمان'!J1162,'حذف از تولید و لیست اصلی'!I:I,0))</f>
        <v>بوفه کف بالزا سه درب با قاب</v>
      </c>
      <c r="G1162" s="181"/>
      <c r="H1162" s="182"/>
      <c r="I1162" s="85">
        <f>INDEX('حذف از تولید و لیست اصلی'!E:E,MATCH('کاتالوگ مبلمان'!J1162,'حذف از تولید و لیست اصلی'!I:I,0))</f>
        <v>3119000000</v>
      </c>
      <c r="J1162" s="64">
        <v>441</v>
      </c>
    </row>
    <row r="1163" spans="1:10" ht="27.75" customHeight="1">
      <c r="A1163" s="60"/>
      <c r="B1163" s="61"/>
      <c r="D1163" s="86">
        <v>10</v>
      </c>
      <c r="E1163" s="84" t="str">
        <f>INDEX('حذف از تولید و لیست اصلی'!B:B,MATCH('کاتالوگ مبلمان'!J1163,'حذف از تولید و لیست اصلی'!I:I,0))</f>
        <v>2150040200</v>
      </c>
      <c r="F1163" s="180" t="str">
        <f>INDEX('حذف از تولید و لیست اصلی'!C:C,MATCH('کاتالوگ مبلمان'!J1163,'حذف از تولید و لیست اصلی'!I:I,0))</f>
        <v>بوفه کف بالزا سه درب بدون قاب</v>
      </c>
      <c r="G1163" s="181"/>
      <c r="H1163" s="182"/>
      <c r="I1163" s="85">
        <f>INDEX('حذف از تولید و لیست اصلی'!E:E,MATCH('کاتالوگ مبلمان'!J1163,'حذف از تولید و لیست اصلی'!I:I,0))</f>
        <v>2318000000</v>
      </c>
      <c r="J1163" s="64">
        <v>442</v>
      </c>
    </row>
    <row r="1164" spans="1:10" ht="27.75" customHeight="1">
      <c r="A1164" s="60"/>
      <c r="B1164" s="61"/>
      <c r="D1164" s="86">
        <v>11</v>
      </c>
      <c r="E1164" s="84" t="str">
        <f>INDEX('حذف از تولید و لیست اصلی'!B:B,MATCH('کاتالوگ مبلمان'!J1164,'حذف از تولید و لیست اصلی'!I:I,0))</f>
        <v>2150040400</v>
      </c>
      <c r="F1164" s="180" t="str">
        <f>INDEX('حذف از تولید و لیست اصلی'!C:C,MATCH('کاتالوگ مبلمان'!J1164,'حذف از تولید و لیست اصلی'!I:I,0))</f>
        <v>قاب آینه بوفه کف بالزا سه درب</v>
      </c>
      <c r="G1164" s="181"/>
      <c r="H1164" s="182"/>
      <c r="I1164" s="85">
        <f>INDEX('حذف از تولید و لیست اصلی'!E:E,MATCH('کاتالوگ مبلمان'!J1164,'حذف از تولید و لیست اصلی'!I:I,0))</f>
        <v>801000000</v>
      </c>
      <c r="J1164" s="64">
        <v>443</v>
      </c>
    </row>
    <row r="1165" spans="1:10" ht="27.75" customHeight="1">
      <c r="A1165" s="60"/>
      <c r="B1165" s="61"/>
      <c r="D1165" s="86">
        <v>12</v>
      </c>
      <c r="E1165" s="84" t="str">
        <f>INDEX('حذف از تولید و لیست اصلی'!B:B,MATCH('کاتالوگ مبلمان'!J1165,'حذف از تولید و لیست اصلی'!I:I,0))</f>
        <v>2150040100</v>
      </c>
      <c r="F1165" s="180" t="str">
        <f>INDEX('حذف از تولید و لیست اصلی'!C:C,MATCH('کاتالوگ مبلمان'!J1165,'حذف از تولید و لیست اصلی'!I:I,0))</f>
        <v>بوفه کف بالزا دو درب با قاب</v>
      </c>
      <c r="G1165" s="181"/>
      <c r="H1165" s="182"/>
      <c r="I1165" s="85">
        <f>INDEX('حذف از تولید و لیست اصلی'!E:E,MATCH('کاتالوگ مبلمان'!J1165,'حذف از تولید و لیست اصلی'!I:I,0))</f>
        <v>2670000000</v>
      </c>
      <c r="J1165" s="64">
        <v>444</v>
      </c>
    </row>
    <row r="1166" spans="1:10" ht="27.75" customHeight="1">
      <c r="A1166" s="60"/>
      <c r="B1166" s="61"/>
      <c r="D1166" s="86">
        <v>13</v>
      </c>
      <c r="E1166" s="84" t="str">
        <f>INDEX('حذف از تولید و لیست اصلی'!B:B,MATCH('کاتالوگ مبلمان'!J1166,'حذف از تولید و لیست اصلی'!I:I,0))</f>
        <v>2150040100</v>
      </c>
      <c r="F1166" s="180" t="str">
        <f>INDEX('حذف از تولید و لیست اصلی'!C:C,MATCH('کاتالوگ مبلمان'!J1166,'حذف از تولید و لیست اصلی'!I:I,0))</f>
        <v>بوفه کف بالزا دو درب بدون قاب</v>
      </c>
      <c r="G1166" s="181"/>
      <c r="H1166" s="182"/>
      <c r="I1166" s="85">
        <f>INDEX('حذف از تولید و لیست اصلی'!E:E,MATCH('کاتالوگ مبلمان'!J1166,'حذف از تولید و لیست اصلی'!I:I,0))</f>
        <v>2019000000</v>
      </c>
      <c r="J1166" s="64">
        <v>445</v>
      </c>
    </row>
    <row r="1167" spans="1:10" ht="27.75" customHeight="1">
      <c r="A1167" s="60"/>
      <c r="B1167" s="61"/>
      <c r="D1167" s="86">
        <v>14</v>
      </c>
      <c r="E1167" s="84" t="str">
        <f>INDEX('حذف از تولید و لیست اصلی'!B:B,MATCH('کاتالوگ مبلمان'!J1167,'حذف از تولید و لیست اصلی'!I:I,0))</f>
        <v>2150040300</v>
      </c>
      <c r="F1167" s="180" t="str">
        <f>INDEX('حذف از تولید و لیست اصلی'!C:C,MATCH('کاتالوگ مبلمان'!J1167,'حذف از تولید و لیست اصلی'!I:I,0))</f>
        <v>قاب آینه بوفه کف بالزا دو درب</v>
      </c>
      <c r="G1167" s="181"/>
      <c r="H1167" s="182"/>
      <c r="I1167" s="85">
        <f>INDEX('حذف از تولید و لیست اصلی'!E:E,MATCH('کاتالوگ مبلمان'!J1167,'حذف از تولید و لیست اصلی'!I:I,0))</f>
        <v>651000000</v>
      </c>
      <c r="J1167" s="64">
        <v>446</v>
      </c>
    </row>
    <row r="1168" spans="1:10" ht="27.75" customHeight="1">
      <c r="A1168" s="60"/>
      <c r="B1168" s="61"/>
      <c r="D1168" s="86">
        <v>15</v>
      </c>
      <c r="E1168" s="84" t="str">
        <f>INDEX('حذف از تولید و لیست اصلی'!B:B,MATCH('کاتالوگ مبلمان'!J1168,'حذف از تولید و لیست اصلی'!I:I,0))</f>
        <v>2150020200</v>
      </c>
      <c r="F1168" s="180" t="str">
        <f>INDEX('حذف از تولید و لیست اصلی'!C:C,MATCH('کاتالوگ مبلمان'!J1168,'حذف از تولید و لیست اصلی'!I:I,0))</f>
        <v>بوفه کف جیوا سه درب با قاب</v>
      </c>
      <c r="G1168" s="181"/>
      <c r="H1168" s="182"/>
      <c r="I1168" s="85">
        <f>INDEX('حذف از تولید و لیست اصلی'!E:E,MATCH('کاتالوگ مبلمان'!J1168,'حذف از تولید و لیست اصلی'!I:I,0))</f>
        <v>3453000000</v>
      </c>
      <c r="J1168" s="64">
        <v>447</v>
      </c>
    </row>
    <row r="1169" spans="1:10" ht="27.75" customHeight="1">
      <c r="A1169" s="60"/>
      <c r="B1169" s="61"/>
      <c r="D1169" s="86">
        <v>16</v>
      </c>
      <c r="E1169" s="84" t="str">
        <f>INDEX('حذف از تولید و لیست اصلی'!B:B,MATCH('کاتالوگ مبلمان'!J1169,'حذف از تولید و لیست اصلی'!I:I,0))</f>
        <v>2150020200</v>
      </c>
      <c r="F1169" s="180" t="str">
        <f>INDEX('حذف از تولید و لیست اصلی'!C:C,MATCH('کاتالوگ مبلمان'!J1169,'حذف از تولید و لیست اصلی'!I:I,0))</f>
        <v>بوفه کف جیوا سه درب بدون قاب</v>
      </c>
      <c r="G1169" s="181"/>
      <c r="H1169" s="182"/>
      <c r="I1169" s="85">
        <f>INDEX('حذف از تولید و لیست اصلی'!E:E,MATCH('کاتالوگ مبلمان'!J1169,'حذف از تولید و لیست اصلی'!I:I,0))</f>
        <v>2586000000</v>
      </c>
      <c r="J1169" s="64">
        <v>448</v>
      </c>
    </row>
    <row r="1170" spans="1:10" ht="27.75" customHeight="1">
      <c r="A1170" s="60"/>
      <c r="B1170" s="61"/>
      <c r="D1170" s="86">
        <v>17</v>
      </c>
      <c r="E1170" s="84" t="str">
        <f>INDEX('حذف از تولید و لیست اصلی'!B:B,MATCH('کاتالوگ مبلمان'!J1170,'حذف از تولید و لیست اصلی'!I:I,0))</f>
        <v>2150020400</v>
      </c>
      <c r="F1170" s="180" t="str">
        <f>INDEX('حذف از تولید و لیست اصلی'!C:C,MATCH('کاتالوگ مبلمان'!J1170,'حذف از تولید و لیست اصلی'!I:I,0))</f>
        <v>قاب آینه بوفه کف جیوا سه درب</v>
      </c>
      <c r="G1170" s="181"/>
      <c r="H1170" s="182"/>
      <c r="I1170" s="85">
        <f>INDEX('حذف از تولید و لیست اصلی'!E:E,MATCH('کاتالوگ مبلمان'!J1170,'حذف از تولید و لیست اصلی'!I:I,0))</f>
        <v>867000000</v>
      </c>
      <c r="J1170" s="64">
        <v>449</v>
      </c>
    </row>
    <row r="1171" spans="1:10" ht="27.75" customHeight="1">
      <c r="A1171" s="60"/>
      <c r="B1171" s="61"/>
      <c r="D1171" s="86">
        <v>18</v>
      </c>
      <c r="E1171" s="84" t="str">
        <f>INDEX('حذف از تولید و لیست اصلی'!B:B,MATCH('کاتالوگ مبلمان'!J1171,'حذف از تولید و لیست اصلی'!I:I,0))</f>
        <v>2150020100</v>
      </c>
      <c r="F1171" s="180" t="str">
        <f>INDEX('حذف از تولید و لیست اصلی'!C:C,MATCH('کاتالوگ مبلمان'!J1171,'حذف از تولید و لیست اصلی'!I:I,0))</f>
        <v>بوفه کف جیوا دو درب با قاب</v>
      </c>
      <c r="G1171" s="181"/>
      <c r="H1171" s="182"/>
      <c r="I1171" s="85">
        <f>INDEX('حذف از تولید و لیست اصلی'!E:E,MATCH('کاتالوگ مبلمان'!J1171,'حذف از تولید و لیست اصلی'!I:I,0))</f>
        <v>3004000000</v>
      </c>
      <c r="J1171" s="64">
        <v>450</v>
      </c>
    </row>
    <row r="1172" spans="1:10" ht="27.75" customHeight="1">
      <c r="A1172" s="60"/>
      <c r="B1172" s="61"/>
      <c r="D1172" s="86">
        <v>19</v>
      </c>
      <c r="E1172" s="84" t="str">
        <f>INDEX('حذف از تولید و لیست اصلی'!B:B,MATCH('کاتالوگ مبلمان'!J1172,'حذف از تولید و لیست اصلی'!I:I,0))</f>
        <v>2150020100</v>
      </c>
      <c r="F1172" s="180" t="str">
        <f>INDEX('حذف از تولید و لیست اصلی'!C:C,MATCH('کاتالوگ مبلمان'!J1172,'حذف از تولید و لیست اصلی'!I:I,0))</f>
        <v>بوفه کف جیوا دو درب بدون قاب</v>
      </c>
      <c r="G1172" s="181"/>
      <c r="H1172" s="182"/>
      <c r="I1172" s="85">
        <f>INDEX('حذف از تولید و لیست اصلی'!E:E,MATCH('کاتالوگ مبلمان'!J1172,'حذف از تولید و لیست اصلی'!I:I,0))</f>
        <v>2303000000</v>
      </c>
      <c r="J1172" s="64">
        <v>451</v>
      </c>
    </row>
    <row r="1173" spans="1:10" ht="27.75" customHeight="1">
      <c r="A1173" s="60"/>
      <c r="B1173" s="61"/>
      <c r="D1173" s="86">
        <v>20</v>
      </c>
      <c r="E1173" s="84" t="str">
        <f>INDEX('حذف از تولید و لیست اصلی'!B:B,MATCH('کاتالوگ مبلمان'!J1173,'حذف از تولید و لیست اصلی'!I:I,0))</f>
        <v>2150020300</v>
      </c>
      <c r="F1173" s="180" t="str">
        <f>INDEX('حذف از تولید و لیست اصلی'!C:C,MATCH('کاتالوگ مبلمان'!J1173,'حذف از تولید و لیست اصلی'!I:I,0))</f>
        <v>قاب آینه بوفه کف جیوا دو درب</v>
      </c>
      <c r="G1173" s="181"/>
      <c r="H1173" s="182"/>
      <c r="I1173" s="85">
        <f>INDEX('حذف از تولید و لیست اصلی'!E:E,MATCH('کاتالوگ مبلمان'!J1173,'حذف از تولید و لیست اصلی'!I:I,0))</f>
        <v>701000000</v>
      </c>
      <c r="J1173" s="64">
        <v>452</v>
      </c>
    </row>
    <row r="1174" spans="1:10">
      <c r="A1174" s="60"/>
      <c r="B1174" s="61"/>
      <c r="E1174"/>
      <c r="F1174"/>
      <c r="G1174"/>
      <c r="H1174"/>
      <c r="I1174"/>
    </row>
    <row r="1175" spans="1:10">
      <c r="A1175" s="60"/>
      <c r="B1175" s="61"/>
      <c r="I1175" s="74">
        <v>51</v>
      </c>
    </row>
    <row r="1176" spans="1:10" ht="22.5" customHeight="1">
      <c r="A1176" s="70"/>
      <c r="B1176" s="71"/>
      <c r="C1176" s="183"/>
      <c r="D1176" s="184"/>
      <c r="E1176" s="184"/>
      <c r="F1176" s="184"/>
      <c r="G1176" s="184"/>
      <c r="H1176" s="184"/>
      <c r="I1176" s="184"/>
    </row>
    <row r="1177" spans="1:10" ht="22.5" customHeight="1">
      <c r="A1177" s="70"/>
      <c r="B1177" s="71"/>
      <c r="C1177" s="183"/>
      <c r="D1177" s="184"/>
      <c r="E1177" s="184"/>
      <c r="F1177" s="184"/>
      <c r="G1177" s="184"/>
      <c r="H1177" s="184"/>
      <c r="I1177" s="184"/>
    </row>
    <row r="1178" spans="1:10" ht="27.75">
      <c r="A1178" s="70"/>
      <c r="B1178" s="71"/>
      <c r="C1178" s="72"/>
      <c r="D1178" s="67" t="s">
        <v>1126</v>
      </c>
      <c r="E1178" s="67"/>
      <c r="F1178" s="67"/>
      <c r="I1178" s="68" t="str">
        <f>$M$1</f>
        <v>1405/02/01</v>
      </c>
    </row>
    <row r="1179" spans="1:10" ht="45" customHeight="1">
      <c r="A1179" s="70"/>
      <c r="B1179" s="71"/>
      <c r="C1179" s="77"/>
      <c r="D1179" s="87" t="s">
        <v>0</v>
      </c>
      <c r="E1179" s="88" t="s">
        <v>1</v>
      </c>
      <c r="F1179" s="177" t="s">
        <v>448</v>
      </c>
      <c r="G1179" s="178"/>
      <c r="H1179" s="179"/>
      <c r="I1179" s="89" t="s">
        <v>251</v>
      </c>
    </row>
    <row r="1180" spans="1:10" ht="51.75" customHeight="1">
      <c r="A1180" s="60"/>
      <c r="B1180" s="61"/>
      <c r="D1180" s="84">
        <v>1</v>
      </c>
      <c r="E1180" s="84" t="str">
        <f>INDEX('حذف از تولید و لیست اصلی'!B:B,MATCH('کاتالوگ مبلمان'!J1180,'حذف از تولید و لیست اصلی'!I:I,0))</f>
        <v>2150030700</v>
      </c>
      <c r="F1180" s="180" t="str">
        <f>INDEX('حذف از تولید و لیست اصلی'!C:C,MATCH('کاتالوگ مبلمان'!J1180,'حذف از تولید و لیست اصلی'!I:I,0))</f>
        <v>بوفه ویترین فولیا سه درب</v>
      </c>
      <c r="G1180" s="181"/>
      <c r="H1180" s="182"/>
      <c r="I1180" s="85">
        <f>INDEX('حذف از تولید و لیست اصلی'!E:E,MATCH('کاتالوگ مبلمان'!J1180,'حذف از تولید و لیست اصلی'!I:I,0))</f>
        <v>3552000000</v>
      </c>
      <c r="J1180" s="64">
        <v>453</v>
      </c>
    </row>
    <row r="1181" spans="1:10" ht="51.75" customHeight="1">
      <c r="A1181" s="60"/>
      <c r="B1181" s="61"/>
      <c r="C1181" s="78"/>
      <c r="D1181" s="86">
        <v>2</v>
      </c>
      <c r="E1181" s="84" t="str">
        <f>INDEX('حذف از تولید و لیست اصلی'!B:B,MATCH('کاتالوگ مبلمان'!J1181,'حذف از تولید و لیست اصلی'!I:I,0))</f>
        <v>2150020700</v>
      </c>
      <c r="F1181" s="180" t="str">
        <f>INDEX('حذف از تولید و لیست اصلی'!C:C,MATCH('کاتالوگ مبلمان'!J1181,'حذف از تولید و لیست اصلی'!I:I,0))</f>
        <v>بوفه ویترین جیوا سه درب</v>
      </c>
      <c r="G1181" s="181"/>
      <c r="H1181" s="182"/>
      <c r="I1181" s="85">
        <f>INDEX('حذف از تولید و لیست اصلی'!E:E,MATCH('کاتالوگ مبلمان'!J1181,'حذف از تولید و لیست اصلی'!I:I,0))</f>
        <v>4836000000</v>
      </c>
      <c r="J1181" s="64">
        <v>454</v>
      </c>
    </row>
    <row r="1182" spans="1:10" ht="51.75" customHeight="1">
      <c r="A1182" s="60"/>
      <c r="B1182" s="61"/>
      <c r="D1182" s="86">
        <v>3</v>
      </c>
      <c r="E1182" s="84" t="str">
        <f>INDEX('حذف از تولید و لیست اصلی'!B:B,MATCH('کاتالوگ مبلمان'!J1182,'حذف از تولید و لیست اصلی'!I:I,0))</f>
        <v>2150090800</v>
      </c>
      <c r="F1182" s="180" t="str">
        <f>INDEX('حذف از تولید و لیست اصلی'!C:C,MATCH('کاتالوگ مبلمان'!J1182,'حذف از تولید و لیست اصلی'!I:I,0))</f>
        <v>ویترین لوان</v>
      </c>
      <c r="G1182" s="181"/>
      <c r="H1182" s="182"/>
      <c r="I1182" s="85">
        <f>INDEX('حذف از تولید و لیست اصلی'!E:E,MATCH('کاتالوگ مبلمان'!J1182,'حذف از تولید و لیست اصلی'!I:I,0))</f>
        <v>3753000000</v>
      </c>
      <c r="J1182" s="64">
        <v>455</v>
      </c>
    </row>
    <row r="1183" spans="1:10" ht="51.75" customHeight="1">
      <c r="A1183" s="60"/>
      <c r="B1183" s="61"/>
      <c r="D1183" s="86">
        <v>4</v>
      </c>
      <c r="E1183" s="84" t="str">
        <f>INDEX('حذف از تولید و لیست اصلی'!B:B,MATCH('کاتالوگ مبلمان'!J1183,'حذف از تولید و لیست اصلی'!I:I,0))</f>
        <v>215005070</v>
      </c>
      <c r="F1183" s="180" t="str">
        <f>INDEX('حذف از تولید و لیست اصلی'!C:C,MATCH('کاتالوگ مبلمان'!J1183,'حذف از تولید و لیست اصلی'!I:I,0))</f>
        <v>بوفه ویترین سیپو</v>
      </c>
      <c r="G1183" s="181"/>
      <c r="H1183" s="182"/>
      <c r="I1183" s="85">
        <f>INDEX('حذف از تولید و لیست اصلی'!E:E,MATCH('کاتالوگ مبلمان'!J1183,'حذف از تولید و لیست اصلی'!I:I,0))</f>
        <v>3787000000</v>
      </c>
      <c r="J1183" s="64">
        <v>456</v>
      </c>
    </row>
    <row r="1184" spans="1:10" ht="51.75" customHeight="1">
      <c r="A1184" s="60"/>
      <c r="B1184" s="61"/>
      <c r="D1184" s="86">
        <v>5</v>
      </c>
      <c r="E1184" s="84" t="str">
        <f>INDEX('حذف از تولید و لیست اصلی'!B:B,MATCH('کاتالوگ مبلمان'!J1184,'حذف از تولید و لیست اصلی'!I:I,0))</f>
        <v>2150060500</v>
      </c>
      <c r="F1184" s="180" t="str">
        <f>INDEX('حذف از تولید و لیست اصلی'!C:C,MATCH('کاتالوگ مبلمان'!J1184,'حذف از تولید و لیست اصلی'!I:I,0))</f>
        <v>ویترین اودیره تمام نما</v>
      </c>
      <c r="G1184" s="181"/>
      <c r="H1184" s="182"/>
      <c r="I1184" s="85">
        <f>INDEX('حذف از تولید و لیست اصلی'!E:E,MATCH('کاتالوگ مبلمان'!J1184,'حذف از تولید و لیست اصلی'!I:I,0))</f>
        <v>2101000000</v>
      </c>
      <c r="J1184" s="64">
        <v>457</v>
      </c>
    </row>
    <row r="1185" spans="1:10" ht="51.75" customHeight="1">
      <c r="A1185" s="60"/>
      <c r="B1185" s="61"/>
      <c r="D1185" s="86">
        <v>6</v>
      </c>
      <c r="E1185" s="84" t="str">
        <f>INDEX('حذف از تولید و لیست اصلی'!B:B,MATCH('کاتالوگ مبلمان'!J1185,'حذف از تولید و لیست اصلی'!I:I,0))</f>
        <v>2150061000</v>
      </c>
      <c r="F1185" s="180" t="str">
        <f>INDEX('حذف از تولید و لیست اصلی'!C:C,MATCH('کاتالوگ مبلمان'!J1185,'حذف از تولید و لیست اصلی'!I:I,0))</f>
        <v>ویترین اودیره صندوق دار</v>
      </c>
      <c r="G1185" s="181"/>
      <c r="H1185" s="182"/>
      <c r="I1185" s="85">
        <f>INDEX('حذف از تولید و لیست اصلی'!E:E,MATCH('کاتالوگ مبلمان'!J1185,'حذف از تولید و لیست اصلی'!I:I,0))</f>
        <v>2219000000</v>
      </c>
      <c r="J1185" s="64">
        <v>458</v>
      </c>
    </row>
    <row r="1186" spans="1:10" ht="51.75" customHeight="1">
      <c r="A1186" s="60"/>
      <c r="B1186" s="61"/>
      <c r="D1186" s="86">
        <v>7</v>
      </c>
      <c r="E1186" s="84">
        <f>INDEX('حذف از تولید و لیست اصلی'!B:B,MATCH('کاتالوگ مبلمان'!J1186,'حذف از تولید و لیست اصلی'!I:I,0))</f>
        <v>2150030500</v>
      </c>
      <c r="F1186" s="180" t="str">
        <f>INDEX('حذف از تولید و لیست اصلی'!C:C,MATCH('کاتالوگ مبلمان'!J1186,'حذف از تولید و لیست اصلی'!I:I,0))</f>
        <v>ویترین فولیا تمام نما</v>
      </c>
      <c r="G1186" s="181"/>
      <c r="H1186" s="182"/>
      <c r="I1186" s="85">
        <f>INDEX('حذف از تولید و لیست اصلی'!E:E,MATCH('کاتالوگ مبلمان'!J1186,'حذف از تولید و لیست اصلی'!I:I,0))</f>
        <v>1355000000</v>
      </c>
      <c r="J1186" s="64">
        <v>459</v>
      </c>
    </row>
    <row r="1187" spans="1:10" ht="51.75" customHeight="1">
      <c r="A1187" s="60"/>
      <c r="B1187" s="61"/>
      <c r="D1187" s="86">
        <v>8</v>
      </c>
      <c r="E1187" s="84" t="str">
        <f>INDEX('حذف از تولید و لیست اصلی'!B:B,MATCH('کاتالوگ مبلمان'!J1187,'حذف از تولید و لیست اصلی'!I:I,0))</f>
        <v>2150060900</v>
      </c>
      <c r="F1187" s="180" t="str">
        <f>INDEX('حذف از تولید و لیست اصلی'!C:C,MATCH('کاتالوگ مبلمان'!J1187,'حذف از تولید و لیست اصلی'!I:I,0))</f>
        <v>ویترین اودیره کشو دار</v>
      </c>
      <c r="G1187" s="181"/>
      <c r="H1187" s="182"/>
      <c r="I1187" s="85">
        <f>INDEX('حذف از تولید و لیست اصلی'!E:E,MATCH('کاتالوگ مبلمان'!J1187,'حذف از تولید و لیست اصلی'!I:I,0))</f>
        <v>2663000000</v>
      </c>
      <c r="J1187" s="64">
        <v>460</v>
      </c>
    </row>
    <row r="1188" spans="1:10" ht="51.75" customHeight="1">
      <c r="A1188" s="60"/>
      <c r="B1188" s="61"/>
      <c r="D1188" s="86">
        <v>9</v>
      </c>
      <c r="E1188" s="84" t="str">
        <f>INDEX('حذف از تولید و لیست اصلی'!B:B,MATCH('کاتالوگ مبلمان'!J1188,'حذف از تولید و لیست اصلی'!I:I,0))</f>
        <v>2150080600</v>
      </c>
      <c r="F1188" s="180" t="str">
        <f>INDEX('حذف از تولید و لیست اصلی'!C:C,MATCH('کاتالوگ مبلمان'!J1188,'حذف از تولید و لیست اصلی'!I:I,0))</f>
        <v>استند سامبا 100</v>
      </c>
      <c r="G1188" s="181"/>
      <c r="H1188" s="182"/>
      <c r="I1188" s="85">
        <f>INDEX('حذف از تولید و لیست اصلی'!E:E,MATCH('کاتالوگ مبلمان'!J1188,'حذف از تولید و لیست اصلی'!I:I,0))</f>
        <v>1251000000</v>
      </c>
      <c r="J1188" s="64">
        <v>461</v>
      </c>
    </row>
    <row r="1189" spans="1:10" ht="51.75" customHeight="1">
      <c r="A1189" s="60"/>
      <c r="B1189" s="61"/>
      <c r="D1189" s="86">
        <v>10</v>
      </c>
      <c r="E1189" s="84" t="str">
        <f>INDEX('حذف از تولید و لیست اصلی'!B:B,MATCH('کاتالوگ مبلمان'!J1189,'حذف از تولید و لیست اصلی'!I:I,0))</f>
        <v>2150010600</v>
      </c>
      <c r="F1189" s="180" t="str">
        <f>INDEX('حذف از تولید و لیست اصلی'!C:C,MATCH('کاتالوگ مبلمان'!J1189,'حذف از تولید و لیست اصلی'!I:I,0))</f>
        <v>استند ساپلی 140</v>
      </c>
      <c r="G1189" s="181"/>
      <c r="H1189" s="182"/>
      <c r="I1189" s="85">
        <f>INDEX('حذف از تولید و لیست اصلی'!E:E,MATCH('کاتالوگ مبلمان'!J1189,'حذف از تولید و لیست اصلی'!I:I,0))</f>
        <v>825000000</v>
      </c>
      <c r="J1189" s="64">
        <v>462</v>
      </c>
    </row>
    <row r="1190" spans="1:10">
      <c r="A1190" s="60"/>
      <c r="B1190" s="61"/>
      <c r="D1190" s="28"/>
      <c r="E1190" s="65"/>
      <c r="F1190" s="65"/>
      <c r="G1190" s="65"/>
      <c r="I1190" s="74"/>
    </row>
    <row r="1191" spans="1:10">
      <c r="A1191" s="60"/>
      <c r="B1191" s="61"/>
      <c r="D1191" s="28"/>
      <c r="E1191" s="65"/>
      <c r="F1191" s="65"/>
      <c r="G1191" s="65"/>
      <c r="I1191" s="74"/>
    </row>
    <row r="1192" spans="1:10">
      <c r="A1192" s="60"/>
      <c r="B1192" s="61"/>
      <c r="D1192" s="28"/>
      <c r="E1192" s="65"/>
      <c r="F1192" s="65"/>
      <c r="G1192" s="65"/>
      <c r="I1192" s="74"/>
    </row>
    <row r="1193" spans="1:10">
      <c r="A1193" s="60"/>
      <c r="B1193" s="61"/>
      <c r="D1193" s="28"/>
      <c r="E1193" s="65"/>
      <c r="F1193" s="65"/>
      <c r="G1193" s="65"/>
      <c r="I1193" s="74">
        <v>52</v>
      </c>
    </row>
    <row r="1194" spans="1:10" ht="22.5" customHeight="1">
      <c r="A1194" s="60"/>
      <c r="B1194" s="61"/>
      <c r="C1194" s="183"/>
      <c r="D1194" s="184"/>
      <c r="E1194" s="184"/>
      <c r="F1194" s="184"/>
      <c r="G1194" s="184"/>
      <c r="H1194" s="184"/>
      <c r="I1194" s="184"/>
    </row>
    <row r="1195" spans="1:10" ht="22.5" customHeight="1">
      <c r="A1195" s="60"/>
      <c r="B1195" s="61"/>
      <c r="C1195" s="183"/>
      <c r="D1195" s="184"/>
      <c r="E1195" s="184"/>
      <c r="F1195" s="184"/>
      <c r="G1195" s="184"/>
      <c r="H1195" s="184"/>
      <c r="I1195" s="184"/>
    </row>
    <row r="1196" spans="1:10" ht="30.75" customHeight="1">
      <c r="A1196" s="60"/>
      <c r="B1196" s="61"/>
      <c r="D1196" s="67" t="s">
        <v>411</v>
      </c>
      <c r="E1196" s="67"/>
      <c r="F1196" s="67"/>
      <c r="I1196" s="68" t="str">
        <f>$M$1</f>
        <v>1405/02/01</v>
      </c>
    </row>
    <row r="1197" spans="1:10" ht="45" customHeight="1">
      <c r="A1197" s="60"/>
      <c r="B1197" s="61"/>
      <c r="D1197" s="87" t="s">
        <v>0</v>
      </c>
      <c r="E1197" s="88" t="s">
        <v>1</v>
      </c>
      <c r="F1197" s="177" t="s">
        <v>448</v>
      </c>
      <c r="G1197" s="178"/>
      <c r="H1197" s="179"/>
      <c r="I1197" s="89" t="s">
        <v>251</v>
      </c>
    </row>
    <row r="1198" spans="1:10" ht="60.75" customHeight="1">
      <c r="A1198" s="60"/>
      <c r="B1198" s="61"/>
      <c r="D1198" s="84">
        <v>1</v>
      </c>
      <c r="E1198" s="84" t="str">
        <f>INDEX('حذف از تولید و لیست اصلی'!B:B,MATCH('کاتالوگ مبلمان'!J1198,'حذف از تولید و لیست اصلی'!I:I,0))</f>
        <v>2160010100</v>
      </c>
      <c r="F1198" s="180" t="str">
        <f>INDEX('حذف از تولید و لیست اصلی'!C:C,MATCH('کاتالوگ مبلمان'!J1198,'حذف از تولید و لیست اصلی'!I:I,0))</f>
        <v>کتابخانه ساپلی</v>
      </c>
      <c r="G1198" s="181"/>
      <c r="H1198" s="182"/>
      <c r="I1198" s="85">
        <f>INDEX('حذف از تولید و لیست اصلی'!E:E,MATCH('کاتالوگ مبلمان'!J1198,'حذف از تولید و لیست اصلی'!I:I,0))</f>
        <v>1024000000</v>
      </c>
      <c r="J1198" s="64">
        <v>463</v>
      </c>
    </row>
    <row r="1199" spans="1:10" ht="60.75" customHeight="1">
      <c r="A1199" s="60"/>
      <c r="B1199" s="61"/>
      <c r="D1199" s="86">
        <v>2</v>
      </c>
      <c r="E1199" s="84" t="str">
        <f>INDEX('حذف از تولید و لیست اصلی'!B:B,MATCH('کاتالوگ مبلمان'!J1199,'حذف از تولید و لیست اصلی'!I:I,0))</f>
        <v>2160010200</v>
      </c>
      <c r="F1199" s="180" t="str">
        <f>INDEX('حذف از تولید و لیست اصلی'!C:C,MATCH('کاتالوگ مبلمان'!J1199,'حذف از تولید و لیست اصلی'!I:I,0))</f>
        <v>میز تحریر ساپلی</v>
      </c>
      <c r="G1199" s="181"/>
      <c r="H1199" s="182"/>
      <c r="I1199" s="85">
        <f>INDEX('حذف از تولید و لیست اصلی'!E:E,MATCH('کاتالوگ مبلمان'!J1199,'حذف از تولید و لیست اصلی'!I:I,0))</f>
        <v>1515000000</v>
      </c>
      <c r="J1199" s="64">
        <v>464</v>
      </c>
    </row>
    <row r="1200" spans="1:10" ht="60.75" customHeight="1">
      <c r="A1200" s="60"/>
      <c r="B1200" s="61"/>
      <c r="D1200" s="86">
        <v>3</v>
      </c>
      <c r="E1200" s="84" t="str">
        <f>INDEX('حذف از تولید و لیست اصلی'!B:B,MATCH('کاتالوگ مبلمان'!J1200,'حذف از تولید و لیست اصلی'!I:I,0))</f>
        <v>2170060204</v>
      </c>
      <c r="F1200" s="180" t="str">
        <f>INDEX('حذف از تولید و لیست اصلی'!C:C,MATCH('کاتالوگ مبلمان'!J1200,'حذف از تولید و لیست اصلی'!I:I,0))</f>
        <v>میز کنار مبلی ایفل</v>
      </c>
      <c r="G1200" s="181"/>
      <c r="H1200" s="182"/>
      <c r="I1200" s="85">
        <f>INDEX('حذف از تولید و لیست اصلی'!E:E,MATCH('کاتالوگ مبلمان'!J1200,'حذف از تولید و لیست اصلی'!I:I,0))</f>
        <v>570000000</v>
      </c>
      <c r="J1200" s="64">
        <v>465</v>
      </c>
    </row>
    <row r="1201" spans="1:10" ht="60.75" customHeight="1">
      <c r="A1201" s="60"/>
      <c r="B1201" s="61"/>
      <c r="D1201" s="86">
        <v>4</v>
      </c>
      <c r="E1201" s="84" t="str">
        <f>INDEX('حذف از تولید و لیست اصلی'!B:B,MATCH('کاتالوگ مبلمان'!J1201,'حذف از تولید و لیست اصلی'!I:I,0))</f>
        <v>2170060600</v>
      </c>
      <c r="F1201" s="180" t="str">
        <f>INDEX('حذف از تولید و لیست اصلی'!C:C,MATCH('کاتالوگ مبلمان'!J1201,'حذف از تولید و لیست اصلی'!I:I,0))</f>
        <v>میز بازی کایسا</v>
      </c>
      <c r="G1201" s="181"/>
      <c r="H1201" s="182"/>
      <c r="I1201" s="85">
        <f>INDEX('حذف از تولید و لیست اصلی'!E:E,MATCH('کاتالوگ مبلمان'!J1201,'حذف از تولید و لیست اصلی'!I:I,0))</f>
        <v>1022000000</v>
      </c>
      <c r="J1201" s="64">
        <v>466</v>
      </c>
    </row>
    <row r="1202" spans="1:10" ht="60.75" customHeight="1">
      <c r="A1202" s="60"/>
      <c r="B1202" s="61"/>
      <c r="D1202" s="86">
        <v>5</v>
      </c>
      <c r="E1202" s="84" t="str">
        <f>INDEX('حذف از تولید و لیست اصلی'!B:B,MATCH('کاتالوگ مبلمان'!J1202,'حذف از تولید و لیست اصلی'!I:I,0))</f>
        <v>2170060600</v>
      </c>
      <c r="F1202" s="180" t="str">
        <f>INDEX('حذف از تولید و لیست اصلی'!C:C,MATCH('کاتالوگ مبلمان'!J1202,'حذف از تولید و لیست اصلی'!I:I,0))</f>
        <v>میز بازی کایسا(بدون پارچه)</v>
      </c>
      <c r="G1202" s="181"/>
      <c r="H1202" s="182"/>
      <c r="I1202" s="85">
        <f>INDEX('حذف از تولید و لیست اصلی'!E:E,MATCH('کاتالوگ مبلمان'!J1202,'حذف از تولید و لیست اصلی'!I:I,0))</f>
        <v>965000000</v>
      </c>
      <c r="J1202" s="64">
        <v>467</v>
      </c>
    </row>
    <row r="1203" spans="1:10" ht="60.75" customHeight="1">
      <c r="A1203" s="60"/>
      <c r="B1203" s="61"/>
      <c r="D1203" s="86">
        <v>6</v>
      </c>
      <c r="E1203" s="84">
        <f>INDEX('حذف از تولید و لیست اصلی'!B:B,MATCH('کاتالوگ مبلمان'!J1203,'حذف از تولید و لیست اصلی'!I:I,0))</f>
        <v>2170060502</v>
      </c>
      <c r="F1203" s="180" t="str">
        <f>INDEX('حذف از تولید و لیست اصلی'!C:C,MATCH('کاتالوگ مبلمان'!J1203,'حذف از تولید و لیست اصلی'!I:I,0))</f>
        <v>میز استند بلند آلدر</v>
      </c>
      <c r="G1203" s="181"/>
      <c r="H1203" s="182"/>
      <c r="I1203" s="85">
        <f>INDEX('حذف از تولید و لیست اصلی'!E:E,MATCH('کاتالوگ مبلمان'!J1203,'حذف از تولید و لیست اصلی'!I:I,0))</f>
        <v>596000000</v>
      </c>
      <c r="J1203" s="64">
        <v>468</v>
      </c>
    </row>
    <row r="1204" spans="1:10" ht="60.75" customHeight="1">
      <c r="A1204" s="60"/>
      <c r="B1204" s="61"/>
      <c r="D1204" s="86">
        <v>7</v>
      </c>
      <c r="E1204" s="84">
        <f>INDEX('حذف از تولید و لیست اصلی'!B:B,MATCH('کاتالوگ مبلمان'!J1204,'حذف از تولید و لیست اصلی'!I:I,0))</f>
        <v>2170060501</v>
      </c>
      <c r="F1204" s="180" t="str">
        <f>INDEX('حذف از تولید و لیست اصلی'!C:C,MATCH('کاتالوگ مبلمان'!J1204,'حذف از تولید و لیست اصلی'!I:I,0))</f>
        <v>میز استند کوتاه آلدر</v>
      </c>
      <c r="G1204" s="181"/>
      <c r="H1204" s="182"/>
      <c r="I1204" s="85">
        <f>INDEX('حذف از تولید و لیست اصلی'!E:E,MATCH('کاتالوگ مبلمان'!J1204,'حذف از تولید و لیست اصلی'!I:I,0))</f>
        <v>525000000</v>
      </c>
      <c r="J1204" s="64">
        <v>469</v>
      </c>
    </row>
    <row r="1205" spans="1:10">
      <c r="A1205" s="60"/>
      <c r="B1205" s="61"/>
      <c r="D1205"/>
      <c r="E1205"/>
      <c r="F1205"/>
      <c r="G1205"/>
      <c r="H1205"/>
      <c r="I1205"/>
    </row>
    <row r="1206" spans="1:10">
      <c r="A1206" s="60"/>
      <c r="B1206" s="61"/>
      <c r="D1206"/>
      <c r="E1206"/>
      <c r="F1206"/>
      <c r="G1206"/>
      <c r="H1206"/>
      <c r="I1206"/>
    </row>
    <row r="1207" spans="1:10">
      <c r="A1207" s="60"/>
      <c r="B1207" s="61"/>
      <c r="D1207"/>
      <c r="E1207"/>
      <c r="F1207"/>
      <c r="G1207"/>
      <c r="H1207"/>
      <c r="I1207"/>
    </row>
    <row r="1208" spans="1:10">
      <c r="A1208" s="60"/>
      <c r="B1208" s="61"/>
      <c r="D1208"/>
      <c r="E1208"/>
      <c r="F1208"/>
      <c r="G1208"/>
      <c r="H1208"/>
      <c r="I1208"/>
    </row>
    <row r="1209" spans="1:10">
      <c r="A1209" s="60"/>
      <c r="B1209" s="61"/>
      <c r="D1209"/>
      <c r="E1209"/>
      <c r="F1209"/>
      <c r="G1209"/>
      <c r="H1209"/>
      <c r="I1209"/>
    </row>
    <row r="1210" spans="1:10">
      <c r="A1210" s="60"/>
      <c r="B1210" s="61"/>
      <c r="D1210"/>
      <c r="E1210"/>
      <c r="F1210"/>
      <c r="G1210"/>
      <c r="H1210"/>
      <c r="I1210"/>
    </row>
    <row r="1211" spans="1:10">
      <c r="A1211" s="60"/>
      <c r="B1211" s="61"/>
      <c r="D1211"/>
      <c r="E1211"/>
      <c r="F1211"/>
      <c r="G1211"/>
      <c r="H1211"/>
      <c r="I1211"/>
    </row>
    <row r="1212" spans="1:10">
      <c r="A1212" s="60"/>
      <c r="B1212" s="61"/>
      <c r="D1212"/>
      <c r="E1212"/>
      <c r="F1212"/>
      <c r="G1212"/>
      <c r="H1212"/>
      <c r="I1212"/>
    </row>
    <row r="1213" spans="1:10">
      <c r="A1213" s="60"/>
      <c r="B1213" s="61"/>
      <c r="I1213" s="74">
        <v>53</v>
      </c>
    </row>
    <row r="1214" spans="1:10" ht="23.25" customHeight="1">
      <c r="A1214" s="70"/>
      <c r="B1214" s="71"/>
      <c r="C1214" s="183"/>
      <c r="D1214" s="184"/>
      <c r="E1214" s="184"/>
      <c r="F1214" s="184"/>
      <c r="G1214" s="184"/>
      <c r="H1214" s="184"/>
      <c r="I1214" s="184"/>
    </row>
    <row r="1215" spans="1:10" ht="23.25" customHeight="1">
      <c r="A1215" s="70"/>
      <c r="B1215" s="71"/>
      <c r="C1215" s="183"/>
      <c r="D1215" s="184"/>
      <c r="E1215" s="184"/>
      <c r="F1215" s="184"/>
      <c r="G1215" s="184"/>
      <c r="H1215" s="184"/>
      <c r="I1215" s="184"/>
    </row>
    <row r="1216" spans="1:10" ht="27.75">
      <c r="A1216" s="70"/>
      <c r="B1216" s="71"/>
      <c r="C1216" s="72"/>
      <c r="D1216" s="67" t="s">
        <v>1129</v>
      </c>
      <c r="E1216" s="67"/>
      <c r="F1216" s="67"/>
      <c r="I1216" s="68" t="str">
        <f>$M$1</f>
        <v>1405/02/01</v>
      </c>
    </row>
    <row r="1217" spans="1:10" ht="45" customHeight="1">
      <c r="A1217" s="70"/>
      <c r="B1217" s="71"/>
      <c r="C1217" s="77"/>
      <c r="D1217" s="75" t="s">
        <v>0</v>
      </c>
      <c r="E1217" s="69" t="s">
        <v>1</v>
      </c>
      <c r="F1217" s="199" t="s">
        <v>448</v>
      </c>
      <c r="G1217" s="200"/>
      <c r="H1217" s="201"/>
      <c r="I1217" s="68" t="s">
        <v>251</v>
      </c>
    </row>
    <row r="1218" spans="1:10" ht="124.5" customHeight="1">
      <c r="A1218" s="60"/>
      <c r="B1218" s="61"/>
      <c r="D1218" s="84">
        <v>1</v>
      </c>
      <c r="E1218" s="84" t="str">
        <f>INDEX('حذف از تولید و لیست اصلی'!B:B,MATCH('کاتالوگ مبلمان'!J1218,'حذف از تولید و لیست اصلی'!I:I,0))</f>
        <v>2170070101</v>
      </c>
      <c r="F1218" s="180" t="str">
        <f>INDEX('حذف از تولید و لیست اصلی'!C:C,MATCH('کاتالوگ مبلمان'!J1218,'حذف از تولید و لیست اصلی'!I:I,0))</f>
        <v>شلف باکس / 210 دو طرفه ( شامل دو عدد باکس اصلی210 + شلف اصلی طبقه بالا و پایین 118 + دو عدد باکس داخلی75 + دو عدد باکس داخلی 55 + سه عدد شلف طبقه 90 + یک عدد شلف طبقه 60 )</v>
      </c>
      <c r="G1218" s="181"/>
      <c r="H1218" s="182"/>
      <c r="I1218" s="85">
        <f>INDEX('حذف از تولید و لیست اصلی'!E:E,MATCH('کاتالوگ مبلمان'!J1218,'حذف از تولید و لیست اصلی'!I:I,0))</f>
        <v>3490000000</v>
      </c>
      <c r="J1218" s="64">
        <v>470</v>
      </c>
    </row>
    <row r="1219" spans="1:10" ht="42.75" customHeight="1">
      <c r="A1219" s="60"/>
      <c r="B1219" s="61"/>
      <c r="C1219" s="78"/>
      <c r="D1219" s="86">
        <v>2</v>
      </c>
      <c r="E1219" s="84" t="str">
        <f>INDEX('حذف از تولید و لیست اصلی'!B:B,MATCH('کاتالوگ مبلمان'!J1219,'حذف از تولید و لیست اصلی'!I:I,0))</f>
        <v xml:space="preserve">2170070101 </v>
      </c>
      <c r="F1219" s="180" t="str">
        <f>INDEX('حذف از تولید و لیست اصلی'!C:C,MATCH('کاتالوگ مبلمان'!J1219,'حذف از تولید و لیست اصلی'!I:I,0))</f>
        <v>باکس اصلی / 210</v>
      </c>
      <c r="G1219" s="181"/>
      <c r="H1219" s="182"/>
      <c r="I1219" s="85">
        <f>INDEX('حذف از تولید و لیست اصلی'!E:E,MATCH('کاتالوگ مبلمان'!J1219,'حذف از تولید و لیست اصلی'!I:I,0))</f>
        <v>575000000</v>
      </c>
      <c r="J1219" s="64">
        <v>471</v>
      </c>
    </row>
    <row r="1220" spans="1:10" ht="42.75" customHeight="1">
      <c r="A1220" s="60"/>
      <c r="B1220" s="61"/>
      <c r="D1220" s="86">
        <v>3</v>
      </c>
      <c r="E1220" s="84" t="str">
        <f>INDEX('حذف از تولید و لیست اصلی'!B:B,MATCH('کاتالوگ مبلمان'!J1220,'حذف از تولید و لیست اصلی'!I:I,0))</f>
        <v>2170079901</v>
      </c>
      <c r="F1220" s="180" t="str">
        <f>INDEX('حذف از تولید و لیست اصلی'!C:C,MATCH('کاتالوگ مبلمان'!J1220,'حذف از تولید و لیست اصلی'!I:I,0))</f>
        <v>باکس داخلی / 75</v>
      </c>
      <c r="G1220" s="181"/>
      <c r="H1220" s="182"/>
      <c r="I1220" s="85">
        <f>INDEX('حذف از تولید و لیست اصلی'!E:E,MATCH('کاتالوگ مبلمان'!J1220,'حذف از تولید و لیست اصلی'!I:I,0))</f>
        <v>285000000</v>
      </c>
      <c r="J1220" s="64">
        <v>472</v>
      </c>
    </row>
    <row r="1221" spans="1:10" ht="42.75" customHeight="1">
      <c r="A1221" s="60"/>
      <c r="B1221" s="61"/>
      <c r="D1221" s="86">
        <v>4</v>
      </c>
      <c r="E1221" s="84" t="str">
        <f>INDEX('حذف از تولید و لیست اصلی'!B:B,MATCH('کاتالوگ مبلمان'!J1221,'حذف از تولید و لیست اصلی'!I:I,0))</f>
        <v>2170079903</v>
      </c>
      <c r="F1221" s="180" t="str">
        <f>INDEX('حذف از تولید و لیست اصلی'!C:C,MATCH('کاتالوگ مبلمان'!J1221,'حذف از تولید و لیست اصلی'!I:I,0))</f>
        <v>باکس داخلی / 55</v>
      </c>
      <c r="G1221" s="181"/>
      <c r="H1221" s="182"/>
      <c r="I1221" s="85">
        <f>INDEX('حذف از تولید و لیست اصلی'!E:E,MATCH('کاتالوگ مبلمان'!J1221,'حذف از تولید و لیست اصلی'!I:I,0))</f>
        <v>250000000</v>
      </c>
      <c r="J1221" s="64">
        <v>473</v>
      </c>
    </row>
    <row r="1222" spans="1:10" ht="42.75" customHeight="1">
      <c r="A1222" s="60"/>
      <c r="B1222" s="61"/>
      <c r="D1222" s="86">
        <v>5</v>
      </c>
      <c r="E1222" s="84" t="str">
        <f>INDEX('حذف از تولید و لیست اصلی'!B:B,MATCH('کاتالوگ مبلمان'!J1222,'حذف از تولید و لیست اصلی'!I:I,0))</f>
        <v>2170070201</v>
      </c>
      <c r="F1222" s="180" t="str">
        <f>INDEX('حذف از تولید و لیست اصلی'!C:C,MATCH('کاتالوگ مبلمان'!J1222,'حذف از تولید و لیست اصلی'!I:I,0))</f>
        <v>شلف اصلی طبقه بالا / 118</v>
      </c>
      <c r="G1222" s="181"/>
      <c r="H1222" s="182"/>
      <c r="I1222" s="85">
        <f>INDEX('حذف از تولید و لیست اصلی'!E:E,MATCH('کاتالوگ مبلمان'!J1222,'حذف از تولید و لیست اصلی'!I:I,0))</f>
        <v>226000000</v>
      </c>
      <c r="J1222" s="64">
        <v>474</v>
      </c>
    </row>
    <row r="1223" spans="1:10" ht="42.75" customHeight="1">
      <c r="A1223" s="60"/>
      <c r="B1223" s="61"/>
      <c r="D1223" s="86">
        <v>6</v>
      </c>
      <c r="E1223" s="84" t="str">
        <f>INDEX('حذف از تولید و لیست اصلی'!B:B,MATCH('کاتالوگ مبلمان'!J1223,'حذف از تولید و لیست اصلی'!I:I,0))</f>
        <v xml:space="preserve">2170070202 </v>
      </c>
      <c r="F1223" s="180" t="str">
        <f>INDEX('حذف از تولید و لیست اصلی'!C:C,MATCH('کاتالوگ مبلمان'!J1223,'حذف از تولید و لیست اصلی'!I:I,0))</f>
        <v>شلف اصلی طبقه پایین / 118</v>
      </c>
      <c r="G1223" s="181"/>
      <c r="H1223" s="182"/>
      <c r="I1223" s="85">
        <f>INDEX('حذف از تولید و لیست اصلی'!E:E,MATCH('کاتالوگ مبلمان'!J1223,'حذف از تولید و لیست اصلی'!I:I,0))</f>
        <v>238000000</v>
      </c>
      <c r="J1223" s="64">
        <v>475</v>
      </c>
    </row>
    <row r="1224" spans="1:10" ht="42.75" customHeight="1">
      <c r="A1224" s="60"/>
      <c r="B1224" s="61"/>
      <c r="D1224" s="86">
        <v>7</v>
      </c>
      <c r="E1224" s="84" t="str">
        <f>INDEX('حذف از تولید و لیست اصلی'!B:B,MATCH('کاتالوگ مبلمان'!J1224,'حذف از تولید و لیست اصلی'!I:I,0))</f>
        <v xml:space="preserve">2170070301 </v>
      </c>
      <c r="F1224" s="180" t="str">
        <f>INDEX('حذف از تولید و لیست اصلی'!C:C,MATCH('کاتالوگ مبلمان'!J1224,'حذف از تولید و لیست اصلی'!I:I,0))</f>
        <v>شلف طبقه / 90</v>
      </c>
      <c r="G1224" s="181"/>
      <c r="H1224" s="182"/>
      <c r="I1224" s="85">
        <f>INDEX('حذف از تولید و لیست اصلی'!E:E,MATCH('کاتالوگ مبلمان'!J1224,'حذف از تولید و لیست اصلی'!I:I,0))</f>
        <v>204000000</v>
      </c>
      <c r="J1224" s="64">
        <v>476</v>
      </c>
    </row>
    <row r="1225" spans="1:10" ht="42.75" customHeight="1">
      <c r="A1225" s="60"/>
      <c r="B1225" s="61"/>
      <c r="D1225" s="86">
        <v>8</v>
      </c>
      <c r="E1225" s="84" t="str">
        <f>INDEX('حذف از تولید و لیست اصلی'!B:B,MATCH('کاتالوگ مبلمان'!J1225,'حذف از تولید و لیست اصلی'!I:I,0))</f>
        <v xml:space="preserve">2170070302 </v>
      </c>
      <c r="F1225" s="180" t="str">
        <f>INDEX('حذف از تولید و لیست اصلی'!C:C,MATCH('کاتالوگ مبلمان'!J1225,'حذف از تولید و لیست اصلی'!I:I,0))</f>
        <v>شلف طبقه / 60</v>
      </c>
      <c r="G1225" s="181"/>
      <c r="H1225" s="182"/>
      <c r="I1225" s="85">
        <f>INDEX('حذف از تولید و لیست اصلی'!E:E,MATCH('کاتالوگ مبلمان'!J1225,'حذف از تولید و لیست اصلی'!I:I,0))</f>
        <v>194000000</v>
      </c>
      <c r="J1225" s="64">
        <v>477</v>
      </c>
    </row>
    <row r="1226" spans="1:10" ht="22.5" customHeight="1">
      <c r="A1226" s="60"/>
      <c r="B1226" s="61"/>
      <c r="D1226" s="97"/>
      <c r="E1226" s="83"/>
      <c r="F1226" s="83"/>
      <c r="G1226" s="83"/>
      <c r="H1226" s="83"/>
      <c r="I1226" s="85"/>
    </row>
    <row r="1227" spans="1:10" ht="22.5" customHeight="1">
      <c r="A1227" s="60"/>
      <c r="B1227" s="61"/>
      <c r="D1227" s="97"/>
      <c r="E1227" s="83"/>
      <c r="F1227" s="83"/>
      <c r="G1227" s="83"/>
      <c r="H1227" s="83"/>
      <c r="I1227" s="85"/>
    </row>
    <row r="1228" spans="1:10" ht="22.5" customHeight="1">
      <c r="A1228" s="60"/>
      <c r="B1228" s="61"/>
      <c r="D1228" s="97"/>
      <c r="E1228" s="83"/>
      <c r="F1228" s="83"/>
      <c r="G1228" s="83"/>
      <c r="H1228" s="83"/>
      <c r="I1228" s="85"/>
    </row>
    <row r="1229" spans="1:10" ht="22.5" customHeight="1">
      <c r="A1229" s="60"/>
      <c r="B1229" s="61"/>
      <c r="D1229" s="97"/>
      <c r="E1229" s="83"/>
      <c r="F1229" s="83"/>
      <c r="G1229" s="83"/>
      <c r="H1229" s="83"/>
      <c r="I1229" s="85"/>
    </row>
    <row r="1230" spans="1:10" ht="22.5" customHeight="1">
      <c r="A1230" s="60"/>
      <c r="B1230" s="61"/>
      <c r="D1230" s="97"/>
      <c r="E1230" s="83"/>
      <c r="F1230" s="83"/>
      <c r="G1230" s="83"/>
      <c r="H1230" s="83"/>
      <c r="I1230" s="85"/>
    </row>
    <row r="1231" spans="1:10" ht="22.5" customHeight="1">
      <c r="A1231" s="60"/>
      <c r="B1231" s="61"/>
      <c r="D1231" s="97"/>
      <c r="E1231" s="83"/>
      <c r="F1231" s="83"/>
      <c r="G1231" s="83"/>
      <c r="H1231" s="83"/>
      <c r="I1231" s="85"/>
    </row>
    <row r="1232" spans="1:10" ht="22.5" customHeight="1">
      <c r="A1232" s="60"/>
      <c r="B1232" s="61"/>
      <c r="D1232" s="97"/>
      <c r="E1232" s="83"/>
      <c r="F1232" s="83"/>
      <c r="G1232" s="83"/>
      <c r="H1232" s="83"/>
      <c r="I1232" s="74">
        <v>54</v>
      </c>
    </row>
    <row r="1233" spans="1:10" ht="24" customHeight="1">
      <c r="A1233" s="60"/>
      <c r="B1233" s="61"/>
      <c r="C1233" s="183"/>
      <c r="D1233" s="184"/>
      <c r="E1233" s="184"/>
      <c r="F1233" s="184"/>
      <c r="G1233" s="184"/>
      <c r="H1233" s="184"/>
      <c r="I1233" s="184"/>
    </row>
    <row r="1234" spans="1:10" ht="24" customHeight="1">
      <c r="A1234" s="60"/>
      <c r="B1234" s="61"/>
      <c r="C1234" s="183"/>
      <c r="D1234" s="184"/>
      <c r="E1234" s="184"/>
      <c r="F1234" s="184"/>
      <c r="G1234" s="184"/>
      <c r="H1234" s="184"/>
      <c r="I1234" s="184"/>
    </row>
    <row r="1235" spans="1:10" ht="27.75">
      <c r="A1235" s="70"/>
      <c r="B1235" s="71"/>
      <c r="C1235" s="72"/>
      <c r="D1235" s="67" t="s">
        <v>1130</v>
      </c>
      <c r="E1235" s="67"/>
      <c r="F1235" s="67"/>
      <c r="I1235" s="68" t="str">
        <f>$M$1</f>
        <v>1405/02/01</v>
      </c>
    </row>
    <row r="1236" spans="1:10" ht="22.5" customHeight="1">
      <c r="A1236" s="70"/>
      <c r="B1236" s="71"/>
      <c r="C1236" s="77"/>
      <c r="D1236" s="87" t="s">
        <v>0</v>
      </c>
      <c r="E1236" s="88" t="s">
        <v>1</v>
      </c>
      <c r="F1236" s="177" t="s">
        <v>448</v>
      </c>
      <c r="G1236" s="178"/>
      <c r="H1236" s="179"/>
      <c r="I1236" s="89" t="s">
        <v>251</v>
      </c>
    </row>
    <row r="1237" spans="1:10" ht="121.5" customHeight="1">
      <c r="A1237" s="60"/>
      <c r="B1237" s="61"/>
      <c r="D1237" s="84">
        <v>1</v>
      </c>
      <c r="E1237" s="84" t="str">
        <f>INDEX('حذف از تولید و لیست اصلی'!B:B,MATCH('کاتالوگ مبلمان'!J1237,'حذف از تولید و لیست اصلی'!I:I,0))</f>
        <v>2170070201</v>
      </c>
      <c r="F1237" s="180" t="str">
        <f>INDEX('حذف از تولید و لیست اصلی'!C:C,MATCH('کاتالوگ مبلمان'!J1237,'حذف از تولید و لیست اصلی'!I:I,0))</f>
        <v>شلف باکس / 210 یک طرفه ( شامل یک عدد باکس اصلی210 + شلف اصلی طبقه بالا و پایین 118 + یک عدد باکس داخلی75 + یک عدد باکس داخلی 55 + سه عدد شلف طبقه 90 + یک عدد شلف طبقه 60 + یک عدد ستون 210 )</v>
      </c>
      <c r="G1237" s="181"/>
      <c r="H1237" s="182"/>
      <c r="I1237" s="85">
        <f>INDEX('حذف از تولید و لیست اصلی'!E:E,MATCH('کاتالوگ مبلمان'!J1237,'حذف از تولید و لیست اصلی'!I:I,0))</f>
        <v>2690000000</v>
      </c>
      <c r="J1237" s="64">
        <v>478</v>
      </c>
    </row>
    <row r="1238" spans="1:10" ht="45.75" customHeight="1">
      <c r="A1238" s="60"/>
      <c r="B1238" s="61"/>
      <c r="C1238" s="78"/>
      <c r="D1238" s="86">
        <v>2</v>
      </c>
      <c r="E1238" s="84" t="str">
        <f>INDEX('حذف از تولید و لیست اصلی'!B:B,MATCH('کاتالوگ مبلمان'!J1238,'حذف از تولید و لیست اصلی'!I:I,0))</f>
        <v xml:space="preserve">2170070101 </v>
      </c>
      <c r="F1238" s="180" t="str">
        <f>INDEX('حذف از تولید و لیست اصلی'!C:C,MATCH('کاتالوگ مبلمان'!J1238,'حذف از تولید و لیست اصلی'!I:I,0))</f>
        <v>باکس اصلی / 210</v>
      </c>
      <c r="G1238" s="181"/>
      <c r="H1238" s="182"/>
      <c r="I1238" s="85">
        <f>INDEX('حذف از تولید و لیست اصلی'!E:E,MATCH('کاتالوگ مبلمان'!J1238,'حذف از تولید و لیست اصلی'!I:I,0))</f>
        <v>575000000</v>
      </c>
      <c r="J1238" s="64">
        <v>479</v>
      </c>
    </row>
    <row r="1239" spans="1:10" ht="45.75" customHeight="1">
      <c r="A1239" s="60"/>
      <c r="B1239" s="61"/>
      <c r="D1239" s="86">
        <v>3</v>
      </c>
      <c r="E1239" s="84" t="str">
        <f>INDEX('حذف از تولید و لیست اصلی'!B:B,MATCH('کاتالوگ مبلمان'!J1239,'حذف از تولید و لیست اصلی'!I:I,0))</f>
        <v>2170079901</v>
      </c>
      <c r="F1239" s="180" t="str">
        <f>INDEX('حذف از تولید و لیست اصلی'!C:C,MATCH('کاتالوگ مبلمان'!J1239,'حذف از تولید و لیست اصلی'!I:I,0))</f>
        <v>باکس داخلی / 75</v>
      </c>
      <c r="G1239" s="181"/>
      <c r="H1239" s="182"/>
      <c r="I1239" s="85">
        <f>INDEX('حذف از تولید و لیست اصلی'!E:E,MATCH('کاتالوگ مبلمان'!J1239,'حذف از تولید و لیست اصلی'!I:I,0))</f>
        <v>285000000</v>
      </c>
      <c r="J1239" s="64">
        <v>480</v>
      </c>
    </row>
    <row r="1240" spans="1:10" ht="45.75" customHeight="1">
      <c r="A1240" s="60"/>
      <c r="B1240" s="61"/>
      <c r="D1240" s="86">
        <v>4</v>
      </c>
      <c r="E1240" s="84" t="str">
        <f>INDEX('حذف از تولید و لیست اصلی'!B:B,MATCH('کاتالوگ مبلمان'!J1240,'حذف از تولید و لیست اصلی'!I:I,0))</f>
        <v>2170079903</v>
      </c>
      <c r="F1240" s="180" t="str">
        <f>INDEX('حذف از تولید و لیست اصلی'!C:C,MATCH('کاتالوگ مبلمان'!J1240,'حذف از تولید و لیست اصلی'!I:I,0))</f>
        <v>باکس داخلی / 55</v>
      </c>
      <c r="G1240" s="181"/>
      <c r="H1240" s="182"/>
      <c r="I1240" s="85">
        <f>INDEX('حذف از تولید و لیست اصلی'!E:E,MATCH('کاتالوگ مبلمان'!J1240,'حذف از تولید و لیست اصلی'!I:I,0))</f>
        <v>250000000</v>
      </c>
      <c r="J1240" s="64">
        <v>481</v>
      </c>
    </row>
    <row r="1241" spans="1:10" ht="45.75" customHeight="1">
      <c r="A1241" s="60"/>
      <c r="B1241" s="61"/>
      <c r="D1241" s="86">
        <v>5</v>
      </c>
      <c r="E1241" s="84" t="str">
        <f>INDEX('حذف از تولید و لیست اصلی'!B:B,MATCH('کاتالوگ مبلمان'!J1241,'حذف از تولید و لیست اصلی'!I:I,0))</f>
        <v>2170070201</v>
      </c>
      <c r="F1241" s="180" t="str">
        <f>INDEX('حذف از تولید و لیست اصلی'!C:C,MATCH('کاتالوگ مبلمان'!J1241,'حذف از تولید و لیست اصلی'!I:I,0))</f>
        <v>شلف اصلی طبقه بالا / 118</v>
      </c>
      <c r="G1241" s="181"/>
      <c r="H1241" s="182"/>
      <c r="I1241" s="85">
        <f>INDEX('حذف از تولید و لیست اصلی'!E:E,MATCH('کاتالوگ مبلمان'!J1241,'حذف از تولید و لیست اصلی'!I:I,0))</f>
        <v>226000000</v>
      </c>
      <c r="J1241" s="64">
        <v>482</v>
      </c>
    </row>
    <row r="1242" spans="1:10" ht="45.75" customHeight="1">
      <c r="A1242" s="60"/>
      <c r="B1242" s="61"/>
      <c r="D1242" s="86">
        <v>6</v>
      </c>
      <c r="E1242" s="84" t="str">
        <f>INDEX('حذف از تولید و لیست اصلی'!B:B,MATCH('کاتالوگ مبلمان'!J1242,'حذف از تولید و لیست اصلی'!I:I,0))</f>
        <v xml:space="preserve">2170070202 </v>
      </c>
      <c r="F1242" s="180" t="str">
        <f>INDEX('حذف از تولید و لیست اصلی'!C:C,MATCH('کاتالوگ مبلمان'!J1242,'حذف از تولید و لیست اصلی'!I:I,0))</f>
        <v>شلف اصلی طبقه پایین / 118</v>
      </c>
      <c r="G1242" s="181"/>
      <c r="H1242" s="182"/>
      <c r="I1242" s="85">
        <f>INDEX('حذف از تولید و لیست اصلی'!E:E,MATCH('کاتالوگ مبلمان'!J1242,'حذف از تولید و لیست اصلی'!I:I,0))</f>
        <v>238000000</v>
      </c>
      <c r="J1242" s="64">
        <v>483</v>
      </c>
    </row>
    <row r="1243" spans="1:10" ht="45.75" customHeight="1">
      <c r="A1243" s="60"/>
      <c r="B1243" s="61"/>
      <c r="D1243" s="86">
        <v>7</v>
      </c>
      <c r="E1243" s="84" t="str">
        <f>INDEX('حذف از تولید و لیست اصلی'!B:B,MATCH('کاتالوگ مبلمان'!J1243,'حذف از تولید و لیست اصلی'!I:I,0))</f>
        <v xml:space="preserve">2170070301 </v>
      </c>
      <c r="F1243" s="180" t="str">
        <f>INDEX('حذف از تولید و لیست اصلی'!C:C,MATCH('کاتالوگ مبلمان'!J1243,'حذف از تولید و لیست اصلی'!I:I,0))</f>
        <v>شلف طبقه / 90</v>
      </c>
      <c r="G1243" s="181"/>
      <c r="H1243" s="182"/>
      <c r="I1243" s="85">
        <f>INDEX('حذف از تولید و لیست اصلی'!E:E,MATCH('کاتالوگ مبلمان'!J1243,'حذف از تولید و لیست اصلی'!I:I,0))</f>
        <v>204000000</v>
      </c>
      <c r="J1243" s="64">
        <v>484</v>
      </c>
    </row>
    <row r="1244" spans="1:10" ht="45.75" customHeight="1">
      <c r="A1244" s="60"/>
      <c r="B1244" s="61"/>
      <c r="D1244" s="86">
        <v>8</v>
      </c>
      <c r="E1244" s="84" t="str">
        <f>INDEX('حذف از تولید و لیست اصلی'!B:B,MATCH('کاتالوگ مبلمان'!J1244,'حذف از تولید و لیست اصلی'!I:I,0))</f>
        <v xml:space="preserve">2170070302 </v>
      </c>
      <c r="F1244" s="180" t="str">
        <f>INDEX('حذف از تولید و لیست اصلی'!C:C,MATCH('کاتالوگ مبلمان'!J1244,'حذف از تولید و لیست اصلی'!I:I,0))</f>
        <v>شلف طبقه / 60</v>
      </c>
      <c r="G1244" s="181"/>
      <c r="H1244" s="182"/>
      <c r="I1244" s="85">
        <f>INDEX('حذف از تولید و لیست اصلی'!E:E,MATCH('کاتالوگ مبلمان'!J1244,'حذف از تولید و لیست اصلی'!I:I,0))</f>
        <v>194000000</v>
      </c>
      <c r="J1244" s="64">
        <v>485</v>
      </c>
    </row>
    <row r="1245" spans="1:10" ht="45.75" customHeight="1">
      <c r="A1245" s="60"/>
      <c r="B1245" s="61"/>
      <c r="D1245" s="86">
        <v>9</v>
      </c>
      <c r="E1245" s="84" t="str">
        <f>INDEX('حذف از تولید و لیست اصلی'!B:B,MATCH('کاتالوگ مبلمان'!J1245,'حذف از تولید و لیست اصلی'!I:I,0))</f>
        <v xml:space="preserve">2170070401 </v>
      </c>
      <c r="F1245" s="180" t="str">
        <f>INDEX('حذف از تولید و لیست اصلی'!C:C,MATCH('کاتالوگ مبلمان'!J1245,'حذف از تولید و لیست اصلی'!I:I,0))</f>
        <v>ستون / 210</v>
      </c>
      <c r="G1245" s="181"/>
      <c r="H1245" s="182"/>
      <c r="I1245" s="85">
        <f>INDEX('حذف از تولید و لیست اصلی'!E:E,MATCH('کاتالوگ مبلمان'!J1245,'حذف از تولید و لیست اصلی'!I:I,0))</f>
        <v>310000000</v>
      </c>
      <c r="J1245" s="64">
        <v>486</v>
      </c>
    </row>
    <row r="1246" spans="1:10" ht="21.75" customHeight="1">
      <c r="A1246" s="60"/>
      <c r="B1246" s="61"/>
      <c r="D1246" s="97"/>
      <c r="E1246" s="83"/>
      <c r="F1246" s="83"/>
      <c r="G1246" s="83"/>
      <c r="H1246" s="83"/>
      <c r="I1246" s="85"/>
    </row>
    <row r="1247" spans="1:10" ht="21.75" customHeight="1">
      <c r="A1247" s="60"/>
      <c r="B1247" s="61"/>
      <c r="D1247" s="97"/>
      <c r="E1247" s="83"/>
      <c r="F1247" s="83"/>
      <c r="G1247" s="83"/>
      <c r="H1247" s="83"/>
      <c r="I1247" s="85"/>
    </row>
    <row r="1248" spans="1:10" ht="21.75" customHeight="1">
      <c r="A1248" s="60"/>
      <c r="B1248" s="61"/>
      <c r="D1248" s="97"/>
      <c r="E1248" s="83"/>
      <c r="F1248" s="83"/>
      <c r="G1248" s="83"/>
      <c r="H1248" s="83"/>
      <c r="I1248" s="85"/>
    </row>
    <row r="1249" spans="1:10" ht="21.75" customHeight="1">
      <c r="A1249" s="60"/>
      <c r="B1249" s="61"/>
      <c r="D1249" s="97"/>
      <c r="E1249" s="83"/>
      <c r="F1249" s="83"/>
      <c r="G1249" s="83"/>
      <c r="H1249" s="83"/>
      <c r="I1249" s="85"/>
    </row>
    <row r="1250" spans="1:10" ht="21.75" customHeight="1">
      <c r="A1250" s="60"/>
      <c r="B1250" s="61"/>
      <c r="D1250" s="97"/>
      <c r="E1250" s="83"/>
      <c r="F1250" s="83"/>
      <c r="G1250" s="83"/>
      <c r="H1250" s="83"/>
      <c r="I1250" s="85"/>
    </row>
    <row r="1251" spans="1:10">
      <c r="A1251" s="60"/>
      <c r="B1251" s="61"/>
      <c r="I1251" s="28">
        <v>55</v>
      </c>
    </row>
    <row r="1252" spans="1:10">
      <c r="A1252" s="70"/>
      <c r="B1252" s="71"/>
      <c r="C1252" s="183"/>
      <c r="D1252" s="184"/>
      <c r="E1252" s="184"/>
      <c r="F1252" s="184"/>
      <c r="G1252" s="184"/>
      <c r="H1252" s="184"/>
      <c r="I1252" s="184"/>
    </row>
    <row r="1253" spans="1:10">
      <c r="A1253" s="70"/>
      <c r="B1253" s="71"/>
      <c r="C1253" s="183"/>
      <c r="D1253" s="184"/>
      <c r="E1253" s="184"/>
      <c r="F1253" s="184"/>
      <c r="G1253" s="184"/>
      <c r="H1253" s="184"/>
      <c r="I1253" s="184"/>
    </row>
    <row r="1254" spans="1:10" ht="27.75">
      <c r="A1254" s="70"/>
      <c r="B1254" s="71"/>
      <c r="C1254" s="72"/>
      <c r="D1254" s="67" t="s">
        <v>1131</v>
      </c>
      <c r="E1254" s="67"/>
      <c r="F1254" s="67"/>
      <c r="I1254" s="68" t="str">
        <f>$M$1</f>
        <v>1405/02/01</v>
      </c>
    </row>
    <row r="1255" spans="1:10" ht="22.5">
      <c r="A1255" s="70"/>
      <c r="B1255" s="71"/>
      <c r="C1255" s="77"/>
      <c r="D1255" s="87" t="s">
        <v>0</v>
      </c>
      <c r="E1255" s="88" t="s">
        <v>1</v>
      </c>
      <c r="F1255" s="177" t="s">
        <v>448</v>
      </c>
      <c r="G1255" s="178"/>
      <c r="H1255" s="179"/>
      <c r="I1255" s="89" t="s">
        <v>251</v>
      </c>
    </row>
    <row r="1256" spans="1:10" ht="108.75" customHeight="1">
      <c r="A1256" s="60"/>
      <c r="B1256" s="61"/>
      <c r="D1256" s="84">
        <v>1</v>
      </c>
      <c r="E1256" s="84" t="str">
        <f>INDEX('حذف از تولید و لیست اصلی'!B:B,MATCH('کاتالوگ مبلمان'!J1256,'حذف از تولید و لیست اصلی'!I:I,0))</f>
        <v>2170070301</v>
      </c>
      <c r="F1256" s="180" t="str">
        <f>INDEX('حذف از تولید و لیست اصلی'!C:C,MATCH('کاتالوگ مبلمان'!J1256,'حذف از تولید و لیست اصلی'!I:I,0))</f>
        <v>شلف استند /  210( شامل شلف اصلی طبقه بالا و پایین 118 + سه عدد شلف طبقه 90 + یک عدد شلف طبقه 60 + دو عدد ستون 210 )</v>
      </c>
      <c r="G1256" s="181"/>
      <c r="H1256" s="182"/>
      <c r="I1256" s="85">
        <f>INDEX('حذف از تولید و لیست اصلی'!E:E,MATCH('کاتالوگ مبلمان'!J1256,'حذف از تولید و لیست اصلی'!I:I,0))</f>
        <v>1890000000</v>
      </c>
      <c r="J1256" s="64">
        <v>487</v>
      </c>
    </row>
    <row r="1257" spans="1:10" ht="61.5" customHeight="1">
      <c r="A1257" s="60"/>
      <c r="B1257" s="61"/>
      <c r="C1257" s="78"/>
      <c r="D1257" s="86">
        <v>2</v>
      </c>
      <c r="E1257" s="84" t="str">
        <f>INDEX('حذف از تولید و لیست اصلی'!B:B,MATCH('کاتالوگ مبلمان'!J1257,'حذف از تولید و لیست اصلی'!I:I,0))</f>
        <v>2170070201</v>
      </c>
      <c r="F1257" s="180" t="str">
        <f>INDEX('حذف از تولید و لیست اصلی'!C:C,MATCH('کاتالوگ مبلمان'!J1257,'حذف از تولید و لیست اصلی'!I:I,0))</f>
        <v>شلف اصلی طبقه بالا / 118</v>
      </c>
      <c r="G1257" s="181"/>
      <c r="H1257" s="182"/>
      <c r="I1257" s="85">
        <f>INDEX('حذف از تولید و لیست اصلی'!E:E,MATCH('کاتالوگ مبلمان'!J1257,'حذف از تولید و لیست اصلی'!I:I,0))</f>
        <v>226000000</v>
      </c>
      <c r="J1257" s="64">
        <v>488</v>
      </c>
    </row>
    <row r="1258" spans="1:10" ht="61.5" customHeight="1">
      <c r="A1258" s="60"/>
      <c r="B1258" s="61"/>
      <c r="D1258" s="86">
        <v>3</v>
      </c>
      <c r="E1258" s="84" t="str">
        <f>INDEX('حذف از تولید و لیست اصلی'!B:B,MATCH('کاتالوگ مبلمان'!J1258,'حذف از تولید و لیست اصلی'!I:I,0))</f>
        <v xml:space="preserve">2170070202 </v>
      </c>
      <c r="F1258" s="180" t="str">
        <f>INDEX('حذف از تولید و لیست اصلی'!C:C,MATCH('کاتالوگ مبلمان'!J1258,'حذف از تولید و لیست اصلی'!I:I,0))</f>
        <v>شلف اصلی طبقه پایین / 118</v>
      </c>
      <c r="G1258" s="181"/>
      <c r="H1258" s="182"/>
      <c r="I1258" s="85">
        <f>INDEX('حذف از تولید و لیست اصلی'!E:E,MATCH('کاتالوگ مبلمان'!J1258,'حذف از تولید و لیست اصلی'!I:I,0))</f>
        <v>238000000</v>
      </c>
      <c r="J1258" s="64">
        <v>489</v>
      </c>
    </row>
    <row r="1259" spans="1:10" ht="61.5" customHeight="1">
      <c r="A1259" s="60"/>
      <c r="B1259" s="61"/>
      <c r="D1259" s="86">
        <v>4</v>
      </c>
      <c r="E1259" s="84" t="str">
        <f>INDEX('حذف از تولید و لیست اصلی'!B:B,MATCH('کاتالوگ مبلمان'!J1259,'حذف از تولید و لیست اصلی'!I:I,0))</f>
        <v xml:space="preserve">2170070301 </v>
      </c>
      <c r="F1259" s="180" t="str">
        <f>INDEX('حذف از تولید و لیست اصلی'!C:C,MATCH('کاتالوگ مبلمان'!J1259,'حذف از تولید و لیست اصلی'!I:I,0))</f>
        <v>شلف طبقه / 90</v>
      </c>
      <c r="G1259" s="181"/>
      <c r="H1259" s="182"/>
      <c r="I1259" s="85">
        <f>INDEX('حذف از تولید و لیست اصلی'!E:E,MATCH('کاتالوگ مبلمان'!J1259,'حذف از تولید و لیست اصلی'!I:I,0))</f>
        <v>204000000</v>
      </c>
      <c r="J1259" s="64">
        <v>490</v>
      </c>
    </row>
    <row r="1260" spans="1:10" ht="61.5" customHeight="1">
      <c r="A1260" s="60"/>
      <c r="B1260" s="61"/>
      <c r="D1260" s="86">
        <v>5</v>
      </c>
      <c r="E1260" s="84" t="str">
        <f>INDEX('حذف از تولید و لیست اصلی'!B:B,MATCH('کاتالوگ مبلمان'!J1260,'حذف از تولید و لیست اصلی'!I:I,0))</f>
        <v xml:space="preserve">2170070302 </v>
      </c>
      <c r="F1260" s="180" t="str">
        <f>INDEX('حذف از تولید و لیست اصلی'!C:C,MATCH('کاتالوگ مبلمان'!J1260,'حذف از تولید و لیست اصلی'!I:I,0))</f>
        <v>شلف طبقه / 60</v>
      </c>
      <c r="G1260" s="181"/>
      <c r="H1260" s="182"/>
      <c r="I1260" s="85">
        <f>INDEX('حذف از تولید و لیست اصلی'!E:E,MATCH('کاتالوگ مبلمان'!J1260,'حذف از تولید و لیست اصلی'!I:I,0))</f>
        <v>194000000</v>
      </c>
      <c r="J1260" s="64">
        <v>491</v>
      </c>
    </row>
    <row r="1261" spans="1:10" ht="61.5" customHeight="1">
      <c r="A1261" s="60"/>
      <c r="B1261" s="61"/>
      <c r="D1261" s="86">
        <v>6</v>
      </c>
      <c r="E1261" s="84" t="str">
        <f>INDEX('حذف از تولید و لیست اصلی'!B:B,MATCH('کاتالوگ مبلمان'!J1261,'حذف از تولید و لیست اصلی'!I:I,0))</f>
        <v xml:space="preserve">2170070401 </v>
      </c>
      <c r="F1261" s="180" t="str">
        <f>INDEX('حذف از تولید و لیست اصلی'!C:C,MATCH('کاتالوگ مبلمان'!J1261,'حذف از تولید و لیست اصلی'!I:I,0))</f>
        <v>ستون / 210</v>
      </c>
      <c r="G1261" s="181"/>
      <c r="H1261" s="182"/>
      <c r="I1261" s="85">
        <f>INDEX('حذف از تولید و لیست اصلی'!E:E,MATCH('کاتالوگ مبلمان'!J1261,'حذف از تولید و لیست اصلی'!I:I,0))</f>
        <v>310000000</v>
      </c>
      <c r="J1261" s="64">
        <v>492</v>
      </c>
    </row>
    <row r="1262" spans="1:10">
      <c r="A1262" s="60"/>
      <c r="B1262" s="61"/>
      <c r="D1262"/>
      <c r="E1262"/>
      <c r="F1262"/>
      <c r="G1262"/>
      <c r="H1262"/>
      <c r="I1262"/>
    </row>
    <row r="1263" spans="1:10">
      <c r="A1263" s="60"/>
      <c r="B1263" s="61"/>
      <c r="D1263"/>
      <c r="E1263"/>
      <c r="F1263"/>
      <c r="G1263"/>
      <c r="H1263"/>
      <c r="I1263"/>
    </row>
    <row r="1264" spans="1:10">
      <c r="A1264" s="60"/>
      <c r="B1264" s="61"/>
      <c r="D1264"/>
      <c r="E1264"/>
      <c r="F1264"/>
      <c r="G1264"/>
      <c r="H1264"/>
      <c r="I1264"/>
    </row>
    <row r="1265" spans="1:10">
      <c r="A1265" s="60"/>
      <c r="B1265" s="61"/>
      <c r="D1265"/>
      <c r="E1265"/>
      <c r="F1265"/>
      <c r="G1265"/>
      <c r="H1265"/>
      <c r="I1265"/>
    </row>
    <row r="1266" spans="1:10">
      <c r="A1266" s="60"/>
      <c r="B1266" s="61"/>
      <c r="D1266"/>
      <c r="E1266"/>
      <c r="F1266"/>
      <c r="G1266"/>
      <c r="H1266"/>
      <c r="I1266"/>
    </row>
    <row r="1267" spans="1:10">
      <c r="A1267" s="60"/>
      <c r="B1267" s="61"/>
      <c r="D1267"/>
      <c r="E1267"/>
      <c r="F1267"/>
      <c r="G1267"/>
      <c r="H1267"/>
      <c r="I1267"/>
    </row>
    <row r="1268" spans="1:10">
      <c r="A1268" s="60"/>
      <c r="B1268" s="61"/>
      <c r="D1268"/>
      <c r="E1268"/>
      <c r="F1268"/>
      <c r="G1268"/>
      <c r="H1268"/>
      <c r="I1268"/>
    </row>
    <row r="1269" spans="1:10">
      <c r="A1269" s="60"/>
      <c r="B1269" s="61"/>
      <c r="D1269"/>
      <c r="E1269"/>
      <c r="F1269"/>
      <c r="G1269"/>
      <c r="H1269"/>
      <c r="I1269"/>
    </row>
    <row r="1270" spans="1:10">
      <c r="A1270" s="60"/>
      <c r="B1270" s="61"/>
      <c r="D1270"/>
      <c r="E1270"/>
      <c r="F1270"/>
      <c r="G1270"/>
      <c r="H1270"/>
      <c r="I1270"/>
    </row>
    <row r="1271" spans="1:10">
      <c r="A1271" s="60"/>
      <c r="B1271" s="61"/>
      <c r="D1271"/>
      <c r="E1271"/>
      <c r="F1271"/>
      <c r="G1271"/>
      <c r="H1271"/>
      <c r="I1271"/>
    </row>
    <row r="1272" spans="1:10">
      <c r="A1272" s="60"/>
      <c r="B1272" s="61"/>
      <c r="I1272" s="28">
        <v>56</v>
      </c>
    </row>
    <row r="1273" spans="1:10">
      <c r="A1273" s="70"/>
      <c r="B1273" s="71"/>
      <c r="C1273" s="183"/>
      <c r="D1273" s="184"/>
      <c r="E1273" s="184"/>
      <c r="F1273" s="184"/>
      <c r="G1273" s="184"/>
      <c r="H1273" s="184"/>
      <c r="I1273" s="184"/>
    </row>
    <row r="1274" spans="1:10">
      <c r="A1274" s="70"/>
      <c r="B1274" s="71"/>
      <c r="C1274" s="183"/>
      <c r="D1274" s="184"/>
      <c r="E1274" s="184"/>
      <c r="F1274" s="184"/>
      <c r="G1274" s="184"/>
      <c r="H1274" s="184"/>
      <c r="I1274" s="184"/>
    </row>
    <row r="1275" spans="1:10" ht="27.75">
      <c r="A1275" s="70"/>
      <c r="B1275" s="71"/>
      <c r="C1275" s="72"/>
      <c r="D1275" s="67" t="s">
        <v>1132</v>
      </c>
      <c r="E1275" s="67"/>
      <c r="F1275" s="67"/>
      <c r="I1275" s="68" t="str">
        <f>$M$1</f>
        <v>1405/02/01</v>
      </c>
    </row>
    <row r="1276" spans="1:10" ht="22.5">
      <c r="A1276" s="70"/>
      <c r="B1276" s="71"/>
      <c r="C1276" s="77"/>
      <c r="D1276" s="87" t="s">
        <v>0</v>
      </c>
      <c r="E1276" s="88" t="s">
        <v>1</v>
      </c>
      <c r="F1276" s="177" t="s">
        <v>448</v>
      </c>
      <c r="G1276" s="178"/>
      <c r="H1276" s="179"/>
      <c r="I1276" s="89" t="s">
        <v>251</v>
      </c>
    </row>
    <row r="1277" spans="1:10" ht="90" customHeight="1">
      <c r="A1277" s="60"/>
      <c r="B1277" s="61"/>
      <c r="D1277" s="84">
        <v>1</v>
      </c>
      <c r="E1277" s="84" t="str">
        <f>INDEX('حذف از تولید و لیست اصلی'!B:B,MATCH('کاتالوگ مبلمان'!J1277,'حذف از تولید و لیست اصلی'!I:I,0))</f>
        <v>2170070102</v>
      </c>
      <c r="F1277" s="180" t="str">
        <f>INDEX('حذف از تولید و لیست اصلی'!C:C,MATCH('کاتالوگ مبلمان'!J1277,'حذف از تولید و لیست اصلی'!I:I,0))</f>
        <v>شلف باکس / 120 دو طرفه ( شامل دو عدد باکس اصلی120 + شلف اصلی طبقه بالا و پایین 118 + دو عدد باکس داخلی62 + یک عدد شلف طبقه 90  )</v>
      </c>
      <c r="G1277" s="181"/>
      <c r="H1277" s="182"/>
      <c r="I1277" s="85">
        <f>INDEX('حذف از تولید و لیست اصلی'!E:E,MATCH('کاتالوگ مبلمان'!J1277,'حذف از تولید و لیست اصلی'!I:I,0))</f>
        <v>1992000000</v>
      </c>
      <c r="J1277" s="64">
        <v>493</v>
      </c>
    </row>
    <row r="1278" spans="1:10" ht="18" customHeight="1">
      <c r="A1278" s="60"/>
      <c r="B1278" s="61"/>
      <c r="C1278" s="78"/>
      <c r="D1278" s="86">
        <v>2</v>
      </c>
      <c r="E1278" s="84" t="str">
        <f>INDEX('حذف از تولید و لیست اصلی'!B:B,MATCH('کاتالوگ مبلمان'!J1278,'حذف از تولید و لیست اصلی'!I:I,0))</f>
        <v xml:space="preserve">2170070102 </v>
      </c>
      <c r="F1278" s="180" t="str">
        <f>INDEX('حذف از تولید و لیست اصلی'!C:C,MATCH('کاتالوگ مبلمان'!J1278,'حذف از تولید و لیست اصلی'!I:I,0))</f>
        <v>باکس اصلی / 120</v>
      </c>
      <c r="G1278" s="181"/>
      <c r="H1278" s="182"/>
      <c r="I1278" s="85">
        <f>INDEX('حذف از تولید و لیست اصلی'!E:E,MATCH('کاتالوگ مبلمان'!J1278,'حذف از تولید و لیست اصلی'!I:I,0))</f>
        <v>406000000</v>
      </c>
      <c r="J1278" s="64">
        <v>494</v>
      </c>
    </row>
    <row r="1279" spans="1:10" ht="18" customHeight="1">
      <c r="A1279" s="60"/>
      <c r="B1279" s="61"/>
      <c r="D1279" s="86">
        <v>3</v>
      </c>
      <c r="E1279" s="84" t="str">
        <f>INDEX('حذف از تولید و لیست اصلی'!B:B,MATCH('کاتالوگ مبلمان'!J1279,'حذف از تولید و لیست اصلی'!I:I,0))</f>
        <v>2170079902</v>
      </c>
      <c r="F1279" s="180" t="str">
        <f>INDEX('حذف از تولید و لیست اصلی'!C:C,MATCH('کاتالوگ مبلمان'!J1279,'حذف از تولید و لیست اصلی'!I:I,0))</f>
        <v>باکس داخلی / 62</v>
      </c>
      <c r="G1279" s="181"/>
      <c r="H1279" s="182"/>
      <c r="I1279" s="85">
        <f>INDEX('حذف از تولید و لیست اصلی'!E:E,MATCH('کاتالوگ مبلمان'!J1279,'حذف از تولید و لیست اصلی'!I:I,0))</f>
        <v>256000000</v>
      </c>
      <c r="J1279" s="64">
        <v>495</v>
      </c>
    </row>
    <row r="1280" spans="1:10" ht="18" customHeight="1">
      <c r="A1280" s="60"/>
      <c r="B1280" s="61"/>
      <c r="D1280" s="86">
        <v>4</v>
      </c>
      <c r="E1280" s="84" t="str">
        <f>INDEX('حذف از تولید و لیست اصلی'!B:B,MATCH('کاتالوگ مبلمان'!J1280,'حذف از تولید و لیست اصلی'!I:I,0))</f>
        <v>2170070201</v>
      </c>
      <c r="F1280" s="180" t="str">
        <f>INDEX('حذف از تولید و لیست اصلی'!C:C,MATCH('کاتالوگ مبلمان'!J1280,'حذف از تولید و لیست اصلی'!I:I,0))</f>
        <v>شلف اصلی طبقه بالا / 118</v>
      </c>
      <c r="G1280" s="181"/>
      <c r="H1280" s="182"/>
      <c r="I1280" s="85">
        <f>INDEX('حذف از تولید و لیست اصلی'!E:E,MATCH('کاتالوگ مبلمان'!J1280,'حذف از تولید و لیست اصلی'!I:I,0))</f>
        <v>226000000</v>
      </c>
      <c r="J1280" s="64">
        <v>496</v>
      </c>
    </row>
    <row r="1281" spans="1:10" ht="18" customHeight="1">
      <c r="A1281" s="60"/>
      <c r="B1281" s="61"/>
      <c r="D1281" s="86">
        <v>5</v>
      </c>
      <c r="E1281" s="84" t="str">
        <f>INDEX('حذف از تولید و لیست اصلی'!B:B,MATCH('کاتالوگ مبلمان'!J1281,'حذف از تولید و لیست اصلی'!I:I,0))</f>
        <v xml:space="preserve">2170070202 </v>
      </c>
      <c r="F1281" s="180" t="str">
        <f>INDEX('حذف از تولید و لیست اصلی'!C:C,MATCH('کاتالوگ مبلمان'!J1281,'حذف از تولید و لیست اصلی'!I:I,0))</f>
        <v>شلف اصلی طبقه پایین / 118</v>
      </c>
      <c r="G1281" s="181"/>
      <c r="H1281" s="182"/>
      <c r="I1281" s="85">
        <f>INDEX('حذف از تولید و لیست اصلی'!E:E,MATCH('کاتالوگ مبلمان'!J1281,'حذف از تولید و لیست اصلی'!I:I,0))</f>
        <v>238000000</v>
      </c>
      <c r="J1281" s="64">
        <v>497</v>
      </c>
    </row>
    <row r="1282" spans="1:10" ht="18" customHeight="1">
      <c r="A1282" s="60"/>
      <c r="B1282" s="61"/>
      <c r="D1282" s="86">
        <v>6</v>
      </c>
      <c r="E1282" s="84" t="str">
        <f>INDEX('حذف از تولید و لیست اصلی'!B:B,MATCH('کاتالوگ مبلمان'!J1282,'حذف از تولید و لیست اصلی'!I:I,0))</f>
        <v xml:space="preserve">2170070301 </v>
      </c>
      <c r="F1282" s="180" t="str">
        <f>INDEX('حذف از تولید و لیست اصلی'!C:C,MATCH('کاتالوگ مبلمان'!J1282,'حذف از تولید و لیست اصلی'!I:I,0))</f>
        <v>شلف طبقه 90</v>
      </c>
      <c r="G1282" s="181"/>
      <c r="H1282" s="182"/>
      <c r="I1282" s="85">
        <f>INDEX('حذف از تولید و لیست اصلی'!E:E,MATCH('کاتالوگ مبلمان'!J1282,'حذف از تولید و لیست اصلی'!I:I,0))</f>
        <v>204000000</v>
      </c>
      <c r="J1282" s="64">
        <v>498</v>
      </c>
    </row>
    <row r="1283" spans="1:10">
      <c r="A1283" s="60"/>
      <c r="B1283" s="61"/>
      <c r="D1283"/>
      <c r="E1283"/>
      <c r="F1283"/>
      <c r="G1283"/>
      <c r="H1283"/>
      <c r="I1283"/>
    </row>
    <row r="1284" spans="1:10">
      <c r="A1284" s="60"/>
      <c r="B1284" s="61"/>
    </row>
    <row r="1285" spans="1:10">
      <c r="A1285" s="60"/>
      <c r="B1285" s="61"/>
    </row>
    <row r="1286" spans="1:10">
      <c r="A1286" s="60"/>
      <c r="B1286" s="61"/>
    </row>
    <row r="1287" spans="1:10" ht="27.75">
      <c r="A1287" s="70"/>
      <c r="B1287" s="71"/>
      <c r="C1287" s="72"/>
      <c r="D1287" s="67" t="s">
        <v>1133</v>
      </c>
      <c r="E1287" s="67"/>
      <c r="F1287" s="67"/>
      <c r="I1287" s="68"/>
    </row>
    <row r="1288" spans="1:10" ht="22.5">
      <c r="A1288" s="70"/>
      <c r="B1288" s="71"/>
      <c r="C1288" s="77"/>
      <c r="D1288" s="87" t="s">
        <v>0</v>
      </c>
      <c r="E1288" s="88" t="s">
        <v>1</v>
      </c>
      <c r="F1288" s="177" t="s">
        <v>448</v>
      </c>
      <c r="G1288" s="178"/>
      <c r="H1288" s="179"/>
      <c r="I1288" s="89" t="s">
        <v>251</v>
      </c>
    </row>
    <row r="1289" spans="1:10" ht="105.75" customHeight="1">
      <c r="A1289" s="60"/>
      <c r="B1289" s="61"/>
      <c r="D1289" s="84">
        <v>1</v>
      </c>
      <c r="E1289" s="84" t="str">
        <f>INDEX('حذف از تولید و لیست اصلی'!B:B,MATCH('کاتالوگ مبلمان'!J1289,'حذف از تولید و لیست اصلی'!I:I,0))</f>
        <v>2170070202</v>
      </c>
      <c r="F1289" s="180" t="str">
        <f>INDEX('حذف از تولید و لیست اصلی'!C:C,MATCH('کاتالوگ مبلمان'!J1289,'حذف از تولید و لیست اصلی'!I:I,0))</f>
        <v>شلف باکس / 120 یک طرفه  ( شامل یک عدد باکس اصلی120 + شلف اصلی طبقه بالا و پایین 118 + یک عدد باکس داخلی62 + یک عدد شلف طبقه 90 + یک عدد ستون 120  )</v>
      </c>
      <c r="G1289" s="181"/>
      <c r="H1289" s="182"/>
      <c r="I1289" s="85">
        <f>INDEX('حذف از تولید و لیست اصلی'!E:E,MATCH('کاتالوگ مبلمان'!J1289,'حذف از تولید و لیست اصلی'!I:I,0))</f>
        <v>1561000000</v>
      </c>
      <c r="J1289" s="64">
        <v>499</v>
      </c>
    </row>
    <row r="1290" spans="1:10" ht="20.25" customHeight="1">
      <c r="A1290" s="60"/>
      <c r="B1290" s="61"/>
      <c r="C1290" s="78"/>
      <c r="D1290" s="86">
        <v>2</v>
      </c>
      <c r="E1290" s="84" t="str">
        <f>INDEX('حذف از تولید و لیست اصلی'!B:B,MATCH('کاتالوگ مبلمان'!J1290,'حذف از تولید و لیست اصلی'!I:I,0))</f>
        <v xml:space="preserve">2170070102 </v>
      </c>
      <c r="F1290" s="180" t="str">
        <f>INDEX('حذف از تولید و لیست اصلی'!C:C,MATCH('کاتالوگ مبلمان'!J1290,'حذف از تولید و لیست اصلی'!I:I,0))</f>
        <v>باکس اصلی / 120</v>
      </c>
      <c r="G1290" s="181"/>
      <c r="H1290" s="182"/>
      <c r="I1290" s="85">
        <f>INDEX('حذف از تولید و لیست اصلی'!E:E,MATCH('کاتالوگ مبلمان'!J1290,'حذف از تولید و لیست اصلی'!I:I,0))</f>
        <v>406000000</v>
      </c>
      <c r="J1290" s="64">
        <v>500</v>
      </c>
    </row>
    <row r="1291" spans="1:10" ht="20.25" customHeight="1">
      <c r="A1291" s="60"/>
      <c r="B1291" s="61"/>
      <c r="D1291" s="86">
        <v>3</v>
      </c>
      <c r="E1291" s="84" t="str">
        <f>INDEX('حذف از تولید و لیست اصلی'!B:B,MATCH('کاتالوگ مبلمان'!J1291,'حذف از تولید و لیست اصلی'!I:I,0))</f>
        <v>2170079902</v>
      </c>
      <c r="F1291" s="180" t="str">
        <f>INDEX('حذف از تولید و لیست اصلی'!C:C,MATCH('کاتالوگ مبلمان'!J1291,'حذف از تولید و لیست اصلی'!I:I,0))</f>
        <v>باکس داخلی / 62</v>
      </c>
      <c r="G1291" s="181"/>
      <c r="H1291" s="182"/>
      <c r="I1291" s="85">
        <f>INDEX('حذف از تولید و لیست اصلی'!E:E,MATCH('کاتالوگ مبلمان'!J1291,'حذف از تولید و لیست اصلی'!I:I,0))</f>
        <v>256000000</v>
      </c>
      <c r="J1291" s="64">
        <v>501</v>
      </c>
    </row>
    <row r="1292" spans="1:10" ht="20.25" customHeight="1">
      <c r="A1292" s="60"/>
      <c r="B1292" s="61"/>
      <c r="D1292" s="86">
        <v>4</v>
      </c>
      <c r="E1292" s="84" t="str">
        <f>INDEX('حذف از تولید و لیست اصلی'!B:B,MATCH('کاتالوگ مبلمان'!J1292,'حذف از تولید و لیست اصلی'!I:I,0))</f>
        <v>2170070201</v>
      </c>
      <c r="F1292" s="180" t="str">
        <f>INDEX('حذف از تولید و لیست اصلی'!C:C,MATCH('کاتالوگ مبلمان'!J1292,'حذف از تولید و لیست اصلی'!I:I,0))</f>
        <v>شلف اصلی طبقه بالا 118</v>
      </c>
      <c r="G1292" s="181"/>
      <c r="H1292" s="182"/>
      <c r="I1292" s="85">
        <f>INDEX('حذف از تولید و لیست اصلی'!E:E,MATCH('کاتالوگ مبلمان'!J1292,'حذف از تولید و لیست اصلی'!I:I,0))</f>
        <v>226000000</v>
      </c>
      <c r="J1292" s="64">
        <v>502</v>
      </c>
    </row>
    <row r="1293" spans="1:10" ht="20.25" customHeight="1">
      <c r="A1293" s="60"/>
      <c r="B1293" s="61"/>
      <c r="D1293" s="86">
        <v>5</v>
      </c>
      <c r="E1293" s="84" t="str">
        <f>INDEX('حذف از تولید و لیست اصلی'!B:B,MATCH('کاتالوگ مبلمان'!J1293,'حذف از تولید و لیست اصلی'!I:I,0))</f>
        <v xml:space="preserve">2170070202 </v>
      </c>
      <c r="F1293" s="180" t="str">
        <f>INDEX('حذف از تولید و لیست اصلی'!C:C,MATCH('کاتالوگ مبلمان'!J1293,'حذف از تولید و لیست اصلی'!I:I,0))</f>
        <v>شلف اصلی طبقه پایین / 118</v>
      </c>
      <c r="G1293" s="181"/>
      <c r="H1293" s="182"/>
      <c r="I1293" s="85">
        <f>INDEX('حذف از تولید و لیست اصلی'!E:E,MATCH('کاتالوگ مبلمان'!J1293,'حذف از تولید و لیست اصلی'!I:I,0))</f>
        <v>238000000</v>
      </c>
      <c r="J1293" s="64">
        <v>503</v>
      </c>
    </row>
    <row r="1294" spans="1:10" ht="20.25" customHeight="1">
      <c r="A1294" s="60"/>
      <c r="B1294" s="61"/>
      <c r="D1294" s="86">
        <v>6</v>
      </c>
      <c r="E1294" s="84" t="str">
        <f>INDEX('حذف از تولید و لیست اصلی'!B:B,MATCH('کاتالوگ مبلمان'!J1294,'حذف از تولید و لیست اصلی'!I:I,0))</f>
        <v xml:space="preserve">2170070301 </v>
      </c>
      <c r="F1294" s="180" t="str">
        <f>INDEX('حذف از تولید و لیست اصلی'!C:C,MATCH('کاتالوگ مبلمان'!J1294,'حذف از تولید و لیست اصلی'!I:I,0))</f>
        <v>شلف طبقه / 90</v>
      </c>
      <c r="G1294" s="181"/>
      <c r="H1294" s="182"/>
      <c r="I1294" s="85">
        <f>INDEX('حذف از تولید و لیست اصلی'!E:E,MATCH('کاتالوگ مبلمان'!J1294,'حذف از تولید و لیست اصلی'!I:I,0))</f>
        <v>204000000</v>
      </c>
      <c r="J1294" s="64">
        <v>504</v>
      </c>
    </row>
    <row r="1295" spans="1:10" ht="20.25" customHeight="1">
      <c r="A1295" s="60"/>
      <c r="B1295" s="61"/>
      <c r="D1295" s="86">
        <v>7</v>
      </c>
      <c r="E1295" s="84" t="str">
        <f>INDEX('حذف از تولید و لیست اصلی'!B:B,MATCH('کاتالوگ مبلمان'!J1295,'حذف از تولید و لیست اصلی'!I:I,0))</f>
        <v>2170070402</v>
      </c>
      <c r="F1295" s="180" t="str">
        <f>INDEX('حذف از تولید و لیست اصلی'!C:C,MATCH('کاتالوگ مبلمان'!J1295,'حذف از تولید و لیست اصلی'!I:I,0))</f>
        <v>ستون / 120</v>
      </c>
      <c r="G1295" s="181"/>
      <c r="H1295" s="182"/>
      <c r="I1295" s="85">
        <f>INDEX('حذف از تولید و لیست اصلی'!E:E,MATCH('کاتالوگ مبلمان'!J1295,'حذف از تولید و لیست اصلی'!I:I,0))</f>
        <v>231000000</v>
      </c>
      <c r="J1295" s="64">
        <v>505</v>
      </c>
    </row>
    <row r="1296" spans="1:10" ht="20.25" customHeight="1">
      <c r="A1296" s="60"/>
      <c r="B1296" s="61"/>
      <c r="D1296" s="97"/>
      <c r="E1296" s="83"/>
      <c r="F1296" s="83"/>
      <c r="G1296" s="83"/>
      <c r="H1296" s="83"/>
      <c r="I1296" s="85"/>
    </row>
    <row r="1297" spans="1:10">
      <c r="A1297" s="60"/>
      <c r="B1297" s="61"/>
      <c r="D1297"/>
      <c r="E1297"/>
      <c r="F1297"/>
      <c r="G1297"/>
      <c r="H1297"/>
      <c r="I1297"/>
    </row>
    <row r="1298" spans="1:10">
      <c r="A1298" s="60"/>
      <c r="B1298" s="61"/>
      <c r="D1298"/>
      <c r="E1298"/>
      <c r="F1298"/>
      <c r="G1298"/>
      <c r="H1298"/>
      <c r="I1298"/>
    </row>
    <row r="1299" spans="1:10">
      <c r="A1299" s="60"/>
      <c r="B1299" s="61"/>
      <c r="D1299"/>
      <c r="E1299"/>
      <c r="F1299"/>
      <c r="G1299"/>
      <c r="H1299"/>
      <c r="I1299"/>
    </row>
    <row r="1300" spans="1:10">
      <c r="A1300" s="60"/>
      <c r="B1300" s="61"/>
      <c r="I1300" s="28">
        <v>57</v>
      </c>
    </row>
    <row r="1301" spans="1:10">
      <c r="A1301" s="70"/>
      <c r="B1301" s="71"/>
      <c r="C1301" s="183"/>
      <c r="D1301" s="184"/>
      <c r="E1301" s="184"/>
      <c r="F1301" s="184"/>
      <c r="G1301" s="184"/>
      <c r="H1301" s="184"/>
      <c r="I1301" s="184"/>
    </row>
    <row r="1302" spans="1:10">
      <c r="A1302" s="70"/>
      <c r="B1302" s="71"/>
      <c r="C1302" s="183"/>
      <c r="D1302" s="184"/>
      <c r="E1302" s="184"/>
      <c r="F1302" s="184"/>
      <c r="G1302" s="184"/>
      <c r="H1302" s="184"/>
      <c r="I1302" s="184"/>
    </row>
    <row r="1303" spans="1:10" ht="27.75">
      <c r="A1303" s="70"/>
      <c r="B1303" s="71"/>
      <c r="C1303" s="72"/>
      <c r="D1303" s="67" t="s">
        <v>1134</v>
      </c>
      <c r="E1303" s="67"/>
      <c r="F1303" s="67"/>
      <c r="I1303" s="68" t="str">
        <f>$M$1</f>
        <v>1405/02/01</v>
      </c>
    </row>
    <row r="1304" spans="1:10" ht="22.5">
      <c r="A1304" s="70"/>
      <c r="B1304" s="71"/>
      <c r="C1304" s="77"/>
      <c r="D1304" s="87" t="s">
        <v>0</v>
      </c>
      <c r="E1304" s="88" t="s">
        <v>1</v>
      </c>
      <c r="F1304" s="177" t="s">
        <v>448</v>
      </c>
      <c r="G1304" s="178"/>
      <c r="H1304" s="179"/>
      <c r="I1304" s="89" t="s">
        <v>251</v>
      </c>
    </row>
    <row r="1305" spans="1:10" ht="114.75" customHeight="1">
      <c r="A1305" s="60"/>
      <c r="B1305" s="61"/>
      <c r="D1305" s="84">
        <v>1</v>
      </c>
      <c r="E1305" s="84" t="str">
        <f>INDEX('حذف از تولید و لیست اصلی'!B:B,MATCH('کاتالوگ مبلمان'!J1305,'حذف از تولید و لیست اصلی'!I:I,0))</f>
        <v>2170070302</v>
      </c>
      <c r="F1305" s="180" t="str">
        <f>INDEX('حذف از تولید و لیست اصلی'!C:C,MATCH('کاتالوگ مبلمان'!J1305,'حذف از تولید و لیست اصلی'!I:I,0))</f>
        <v>شلف استند / 120 ( شامل شلف اصلی طبقه بالا و پایین 118 + یک عدد شلف طبقه 90 + یک عدد شلف طبقه 60 + دو عدد ستون 120  )</v>
      </c>
      <c r="G1305" s="181"/>
      <c r="H1305" s="182"/>
      <c r="I1305" s="85">
        <f>INDEX('حذف از تولید و لیست اصلی'!E:E,MATCH('کاتالوگ مبلمان'!J1305,'حذف از تولید و لیست اصلی'!I:I,0))</f>
        <v>1324000000</v>
      </c>
      <c r="J1305" s="64">
        <v>506</v>
      </c>
    </row>
    <row r="1306" spans="1:10" ht="69" customHeight="1">
      <c r="A1306" s="60"/>
      <c r="B1306" s="61"/>
      <c r="C1306" s="78"/>
      <c r="D1306" s="86">
        <v>2</v>
      </c>
      <c r="E1306" s="84" t="str">
        <f>INDEX('حذف از تولید و لیست اصلی'!B:B,MATCH('کاتالوگ مبلمان'!J1306,'حذف از تولید و لیست اصلی'!I:I,0))</f>
        <v>2170070201</v>
      </c>
      <c r="F1306" s="180" t="str">
        <f>INDEX('حذف از تولید و لیست اصلی'!C:C,MATCH('کاتالوگ مبلمان'!J1306,'حذف از تولید و لیست اصلی'!I:I,0))</f>
        <v>شلف اصلی طبقه بالا / 118</v>
      </c>
      <c r="G1306" s="181"/>
      <c r="H1306" s="182"/>
      <c r="I1306" s="85">
        <f>INDEX('حذف از تولید و لیست اصلی'!E:E,MATCH('کاتالوگ مبلمان'!J1306,'حذف از تولید و لیست اصلی'!I:I,0))</f>
        <v>226000000</v>
      </c>
      <c r="J1306" s="64">
        <v>507</v>
      </c>
    </row>
    <row r="1307" spans="1:10" ht="69" customHeight="1">
      <c r="A1307" s="60"/>
      <c r="B1307" s="61"/>
      <c r="D1307" s="86">
        <v>3</v>
      </c>
      <c r="E1307" s="84" t="str">
        <f>INDEX('حذف از تولید و لیست اصلی'!B:B,MATCH('کاتالوگ مبلمان'!J1307,'حذف از تولید و لیست اصلی'!I:I,0))</f>
        <v xml:space="preserve">2170070202 </v>
      </c>
      <c r="F1307" s="180" t="str">
        <f>INDEX('حذف از تولید و لیست اصلی'!C:C,MATCH('کاتالوگ مبلمان'!J1307,'حذف از تولید و لیست اصلی'!I:I,0))</f>
        <v>شلف اصلی طبقه پایین / 118</v>
      </c>
      <c r="G1307" s="181"/>
      <c r="H1307" s="182"/>
      <c r="I1307" s="85">
        <f>INDEX('حذف از تولید و لیست اصلی'!E:E,MATCH('کاتالوگ مبلمان'!J1307,'حذف از تولید و لیست اصلی'!I:I,0))</f>
        <v>238000000</v>
      </c>
      <c r="J1307" s="64">
        <v>508</v>
      </c>
    </row>
    <row r="1308" spans="1:10" ht="69" customHeight="1">
      <c r="A1308" s="60"/>
      <c r="B1308" s="61"/>
      <c r="D1308" s="86">
        <v>4</v>
      </c>
      <c r="E1308" s="84" t="str">
        <f>INDEX('حذف از تولید و لیست اصلی'!B:B,MATCH('کاتالوگ مبلمان'!J1308,'حذف از تولید و لیست اصلی'!I:I,0))</f>
        <v xml:space="preserve">2170070301 </v>
      </c>
      <c r="F1308" s="180" t="str">
        <f>INDEX('حذف از تولید و لیست اصلی'!C:C,MATCH('کاتالوگ مبلمان'!J1308,'حذف از تولید و لیست اصلی'!I:I,0))</f>
        <v>شلف طبقه / 90</v>
      </c>
      <c r="G1308" s="181"/>
      <c r="H1308" s="182"/>
      <c r="I1308" s="85">
        <f>INDEX('حذف از تولید و لیست اصلی'!E:E,MATCH('کاتالوگ مبلمان'!J1308,'حذف از تولید و لیست اصلی'!I:I,0))</f>
        <v>204000000</v>
      </c>
      <c r="J1308" s="64">
        <v>509</v>
      </c>
    </row>
    <row r="1309" spans="1:10" ht="69" customHeight="1">
      <c r="A1309" s="60"/>
      <c r="B1309" s="61"/>
      <c r="D1309" s="86">
        <v>5</v>
      </c>
      <c r="E1309" s="84" t="str">
        <f>INDEX('حذف از تولید و لیست اصلی'!B:B,MATCH('کاتالوگ مبلمان'!J1309,'حذف از تولید و لیست اصلی'!I:I,0))</f>
        <v xml:space="preserve">2170070302 </v>
      </c>
      <c r="F1309" s="180" t="str">
        <f>INDEX('حذف از تولید و لیست اصلی'!C:C,MATCH('کاتالوگ مبلمان'!J1309,'حذف از تولید و لیست اصلی'!I:I,0))</f>
        <v>شلف طبقه / 60</v>
      </c>
      <c r="G1309" s="181"/>
      <c r="H1309" s="182"/>
      <c r="I1309" s="85">
        <f>INDEX('حذف از تولید و لیست اصلی'!E:E,MATCH('کاتالوگ مبلمان'!J1309,'حذف از تولید و لیست اصلی'!I:I,0))</f>
        <v>194000000</v>
      </c>
      <c r="J1309" s="64">
        <v>510</v>
      </c>
    </row>
    <row r="1310" spans="1:10" ht="69" customHeight="1">
      <c r="A1310" s="60"/>
      <c r="B1310" s="61"/>
      <c r="D1310" s="86">
        <v>6</v>
      </c>
      <c r="E1310" s="84" t="str">
        <f>INDEX('حذف از تولید و لیست اصلی'!B:B,MATCH('کاتالوگ مبلمان'!J1310,'حذف از تولید و لیست اصلی'!I:I,0))</f>
        <v xml:space="preserve">2170070401 </v>
      </c>
      <c r="F1310" s="180" t="str">
        <f>INDEX('حذف از تولید و لیست اصلی'!C:C,MATCH('کاتالوگ مبلمان'!J1310,'حذف از تولید و لیست اصلی'!I:I,0))</f>
        <v>ستون / 120</v>
      </c>
      <c r="G1310" s="181"/>
      <c r="H1310" s="182"/>
      <c r="I1310" s="85">
        <f>INDEX('حذف از تولید و لیست اصلی'!E:E,MATCH('کاتالوگ مبلمان'!J1310,'حذف از تولید و لیست اصلی'!I:I,0))</f>
        <v>231000000</v>
      </c>
      <c r="J1310" s="64">
        <v>511</v>
      </c>
    </row>
    <row r="1311" spans="1:10">
      <c r="A1311" s="60"/>
      <c r="B1311" s="61"/>
      <c r="D1311"/>
      <c r="E1311"/>
      <c r="F1311"/>
      <c r="G1311"/>
      <c r="H1311"/>
      <c r="I1311"/>
    </row>
    <row r="1312" spans="1:10">
      <c r="A1312" s="60"/>
      <c r="B1312" s="61"/>
      <c r="D1312"/>
      <c r="E1312"/>
      <c r="F1312"/>
      <c r="G1312"/>
      <c r="H1312"/>
      <c r="I1312"/>
    </row>
    <row r="1313" spans="1:9">
      <c r="A1313" s="60"/>
      <c r="B1313" s="61"/>
      <c r="D1313"/>
      <c r="E1313"/>
      <c r="F1313"/>
      <c r="G1313"/>
      <c r="H1313"/>
      <c r="I1313"/>
    </row>
    <row r="1314" spans="1:9">
      <c r="A1314" s="60"/>
      <c r="B1314" s="61"/>
      <c r="D1314"/>
      <c r="E1314"/>
      <c r="F1314"/>
      <c r="G1314"/>
      <c r="H1314"/>
      <c r="I1314"/>
    </row>
    <row r="1315" spans="1:9">
      <c r="A1315" s="60"/>
      <c r="B1315" s="61"/>
      <c r="D1315"/>
      <c r="E1315"/>
      <c r="F1315"/>
      <c r="G1315"/>
      <c r="H1315"/>
      <c r="I1315"/>
    </row>
    <row r="1316" spans="1:9">
      <c r="A1316" s="60"/>
      <c r="B1316" s="61"/>
      <c r="D1316"/>
      <c r="E1316"/>
      <c r="F1316"/>
      <c r="G1316"/>
      <c r="H1316"/>
      <c r="I1316"/>
    </row>
    <row r="1317" spans="1:9">
      <c r="A1317" s="60"/>
      <c r="B1317" s="61"/>
      <c r="D1317"/>
      <c r="E1317"/>
      <c r="F1317"/>
      <c r="G1317"/>
      <c r="H1317"/>
      <c r="I1317"/>
    </row>
    <row r="1318" spans="1:9">
      <c r="A1318" s="60"/>
      <c r="B1318" s="61"/>
      <c r="D1318"/>
      <c r="E1318"/>
      <c r="F1318"/>
      <c r="G1318"/>
      <c r="H1318"/>
      <c r="I1318"/>
    </row>
    <row r="1319" spans="1:9">
      <c r="A1319" s="60"/>
      <c r="B1319" s="61"/>
      <c r="I1319" s="28">
        <v>58</v>
      </c>
    </row>
    <row r="1320" spans="1:9">
      <c r="A1320"/>
      <c r="B1320"/>
      <c r="C1320"/>
      <c r="D1320"/>
      <c r="E1320"/>
      <c r="F1320"/>
      <c r="G1320"/>
      <c r="H1320"/>
      <c r="I1320"/>
    </row>
    <row r="1321" spans="1:9">
      <c r="A1321"/>
      <c r="B1321"/>
      <c r="C1321"/>
      <c r="D1321"/>
      <c r="E1321"/>
      <c r="F1321"/>
      <c r="G1321"/>
      <c r="H1321"/>
      <c r="I1321"/>
    </row>
    <row r="1322" spans="1:9">
      <c r="A1322"/>
      <c r="B1322"/>
      <c r="C1322"/>
      <c r="D1322"/>
      <c r="E1322"/>
      <c r="F1322"/>
      <c r="G1322"/>
      <c r="H1322"/>
      <c r="I1322"/>
    </row>
    <row r="1323" spans="1:9">
      <c r="A1323"/>
      <c r="B1323"/>
      <c r="C1323"/>
      <c r="D1323"/>
      <c r="E1323"/>
      <c r="F1323"/>
      <c r="G1323"/>
      <c r="H1323"/>
      <c r="I1323"/>
    </row>
    <row r="1324" spans="1:9">
      <c r="A1324"/>
      <c r="B1324"/>
      <c r="C1324"/>
      <c r="D1324"/>
      <c r="E1324"/>
      <c r="F1324"/>
      <c r="G1324"/>
      <c r="H1324"/>
      <c r="I1324"/>
    </row>
    <row r="1325" spans="1:9">
      <c r="A1325"/>
      <c r="B1325"/>
      <c r="C1325"/>
      <c r="D1325"/>
      <c r="E1325"/>
      <c r="F1325"/>
      <c r="G1325"/>
      <c r="H1325"/>
      <c r="I1325"/>
    </row>
    <row r="1326" spans="1:9">
      <c r="A1326"/>
      <c r="B1326"/>
      <c r="C1326"/>
      <c r="D1326"/>
      <c r="E1326"/>
      <c r="F1326"/>
      <c r="G1326"/>
      <c r="H1326"/>
      <c r="I1326"/>
    </row>
    <row r="1327" spans="1:9">
      <c r="A1327"/>
      <c r="B1327"/>
      <c r="C1327"/>
      <c r="D1327"/>
      <c r="E1327"/>
      <c r="F1327"/>
      <c r="G1327"/>
      <c r="H1327"/>
      <c r="I1327"/>
    </row>
    <row r="1328" spans="1:9">
      <c r="A1328"/>
      <c r="B1328"/>
      <c r="C1328"/>
      <c r="D1328"/>
      <c r="E1328"/>
      <c r="F1328"/>
      <c r="G1328"/>
      <c r="H1328"/>
      <c r="I1328"/>
    </row>
    <row r="1329" spans="1:9">
      <c r="A1329"/>
      <c r="B1329"/>
      <c r="C1329"/>
      <c r="D1329"/>
      <c r="E1329"/>
      <c r="F1329"/>
      <c r="G1329"/>
      <c r="H1329"/>
      <c r="I1329"/>
    </row>
    <row r="1330" spans="1:9">
      <c r="A1330"/>
      <c r="B1330"/>
      <c r="C1330"/>
      <c r="D1330"/>
      <c r="E1330"/>
      <c r="F1330"/>
      <c r="G1330"/>
      <c r="H1330"/>
      <c r="I1330"/>
    </row>
    <row r="1331" spans="1:9">
      <c r="A1331"/>
      <c r="B1331"/>
      <c r="C1331"/>
      <c r="D1331"/>
      <c r="E1331"/>
      <c r="F1331"/>
      <c r="G1331"/>
      <c r="H1331"/>
      <c r="I1331"/>
    </row>
    <row r="1332" spans="1:9">
      <c r="A1332"/>
      <c r="B1332"/>
      <c r="C1332"/>
      <c r="D1332"/>
      <c r="E1332"/>
      <c r="F1332"/>
      <c r="G1332"/>
      <c r="H1332"/>
      <c r="I1332"/>
    </row>
    <row r="1333" spans="1:9">
      <c r="A1333"/>
      <c r="B1333"/>
      <c r="C1333"/>
      <c r="D1333"/>
      <c r="E1333"/>
      <c r="F1333"/>
      <c r="G1333"/>
      <c r="H1333"/>
      <c r="I1333"/>
    </row>
    <row r="1334" spans="1:9">
      <c r="A1334"/>
      <c r="B1334"/>
      <c r="C1334"/>
      <c r="D1334"/>
      <c r="E1334"/>
      <c r="F1334"/>
      <c r="G1334"/>
      <c r="H1334"/>
      <c r="I1334"/>
    </row>
    <row r="1335" spans="1:9">
      <c r="A1335"/>
      <c r="B1335"/>
      <c r="C1335"/>
      <c r="D1335"/>
      <c r="E1335"/>
      <c r="F1335"/>
      <c r="G1335"/>
      <c r="H1335"/>
      <c r="I1335"/>
    </row>
    <row r="1336" spans="1:9">
      <c r="A1336"/>
      <c r="B1336"/>
      <c r="C1336"/>
      <c r="D1336"/>
      <c r="E1336"/>
      <c r="F1336"/>
      <c r="G1336"/>
      <c r="H1336"/>
      <c r="I1336"/>
    </row>
    <row r="1337" spans="1:9">
      <c r="A1337"/>
      <c r="B1337"/>
      <c r="C1337"/>
      <c r="D1337"/>
      <c r="E1337"/>
      <c r="F1337"/>
      <c r="G1337"/>
      <c r="H1337"/>
      <c r="I1337"/>
    </row>
    <row r="1338" spans="1:9">
      <c r="A1338"/>
      <c r="B1338"/>
      <c r="C1338"/>
      <c r="D1338"/>
      <c r="E1338"/>
      <c r="F1338"/>
      <c r="G1338"/>
      <c r="H1338"/>
      <c r="I1338"/>
    </row>
    <row r="1339" spans="1:9">
      <c r="A1339"/>
      <c r="B1339"/>
      <c r="C1339"/>
      <c r="D1339"/>
      <c r="E1339"/>
      <c r="F1339"/>
      <c r="G1339"/>
      <c r="H1339"/>
      <c r="I1339"/>
    </row>
    <row r="1340" spans="1:9">
      <c r="A1340"/>
      <c r="B1340"/>
      <c r="C1340"/>
      <c r="D1340"/>
      <c r="E1340"/>
      <c r="F1340"/>
      <c r="G1340"/>
      <c r="H1340"/>
      <c r="I1340"/>
    </row>
    <row r="1341" spans="1:9">
      <c r="A1341"/>
      <c r="B1341"/>
      <c r="C1341"/>
      <c r="D1341"/>
      <c r="E1341"/>
      <c r="F1341"/>
      <c r="G1341"/>
      <c r="H1341"/>
      <c r="I1341"/>
    </row>
    <row r="1342" spans="1:9">
      <c r="A1342"/>
      <c r="B1342"/>
      <c r="C1342"/>
      <c r="D1342"/>
      <c r="E1342"/>
      <c r="F1342"/>
      <c r="G1342"/>
      <c r="H1342"/>
      <c r="I1342"/>
    </row>
    <row r="1343" spans="1:9">
      <c r="A1343"/>
      <c r="B1343"/>
      <c r="C1343"/>
      <c r="D1343"/>
      <c r="E1343"/>
      <c r="F1343"/>
      <c r="G1343"/>
      <c r="H1343"/>
      <c r="I1343"/>
    </row>
    <row r="1344" spans="1:9">
      <c r="A1344"/>
      <c r="B1344"/>
      <c r="C1344"/>
      <c r="D1344"/>
      <c r="E1344"/>
      <c r="F1344"/>
      <c r="G1344"/>
      <c r="H1344"/>
      <c r="I1344"/>
    </row>
    <row r="1345" spans="1:9">
      <c r="A1345"/>
      <c r="B1345"/>
      <c r="C1345"/>
      <c r="D1345"/>
      <c r="E1345"/>
      <c r="F1345"/>
      <c r="G1345"/>
      <c r="H1345"/>
      <c r="I1345"/>
    </row>
    <row r="1346" spans="1:9">
      <c r="A1346"/>
      <c r="B1346"/>
      <c r="C1346"/>
      <c r="D1346"/>
      <c r="E1346"/>
      <c r="F1346"/>
      <c r="G1346"/>
      <c r="H1346"/>
      <c r="I1346"/>
    </row>
    <row r="1347" spans="1:9">
      <c r="A1347"/>
      <c r="B1347"/>
      <c r="C1347"/>
      <c r="D1347"/>
      <c r="E1347"/>
      <c r="F1347"/>
      <c r="G1347"/>
      <c r="H1347"/>
      <c r="I1347"/>
    </row>
    <row r="1348" spans="1:9">
      <c r="A1348"/>
      <c r="B1348"/>
      <c r="C1348"/>
      <c r="D1348"/>
      <c r="E1348"/>
      <c r="F1348"/>
      <c r="G1348"/>
      <c r="H1348"/>
      <c r="I1348"/>
    </row>
    <row r="1349" spans="1:9">
      <c r="A1349"/>
      <c r="B1349"/>
      <c r="C1349"/>
      <c r="D1349"/>
      <c r="E1349"/>
      <c r="F1349"/>
      <c r="G1349"/>
      <c r="H1349"/>
      <c r="I1349"/>
    </row>
    <row r="1350" spans="1:9">
      <c r="A1350"/>
      <c r="B1350"/>
      <c r="C1350"/>
      <c r="D1350"/>
      <c r="E1350"/>
      <c r="F1350"/>
      <c r="G1350"/>
      <c r="H1350"/>
      <c r="I1350"/>
    </row>
    <row r="1351" spans="1:9">
      <c r="A1351"/>
      <c r="B1351"/>
      <c r="C1351"/>
      <c r="D1351"/>
      <c r="E1351"/>
      <c r="F1351"/>
      <c r="G1351"/>
      <c r="H1351"/>
      <c r="I1351"/>
    </row>
    <row r="1352" spans="1:9">
      <c r="A1352"/>
      <c r="B1352"/>
      <c r="C1352"/>
      <c r="D1352"/>
      <c r="E1352"/>
      <c r="F1352"/>
      <c r="G1352"/>
      <c r="H1352"/>
      <c r="I1352"/>
    </row>
    <row r="1353" spans="1:9">
      <c r="A1353"/>
      <c r="B1353"/>
      <c r="C1353"/>
      <c r="D1353"/>
      <c r="E1353"/>
      <c r="F1353"/>
      <c r="G1353"/>
      <c r="H1353"/>
      <c r="I1353"/>
    </row>
    <row r="1354" spans="1:9">
      <c r="A1354"/>
      <c r="B1354"/>
      <c r="C1354"/>
      <c r="D1354"/>
      <c r="E1354"/>
      <c r="F1354"/>
      <c r="G1354"/>
      <c r="H1354"/>
      <c r="I1354"/>
    </row>
    <row r="1355" spans="1:9">
      <c r="A1355"/>
      <c r="B1355"/>
      <c r="C1355"/>
      <c r="D1355"/>
      <c r="E1355"/>
      <c r="F1355"/>
      <c r="G1355"/>
      <c r="H1355"/>
      <c r="I1355"/>
    </row>
    <row r="1356" spans="1:9">
      <c r="A1356"/>
      <c r="B1356"/>
      <c r="C1356"/>
      <c r="D1356"/>
      <c r="E1356"/>
      <c r="F1356"/>
      <c r="G1356"/>
      <c r="H1356"/>
      <c r="I1356"/>
    </row>
  </sheetData>
  <mergeCells count="772">
    <mergeCell ref="D176:H177"/>
    <mergeCell ref="I176:I177"/>
    <mergeCell ref="D178:H179"/>
    <mergeCell ref="I178:I179"/>
    <mergeCell ref="F1063:H1063"/>
    <mergeCell ref="F944:H944"/>
    <mergeCell ref="F963:H963"/>
    <mergeCell ref="F978:H978"/>
    <mergeCell ref="F979:H979"/>
    <mergeCell ref="F1023:H1023"/>
    <mergeCell ref="F1024:H1024"/>
    <mergeCell ref="F1040:H1040"/>
    <mergeCell ref="F1041:H1041"/>
    <mergeCell ref="F1042:H1042"/>
    <mergeCell ref="F1017:H1017"/>
    <mergeCell ref="F1018:H1018"/>
    <mergeCell ref="F1019:H1019"/>
    <mergeCell ref="F1020:H1020"/>
    <mergeCell ref="F1021:H1021"/>
    <mergeCell ref="F1022:H1022"/>
    <mergeCell ref="F1031:H1031"/>
    <mergeCell ref="F1032:H1032"/>
    <mergeCell ref="F1033:H1033"/>
    <mergeCell ref="F994:H994"/>
    <mergeCell ref="D172:H173"/>
    <mergeCell ref="I172:I173"/>
    <mergeCell ref="D174:H175"/>
    <mergeCell ref="I174:I175"/>
    <mergeCell ref="D136:H137"/>
    <mergeCell ref="I136:I137"/>
    <mergeCell ref="D138:H139"/>
    <mergeCell ref="I138:I139"/>
    <mergeCell ref="D140:H141"/>
    <mergeCell ref="I140:I141"/>
    <mergeCell ref="D160:H161"/>
    <mergeCell ref="I160:I161"/>
    <mergeCell ref="D162:H163"/>
    <mergeCell ref="I162:I163"/>
    <mergeCell ref="D164:H165"/>
    <mergeCell ref="I164:I165"/>
    <mergeCell ref="D154:H155"/>
    <mergeCell ref="I154:I155"/>
    <mergeCell ref="D156:H157"/>
    <mergeCell ref="I156:I157"/>
    <mergeCell ref="D158:H159"/>
    <mergeCell ref="I158:I159"/>
    <mergeCell ref="D166:H167"/>
    <mergeCell ref="I166:I167"/>
    <mergeCell ref="F995:H995"/>
    <mergeCell ref="F996:H996"/>
    <mergeCell ref="F988:H988"/>
    <mergeCell ref="F989:H989"/>
    <mergeCell ref="F1288:H1288"/>
    <mergeCell ref="F1289:H1289"/>
    <mergeCell ref="F1290:H1290"/>
    <mergeCell ref="F1291:H1291"/>
    <mergeCell ref="C1252:I1253"/>
    <mergeCell ref="F1255:H1255"/>
    <mergeCell ref="F1256:H1256"/>
    <mergeCell ref="F1257:H1257"/>
    <mergeCell ref="F1258:H1258"/>
    <mergeCell ref="F1259:H1259"/>
    <mergeCell ref="F1260:H1260"/>
    <mergeCell ref="F1261:H1261"/>
    <mergeCell ref="F1220:H1220"/>
    <mergeCell ref="F1221:H1221"/>
    <mergeCell ref="F1222:H1222"/>
    <mergeCell ref="F1223:H1223"/>
    <mergeCell ref="F1224:H1224"/>
    <mergeCell ref="F1225:H1225"/>
    <mergeCell ref="F1236:H1236"/>
    <mergeCell ref="F1237:H1237"/>
    <mergeCell ref="F1292:H1292"/>
    <mergeCell ref="F1293:H1293"/>
    <mergeCell ref="C1273:I1274"/>
    <mergeCell ref="F1276:H1276"/>
    <mergeCell ref="F1277:H1277"/>
    <mergeCell ref="F1278:H1278"/>
    <mergeCell ref="F1279:H1279"/>
    <mergeCell ref="F1280:H1280"/>
    <mergeCell ref="F1309:H1309"/>
    <mergeCell ref="F1281:H1281"/>
    <mergeCell ref="F1282:H1282"/>
    <mergeCell ref="F1310:H1310"/>
    <mergeCell ref="F1294:H1294"/>
    <mergeCell ref="F1295:H1295"/>
    <mergeCell ref="C1301:I1302"/>
    <mergeCell ref="F1304:H1304"/>
    <mergeCell ref="F1305:H1305"/>
    <mergeCell ref="F1306:H1306"/>
    <mergeCell ref="F1307:H1307"/>
    <mergeCell ref="F1308:H1308"/>
    <mergeCell ref="F698:H698"/>
    <mergeCell ref="F699:H699"/>
    <mergeCell ref="F700:H700"/>
    <mergeCell ref="F701:H701"/>
    <mergeCell ref="F702:H702"/>
    <mergeCell ref="F703:H703"/>
    <mergeCell ref="F786:H786"/>
    <mergeCell ref="F787:H787"/>
    <mergeCell ref="F803:H803"/>
    <mergeCell ref="F780:H780"/>
    <mergeCell ref="F781:H781"/>
    <mergeCell ref="F782:H782"/>
    <mergeCell ref="F783:H783"/>
    <mergeCell ref="F784:H784"/>
    <mergeCell ref="F785:H785"/>
    <mergeCell ref="F794:H794"/>
    <mergeCell ref="F795:H795"/>
    <mergeCell ref="F796:H796"/>
    <mergeCell ref="F777:H777"/>
    <mergeCell ref="F778:H778"/>
    <mergeCell ref="F779:H779"/>
    <mergeCell ref="F760:H760"/>
    <mergeCell ref="F761:H761"/>
    <mergeCell ref="F762:H762"/>
    <mergeCell ref="F676:H676"/>
    <mergeCell ref="F677:H677"/>
    <mergeCell ref="F678:H678"/>
    <mergeCell ref="F679:H679"/>
    <mergeCell ref="F680:H680"/>
    <mergeCell ref="F694:H694"/>
    <mergeCell ref="F695:H695"/>
    <mergeCell ref="F696:H696"/>
    <mergeCell ref="F697:H697"/>
    <mergeCell ref="F685:H685"/>
    <mergeCell ref="F686:H686"/>
    <mergeCell ref="F687:H687"/>
    <mergeCell ref="F688:H688"/>
    <mergeCell ref="F689:H689"/>
    <mergeCell ref="F690:H690"/>
    <mergeCell ref="F691:H691"/>
    <mergeCell ref="F692:H692"/>
    <mergeCell ref="F693:H693"/>
    <mergeCell ref="C682:I683"/>
    <mergeCell ref="F299:H299"/>
    <mergeCell ref="F317:H317"/>
    <mergeCell ref="F510:H510"/>
    <mergeCell ref="F528:H528"/>
    <mergeCell ref="F671:H671"/>
    <mergeCell ref="F672:H672"/>
    <mergeCell ref="F673:H673"/>
    <mergeCell ref="F674:H674"/>
    <mergeCell ref="F675:H675"/>
    <mergeCell ref="F662:H662"/>
    <mergeCell ref="F663:H663"/>
    <mergeCell ref="F664:H664"/>
    <mergeCell ref="F665:H665"/>
    <mergeCell ref="F666:H666"/>
    <mergeCell ref="F667:H667"/>
    <mergeCell ref="F668:H668"/>
    <mergeCell ref="F669:H669"/>
    <mergeCell ref="F670:H670"/>
    <mergeCell ref="F642:H642"/>
    <mergeCell ref="F643:H643"/>
    <mergeCell ref="F644:H644"/>
    <mergeCell ref="F645:H645"/>
    <mergeCell ref="F646:H646"/>
    <mergeCell ref="F647:H647"/>
    <mergeCell ref="F1238:H1238"/>
    <mergeCell ref="F1200:H1200"/>
    <mergeCell ref="F1201:H1201"/>
    <mergeCell ref="F1202:H1202"/>
    <mergeCell ref="F1203:H1203"/>
    <mergeCell ref="F1204:H1204"/>
    <mergeCell ref="F1217:H1217"/>
    <mergeCell ref="F1218:H1218"/>
    <mergeCell ref="F1219:H1219"/>
    <mergeCell ref="C1214:I1215"/>
    <mergeCell ref="C1233:I1234"/>
    <mergeCell ref="F1182:H1182"/>
    <mergeCell ref="F1183:H1183"/>
    <mergeCell ref="F1184:H1184"/>
    <mergeCell ref="F1185:H1185"/>
    <mergeCell ref="F1186:H1186"/>
    <mergeCell ref="F1187:H1187"/>
    <mergeCell ref="F1197:H1197"/>
    <mergeCell ref="F1198:H1198"/>
    <mergeCell ref="F1199:H1199"/>
    <mergeCell ref="F1188:H1188"/>
    <mergeCell ref="F1189:H1189"/>
    <mergeCell ref="C1194:I1195"/>
    <mergeCell ref="F1156:H1156"/>
    <mergeCell ref="F1157:H1157"/>
    <mergeCell ref="F1158:H1158"/>
    <mergeCell ref="F1159:H1159"/>
    <mergeCell ref="F1160:H1160"/>
    <mergeCell ref="F1161:H1161"/>
    <mergeCell ref="F1179:H1179"/>
    <mergeCell ref="F1180:H1180"/>
    <mergeCell ref="F1181:H1181"/>
    <mergeCell ref="F1162:H1162"/>
    <mergeCell ref="F1163:H1163"/>
    <mergeCell ref="F1164:H1164"/>
    <mergeCell ref="F1165:H1165"/>
    <mergeCell ref="F1166:H1166"/>
    <mergeCell ref="F1167:H1167"/>
    <mergeCell ref="F1168:H1168"/>
    <mergeCell ref="F1169:H1169"/>
    <mergeCell ref="F1170:H1170"/>
    <mergeCell ref="F1171:H1171"/>
    <mergeCell ref="F1172:H1172"/>
    <mergeCell ref="F1173:H1173"/>
    <mergeCell ref="C1176:I1177"/>
    <mergeCell ref="F1137:H1137"/>
    <mergeCell ref="F1138:H1138"/>
    <mergeCell ref="F1139:H1139"/>
    <mergeCell ref="F1140:H1140"/>
    <mergeCell ref="F1141:H1141"/>
    <mergeCell ref="F1142:H1142"/>
    <mergeCell ref="F1153:H1153"/>
    <mergeCell ref="F1154:H1154"/>
    <mergeCell ref="F1155:H1155"/>
    <mergeCell ref="F1143:H1143"/>
    <mergeCell ref="C1150:I1151"/>
    <mergeCell ref="F1116:H1116"/>
    <mergeCell ref="F1117:H1117"/>
    <mergeCell ref="F1118:H1118"/>
    <mergeCell ref="F1119:H1119"/>
    <mergeCell ref="F1120:H1120"/>
    <mergeCell ref="F1121:H1121"/>
    <mergeCell ref="F1134:H1134"/>
    <mergeCell ref="F1135:H1135"/>
    <mergeCell ref="F1136:H1136"/>
    <mergeCell ref="C1131:I1132"/>
    <mergeCell ref="F1095:H1095"/>
    <mergeCell ref="F1096:H1096"/>
    <mergeCell ref="F1097:H1097"/>
    <mergeCell ref="F1098:H1098"/>
    <mergeCell ref="F1099:H1099"/>
    <mergeCell ref="F1100:H1100"/>
    <mergeCell ref="F1113:H1113"/>
    <mergeCell ref="F1114:H1114"/>
    <mergeCell ref="F1115:H1115"/>
    <mergeCell ref="C1110:I1111"/>
    <mergeCell ref="F1077:H1077"/>
    <mergeCell ref="F1078:H1078"/>
    <mergeCell ref="F1079:H1079"/>
    <mergeCell ref="F1080:H1080"/>
    <mergeCell ref="F1081:H1081"/>
    <mergeCell ref="F1082:H1082"/>
    <mergeCell ref="F1092:H1092"/>
    <mergeCell ref="F1093:H1093"/>
    <mergeCell ref="F1094:H1094"/>
    <mergeCell ref="F1084:H1084"/>
    <mergeCell ref="F1085:H1085"/>
    <mergeCell ref="F1086:H1086"/>
    <mergeCell ref="F1083:H1083"/>
    <mergeCell ref="F1043:H1043"/>
    <mergeCell ref="F1044:H1044"/>
    <mergeCell ref="F1045:H1045"/>
    <mergeCell ref="F1046:H1046"/>
    <mergeCell ref="F1047:H1047"/>
    <mergeCell ref="F1048:H1048"/>
    <mergeCell ref="F1049:H1049"/>
    <mergeCell ref="F1064:H1064"/>
    <mergeCell ref="F1058:H1058"/>
    <mergeCell ref="F1059:H1059"/>
    <mergeCell ref="F1060:H1060"/>
    <mergeCell ref="F1061:H1061"/>
    <mergeCell ref="F1062:H1062"/>
    <mergeCell ref="D1050:I1050"/>
    <mergeCell ref="F976:H976"/>
    <mergeCell ref="F977:H977"/>
    <mergeCell ref="F954:H954"/>
    <mergeCell ref="F955:H955"/>
    <mergeCell ref="F956:H956"/>
    <mergeCell ref="F957:H957"/>
    <mergeCell ref="F958:H958"/>
    <mergeCell ref="F959:H959"/>
    <mergeCell ref="F960:H960"/>
    <mergeCell ref="F961:H961"/>
    <mergeCell ref="F962:H962"/>
    <mergeCell ref="F969:H969"/>
    <mergeCell ref="F943:H943"/>
    <mergeCell ref="F970:H970"/>
    <mergeCell ref="F971:H971"/>
    <mergeCell ref="F972:H972"/>
    <mergeCell ref="C951:I952"/>
    <mergeCell ref="C966:I967"/>
    <mergeCell ref="F973:H973"/>
    <mergeCell ref="F974:H974"/>
    <mergeCell ref="F975:H975"/>
    <mergeCell ref="F917:H917"/>
    <mergeCell ref="F935:H935"/>
    <mergeCell ref="F936:H936"/>
    <mergeCell ref="F937:H937"/>
    <mergeCell ref="F938:H938"/>
    <mergeCell ref="F939:H939"/>
    <mergeCell ref="F940:H940"/>
    <mergeCell ref="F941:H941"/>
    <mergeCell ref="F942:H942"/>
    <mergeCell ref="F857:H857"/>
    <mergeCell ref="F858:H858"/>
    <mergeCell ref="F859:H859"/>
    <mergeCell ref="F865:H865"/>
    <mergeCell ref="F866:H866"/>
    <mergeCell ref="F867:H867"/>
    <mergeCell ref="F848:H848"/>
    <mergeCell ref="F849:H849"/>
    <mergeCell ref="F854:H854"/>
    <mergeCell ref="F855:H855"/>
    <mergeCell ref="F856:H856"/>
    <mergeCell ref="C851:I852"/>
    <mergeCell ref="F838:H838"/>
    <mergeCell ref="F839:H839"/>
    <mergeCell ref="F845:H845"/>
    <mergeCell ref="F846:H846"/>
    <mergeCell ref="F847:H847"/>
    <mergeCell ref="F826:H826"/>
    <mergeCell ref="F827:H827"/>
    <mergeCell ref="F828:H828"/>
    <mergeCell ref="F829:H829"/>
    <mergeCell ref="F835:H835"/>
    <mergeCell ref="F836:H836"/>
    <mergeCell ref="F837:H837"/>
    <mergeCell ref="C832:I833"/>
    <mergeCell ref="F825:H825"/>
    <mergeCell ref="F797:H797"/>
    <mergeCell ref="F798:H798"/>
    <mergeCell ref="F799:H799"/>
    <mergeCell ref="F800:H800"/>
    <mergeCell ref="F801:H801"/>
    <mergeCell ref="F802:H802"/>
    <mergeCell ref="F810:H810"/>
    <mergeCell ref="F811:H811"/>
    <mergeCell ref="F812:H812"/>
    <mergeCell ref="F804:H804"/>
    <mergeCell ref="F753:H753"/>
    <mergeCell ref="F813:H813"/>
    <mergeCell ref="C791:I792"/>
    <mergeCell ref="C807:I808"/>
    <mergeCell ref="F814:H814"/>
    <mergeCell ref="F815:H815"/>
    <mergeCell ref="F816:H816"/>
    <mergeCell ref="F823:H823"/>
    <mergeCell ref="F824:H824"/>
    <mergeCell ref="F648:H648"/>
    <mergeCell ref="F649:H649"/>
    <mergeCell ref="F623:H623"/>
    <mergeCell ref="F624:H624"/>
    <mergeCell ref="F625:H625"/>
    <mergeCell ref="F626:H626"/>
    <mergeCell ref="F627:H627"/>
    <mergeCell ref="F628:H628"/>
    <mergeCell ref="F629:H629"/>
    <mergeCell ref="F641:H641"/>
    <mergeCell ref="F603:H603"/>
    <mergeCell ref="F604:H604"/>
    <mergeCell ref="F605:H605"/>
    <mergeCell ref="F606:H606"/>
    <mergeCell ref="F607:H607"/>
    <mergeCell ref="F608:H608"/>
    <mergeCell ref="F621:H621"/>
    <mergeCell ref="F622:H622"/>
    <mergeCell ref="F582:H582"/>
    <mergeCell ref="F583:H583"/>
    <mergeCell ref="F584:H584"/>
    <mergeCell ref="F585:H585"/>
    <mergeCell ref="F586:H586"/>
    <mergeCell ref="F600:H600"/>
    <mergeCell ref="F601:H601"/>
    <mergeCell ref="F602:H602"/>
    <mergeCell ref="F578:H578"/>
    <mergeCell ref="F579:H579"/>
    <mergeCell ref="F580:H580"/>
    <mergeCell ref="F581:H581"/>
    <mergeCell ref="F519:H519"/>
    <mergeCell ref="F520:H520"/>
    <mergeCell ref="F521:H521"/>
    <mergeCell ref="F522:H522"/>
    <mergeCell ref="F523:H523"/>
    <mergeCell ref="F524:H524"/>
    <mergeCell ref="F525:H525"/>
    <mergeCell ref="F526:H526"/>
    <mergeCell ref="F527:H527"/>
    <mergeCell ref="F564:H564"/>
    <mergeCell ref="F502:H502"/>
    <mergeCell ref="F503:H503"/>
    <mergeCell ref="F504:H504"/>
    <mergeCell ref="F505:H505"/>
    <mergeCell ref="F506:H506"/>
    <mergeCell ref="F507:H507"/>
    <mergeCell ref="F508:H508"/>
    <mergeCell ref="F509:H509"/>
    <mergeCell ref="F518:H518"/>
    <mergeCell ref="C515:I516"/>
    <mergeCell ref="F483:H483"/>
    <mergeCell ref="F484:H484"/>
    <mergeCell ref="F485:H485"/>
    <mergeCell ref="F486:H486"/>
    <mergeCell ref="F487:H487"/>
    <mergeCell ref="F488:H488"/>
    <mergeCell ref="F500:H500"/>
    <mergeCell ref="F501:H501"/>
    <mergeCell ref="F464:H464"/>
    <mergeCell ref="F465:H465"/>
    <mergeCell ref="F466:H466"/>
    <mergeCell ref="F467:H467"/>
    <mergeCell ref="F468:H468"/>
    <mergeCell ref="F480:H480"/>
    <mergeCell ref="F481:H481"/>
    <mergeCell ref="F482:H482"/>
    <mergeCell ref="C477:I478"/>
    <mergeCell ref="C497:I498"/>
    <mergeCell ref="F463:H463"/>
    <mergeCell ref="F427:H427"/>
    <mergeCell ref="F428:H428"/>
    <mergeCell ref="F439:H439"/>
    <mergeCell ref="F440:H440"/>
    <mergeCell ref="F441:H441"/>
    <mergeCell ref="F442:H442"/>
    <mergeCell ref="F443:H443"/>
    <mergeCell ref="C436:I437"/>
    <mergeCell ref="C457:I458"/>
    <mergeCell ref="F424:H424"/>
    <mergeCell ref="F425:H425"/>
    <mergeCell ref="F426:H426"/>
    <mergeCell ref="F444:H444"/>
    <mergeCell ref="F445:H445"/>
    <mergeCell ref="F446:H446"/>
    <mergeCell ref="F460:H460"/>
    <mergeCell ref="F461:H461"/>
    <mergeCell ref="F462:H462"/>
    <mergeCell ref="F406:H406"/>
    <mergeCell ref="F407:H407"/>
    <mergeCell ref="F408:H408"/>
    <mergeCell ref="F409:H409"/>
    <mergeCell ref="F410:H410"/>
    <mergeCell ref="F411:H411"/>
    <mergeCell ref="F421:H421"/>
    <mergeCell ref="F422:H422"/>
    <mergeCell ref="F423:H423"/>
    <mergeCell ref="F376:H376"/>
    <mergeCell ref="F377:H377"/>
    <mergeCell ref="F378:H378"/>
    <mergeCell ref="F392:H392"/>
    <mergeCell ref="F393:H393"/>
    <mergeCell ref="F402:H402"/>
    <mergeCell ref="F403:H403"/>
    <mergeCell ref="F404:H404"/>
    <mergeCell ref="F405:H405"/>
    <mergeCell ref="F343:H343"/>
    <mergeCell ref="F344:H344"/>
    <mergeCell ref="F345:H345"/>
    <mergeCell ref="F346:H346"/>
    <mergeCell ref="F347:H347"/>
    <mergeCell ref="F348:H348"/>
    <mergeCell ref="F349:H349"/>
    <mergeCell ref="F316:H316"/>
    <mergeCell ref="F325:H325"/>
    <mergeCell ref="F326:H326"/>
    <mergeCell ref="F327:H327"/>
    <mergeCell ref="F328:H328"/>
    <mergeCell ref="F329:H329"/>
    <mergeCell ref="F330:H330"/>
    <mergeCell ref="F331:H331"/>
    <mergeCell ref="F332:H332"/>
    <mergeCell ref="C340:I341"/>
    <mergeCell ref="F307:H307"/>
    <mergeCell ref="F308:H308"/>
    <mergeCell ref="F309:H309"/>
    <mergeCell ref="F310:H310"/>
    <mergeCell ref="F311:H311"/>
    <mergeCell ref="F312:H312"/>
    <mergeCell ref="F313:H313"/>
    <mergeCell ref="F314:H314"/>
    <mergeCell ref="F315:H315"/>
    <mergeCell ref="F290:H290"/>
    <mergeCell ref="F291:H291"/>
    <mergeCell ref="F292:H292"/>
    <mergeCell ref="F293:H293"/>
    <mergeCell ref="F294:H294"/>
    <mergeCell ref="F295:H295"/>
    <mergeCell ref="F296:H296"/>
    <mergeCell ref="F297:H297"/>
    <mergeCell ref="F298:H298"/>
    <mergeCell ref="F271:H271"/>
    <mergeCell ref="F272:H272"/>
    <mergeCell ref="F273:H273"/>
    <mergeCell ref="F274:H274"/>
    <mergeCell ref="F275:H275"/>
    <mergeCell ref="F289:H289"/>
    <mergeCell ref="F249:H249"/>
    <mergeCell ref="F250:H250"/>
    <mergeCell ref="F251:H251"/>
    <mergeCell ref="F252:H252"/>
    <mergeCell ref="F253:H253"/>
    <mergeCell ref="F254:H254"/>
    <mergeCell ref="F267:H267"/>
    <mergeCell ref="F268:H268"/>
    <mergeCell ref="C264:I265"/>
    <mergeCell ref="C286:I287"/>
    <mergeCell ref="F211:H211"/>
    <mergeCell ref="F212:H212"/>
    <mergeCell ref="F221:H221"/>
    <mergeCell ref="F222:H222"/>
    <mergeCell ref="F223:H223"/>
    <mergeCell ref="C243:I244"/>
    <mergeCell ref="F269:H269"/>
    <mergeCell ref="F270:H270"/>
    <mergeCell ref="F247:H247"/>
    <mergeCell ref="F248:H248"/>
    <mergeCell ref="F231:H231"/>
    <mergeCell ref="F232:H232"/>
    <mergeCell ref="F233:H233"/>
    <mergeCell ref="D17:I19"/>
    <mergeCell ref="H20:I21"/>
    <mergeCell ref="F203:H203"/>
    <mergeCell ref="F204:H204"/>
    <mergeCell ref="F205:H205"/>
    <mergeCell ref="F206:H206"/>
    <mergeCell ref="D46:H47"/>
    <mergeCell ref="I46:I47"/>
    <mergeCell ref="D48:H49"/>
    <mergeCell ref="I48:I49"/>
    <mergeCell ref="D50:H51"/>
    <mergeCell ref="I50:I51"/>
    <mergeCell ref="D41:H41"/>
    <mergeCell ref="D42:H43"/>
    <mergeCell ref="I42:I43"/>
    <mergeCell ref="D44:H45"/>
    <mergeCell ref="I44:I45"/>
    <mergeCell ref="D58:H59"/>
    <mergeCell ref="I58:I59"/>
    <mergeCell ref="D60:H61"/>
    <mergeCell ref="I60:I61"/>
    <mergeCell ref="D62:H63"/>
    <mergeCell ref="I62:I63"/>
    <mergeCell ref="D52:H53"/>
    <mergeCell ref="I52:I53"/>
    <mergeCell ref="D54:H55"/>
    <mergeCell ref="I54:I55"/>
    <mergeCell ref="D56:H57"/>
    <mergeCell ref="I56:I57"/>
    <mergeCell ref="D70:H71"/>
    <mergeCell ref="I70:I71"/>
    <mergeCell ref="D72:H73"/>
    <mergeCell ref="I72:I73"/>
    <mergeCell ref="D74:H75"/>
    <mergeCell ref="I74:I75"/>
    <mergeCell ref="D64:H65"/>
    <mergeCell ref="I64:I65"/>
    <mergeCell ref="D66:H67"/>
    <mergeCell ref="I66:I67"/>
    <mergeCell ref="D68:H69"/>
    <mergeCell ref="I68:I69"/>
    <mergeCell ref="D82:H83"/>
    <mergeCell ref="I82:I83"/>
    <mergeCell ref="D84:H85"/>
    <mergeCell ref="I84:I85"/>
    <mergeCell ref="D86:H86"/>
    <mergeCell ref="D87:H88"/>
    <mergeCell ref="I87:I88"/>
    <mergeCell ref="D76:H77"/>
    <mergeCell ref="I76:I77"/>
    <mergeCell ref="D78:H79"/>
    <mergeCell ref="I78:I79"/>
    <mergeCell ref="D80:H81"/>
    <mergeCell ref="I80:I81"/>
    <mergeCell ref="D93:H94"/>
    <mergeCell ref="I93:I94"/>
    <mergeCell ref="D95:H96"/>
    <mergeCell ref="I95:I96"/>
    <mergeCell ref="D97:H98"/>
    <mergeCell ref="I97:I98"/>
    <mergeCell ref="D89:H90"/>
    <mergeCell ref="I89:I90"/>
    <mergeCell ref="D91:H92"/>
    <mergeCell ref="I91:I92"/>
    <mergeCell ref="D105:H106"/>
    <mergeCell ref="I105:I106"/>
    <mergeCell ref="D107:H108"/>
    <mergeCell ref="I107:I108"/>
    <mergeCell ref="D109:H110"/>
    <mergeCell ref="I109:I110"/>
    <mergeCell ref="D99:H100"/>
    <mergeCell ref="I99:I100"/>
    <mergeCell ref="D101:H102"/>
    <mergeCell ref="I101:I102"/>
    <mergeCell ref="D103:H104"/>
    <mergeCell ref="I103:I104"/>
    <mergeCell ref="D117:H118"/>
    <mergeCell ref="I117:I118"/>
    <mergeCell ref="D119:H120"/>
    <mergeCell ref="I119:I120"/>
    <mergeCell ref="D121:H122"/>
    <mergeCell ref="I121:I122"/>
    <mergeCell ref="D111:H112"/>
    <mergeCell ref="I111:I112"/>
    <mergeCell ref="D113:H114"/>
    <mergeCell ref="I113:I114"/>
    <mergeCell ref="D115:H116"/>
    <mergeCell ref="I115:I116"/>
    <mergeCell ref="D129:H130"/>
    <mergeCell ref="I129:I130"/>
    <mergeCell ref="D131:H132"/>
    <mergeCell ref="I131:I132"/>
    <mergeCell ref="D123:H124"/>
    <mergeCell ref="I123:I124"/>
    <mergeCell ref="D125:H126"/>
    <mergeCell ref="I125:I126"/>
    <mergeCell ref="D133:H133"/>
    <mergeCell ref="D127:H128"/>
    <mergeCell ref="I127:I128"/>
    <mergeCell ref="D134:H135"/>
    <mergeCell ref="I134:I135"/>
    <mergeCell ref="D148:H149"/>
    <mergeCell ref="I148:I149"/>
    <mergeCell ref="D150:H151"/>
    <mergeCell ref="I150:I151"/>
    <mergeCell ref="D152:H153"/>
    <mergeCell ref="I152:I153"/>
    <mergeCell ref="D142:H143"/>
    <mergeCell ref="I142:I143"/>
    <mergeCell ref="D144:H145"/>
    <mergeCell ref="I144:I145"/>
    <mergeCell ref="D146:H147"/>
    <mergeCell ref="I146:I147"/>
    <mergeCell ref="D168:H169"/>
    <mergeCell ref="I168:I169"/>
    <mergeCell ref="D170:H171"/>
    <mergeCell ref="I170:I171"/>
    <mergeCell ref="C304:I305"/>
    <mergeCell ref="C322:I323"/>
    <mergeCell ref="C180:I181"/>
    <mergeCell ref="C200:I201"/>
    <mergeCell ref="C218:I219"/>
    <mergeCell ref="F183:H183"/>
    <mergeCell ref="F184:H184"/>
    <mergeCell ref="F185:H185"/>
    <mergeCell ref="F186:H186"/>
    <mergeCell ref="F187:H187"/>
    <mergeCell ref="F188:H188"/>
    <mergeCell ref="F189:H189"/>
    <mergeCell ref="F190:H190"/>
    <mergeCell ref="F191:H191"/>
    <mergeCell ref="F192:H192"/>
    <mergeCell ref="F207:H207"/>
    <mergeCell ref="F208:H208"/>
    <mergeCell ref="F246:H246"/>
    <mergeCell ref="F209:H209"/>
    <mergeCell ref="F210:H210"/>
    <mergeCell ref="C358:I359"/>
    <mergeCell ref="C381:I382"/>
    <mergeCell ref="C399:I400"/>
    <mergeCell ref="C418:I419"/>
    <mergeCell ref="F350:H350"/>
    <mergeCell ref="F361:H361"/>
    <mergeCell ref="F362:H362"/>
    <mergeCell ref="F363:H363"/>
    <mergeCell ref="F364:H364"/>
    <mergeCell ref="F365:H365"/>
    <mergeCell ref="F366:H366"/>
    <mergeCell ref="F367:H367"/>
    <mergeCell ref="F384:H384"/>
    <mergeCell ref="F385:H385"/>
    <mergeCell ref="F386:H386"/>
    <mergeCell ref="F387:H387"/>
    <mergeCell ref="F388:H388"/>
    <mergeCell ref="F389:H389"/>
    <mergeCell ref="F390:H390"/>
    <mergeCell ref="F391:H391"/>
    <mergeCell ref="F372:H372"/>
    <mergeCell ref="F373:H373"/>
    <mergeCell ref="F374:H374"/>
    <mergeCell ref="F375:H375"/>
    <mergeCell ref="C659:I660"/>
    <mergeCell ref="C533:I534"/>
    <mergeCell ref="C554:I555"/>
    <mergeCell ref="C575:I576"/>
    <mergeCell ref="C597:I598"/>
    <mergeCell ref="C618:I619"/>
    <mergeCell ref="C638:I639"/>
    <mergeCell ref="F536:H536"/>
    <mergeCell ref="F537:H537"/>
    <mergeCell ref="F538:H538"/>
    <mergeCell ref="F539:H539"/>
    <mergeCell ref="F540:H540"/>
    <mergeCell ref="F541:H541"/>
    <mergeCell ref="F542:H542"/>
    <mergeCell ref="F543:H543"/>
    <mergeCell ref="F544:H544"/>
    <mergeCell ref="F557:H557"/>
    <mergeCell ref="F558:H558"/>
    <mergeCell ref="F559:H559"/>
    <mergeCell ref="F560:H560"/>
    <mergeCell ref="F561:H561"/>
    <mergeCell ref="F562:H562"/>
    <mergeCell ref="F563:H563"/>
    <mergeCell ref="F565:H565"/>
    <mergeCell ref="C705:I706"/>
    <mergeCell ref="C726:I727"/>
    <mergeCell ref="C748:I749"/>
    <mergeCell ref="C774:I775"/>
    <mergeCell ref="F708:H708"/>
    <mergeCell ref="F709:H709"/>
    <mergeCell ref="F710:H710"/>
    <mergeCell ref="F711:H711"/>
    <mergeCell ref="F712:H712"/>
    <mergeCell ref="F713:H713"/>
    <mergeCell ref="F714:H714"/>
    <mergeCell ref="F715:H715"/>
    <mergeCell ref="F716:H716"/>
    <mergeCell ref="F729:H729"/>
    <mergeCell ref="F730:H730"/>
    <mergeCell ref="F731:H731"/>
    <mergeCell ref="F732:H732"/>
    <mergeCell ref="F733:H733"/>
    <mergeCell ref="F734:H734"/>
    <mergeCell ref="F735:H735"/>
    <mergeCell ref="F736:H736"/>
    <mergeCell ref="F737:H737"/>
    <mergeCell ref="F751:H751"/>
    <mergeCell ref="F752:H752"/>
    <mergeCell ref="C985:I986"/>
    <mergeCell ref="C873:I874"/>
    <mergeCell ref="C907:I908"/>
    <mergeCell ref="C932:I933"/>
    <mergeCell ref="F868:H868"/>
    <mergeCell ref="F869:H869"/>
    <mergeCell ref="F870:H870"/>
    <mergeCell ref="F876:H876"/>
    <mergeCell ref="F877:H877"/>
    <mergeCell ref="F921:H921"/>
    <mergeCell ref="F922:H922"/>
    <mergeCell ref="F923:H923"/>
    <mergeCell ref="F924:H924"/>
    <mergeCell ref="F925:H925"/>
    <mergeCell ref="F926:H926"/>
    <mergeCell ref="F927:H927"/>
    <mergeCell ref="F928:H928"/>
    <mergeCell ref="F910:H910"/>
    <mergeCell ref="F911:H911"/>
    <mergeCell ref="F912:H912"/>
    <mergeCell ref="F913:H913"/>
    <mergeCell ref="F914:H914"/>
    <mergeCell ref="F915:H915"/>
    <mergeCell ref="F916:H916"/>
    <mergeCell ref="F1239:H1239"/>
    <mergeCell ref="F1240:H1240"/>
    <mergeCell ref="F1241:H1241"/>
    <mergeCell ref="F1242:H1242"/>
    <mergeCell ref="F1243:H1243"/>
    <mergeCell ref="F1244:H1244"/>
    <mergeCell ref="F1245:H1245"/>
    <mergeCell ref="C1011:I1012"/>
    <mergeCell ref="C1028:I1029"/>
    <mergeCell ref="C1052:I1053"/>
    <mergeCell ref="C1071:I1072"/>
    <mergeCell ref="C1089:I1090"/>
    <mergeCell ref="F1074:H1074"/>
    <mergeCell ref="F1075:H1075"/>
    <mergeCell ref="F1076:H1076"/>
    <mergeCell ref="F1034:H1034"/>
    <mergeCell ref="F1035:H1035"/>
    <mergeCell ref="F1036:H1036"/>
    <mergeCell ref="F1037:H1037"/>
    <mergeCell ref="F1038:H1038"/>
    <mergeCell ref="F1039:H1039"/>
    <mergeCell ref="F1055:H1055"/>
    <mergeCell ref="F1056:H1056"/>
    <mergeCell ref="F1057:H1057"/>
    <mergeCell ref="F1004:H1004"/>
    <mergeCell ref="F1005:H1005"/>
    <mergeCell ref="F1006:H1006"/>
    <mergeCell ref="F1007:H1007"/>
    <mergeCell ref="F1008:H1008"/>
    <mergeCell ref="F1009:H1009"/>
    <mergeCell ref="F1014:H1014"/>
    <mergeCell ref="F1015:H1015"/>
    <mergeCell ref="F1016:H1016"/>
  </mergeCells>
  <pageMargins left="0.45" right="0.45" top="0.75" bottom="0.75" header="0.3" footer="0.3"/>
  <pageSetup scale="98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8067-3973-47C0-963D-EAE3206927F4}">
  <dimension ref="A1:S250"/>
  <sheetViews>
    <sheetView rightToLeft="1" topLeftCell="A231" zoomScaleNormal="100" workbookViewId="0">
      <selection activeCell="O229" sqref="O229:O233"/>
    </sheetView>
  </sheetViews>
  <sheetFormatPr defaultColWidth="9.140625" defaultRowHeight="18"/>
  <cols>
    <col min="1" max="2" width="5.7109375" style="64" customWidth="1"/>
    <col min="3" max="3" width="3.28515625" style="64" customWidth="1"/>
    <col min="4" max="4" width="4.85546875" style="64" customWidth="1"/>
    <col min="5" max="5" width="7.140625" style="63" customWidth="1"/>
    <col min="6" max="6" width="9.42578125" style="65" customWidth="1"/>
    <col min="7" max="8" width="4.140625" style="65" customWidth="1"/>
    <col min="9" max="9" width="13.5703125" style="65" customWidth="1"/>
    <col min="10" max="10" width="13" style="63" customWidth="1"/>
    <col min="11" max="13" width="13" style="64" customWidth="1"/>
    <col min="14" max="14" width="16" style="64" customWidth="1"/>
    <col min="15" max="15" width="16.28515625" style="64" customWidth="1"/>
    <col min="16" max="16384" width="9.140625" style="64"/>
  </cols>
  <sheetData>
    <row r="1" spans="1:19">
      <c r="A1" s="60"/>
      <c r="B1" s="61"/>
      <c r="C1" s="62"/>
      <c r="D1" s="63"/>
      <c r="F1" s="63"/>
      <c r="G1" s="63"/>
      <c r="H1" s="63"/>
      <c r="I1" s="63"/>
      <c r="R1" s="64" t="s">
        <v>1091</v>
      </c>
      <c r="S1" s="64" t="s">
        <v>1150</v>
      </c>
    </row>
    <row r="2" spans="1:19">
      <c r="A2" s="60"/>
      <c r="B2" s="61"/>
      <c r="C2" s="62"/>
      <c r="D2" s="63"/>
      <c r="F2" s="63"/>
      <c r="G2" s="63"/>
      <c r="H2" s="63"/>
      <c r="I2" s="63"/>
    </row>
    <row r="3" spans="1:19">
      <c r="A3" s="60"/>
      <c r="B3" s="61"/>
      <c r="C3" s="62"/>
      <c r="D3" s="63"/>
      <c r="F3" s="63"/>
      <c r="G3" s="63"/>
      <c r="H3" s="63"/>
      <c r="I3" s="63"/>
    </row>
    <row r="4" spans="1:19">
      <c r="A4" s="60"/>
      <c r="B4" s="61"/>
      <c r="C4" s="62"/>
      <c r="D4" s="63"/>
      <c r="F4" s="63"/>
      <c r="G4" s="63"/>
      <c r="H4" s="63"/>
      <c r="I4" s="63"/>
    </row>
    <row r="5" spans="1:19">
      <c r="A5" s="60"/>
      <c r="B5" s="61"/>
      <c r="C5" s="62"/>
      <c r="D5" s="63"/>
      <c r="F5" s="63"/>
      <c r="G5" s="63"/>
      <c r="H5" s="63"/>
      <c r="I5" s="63"/>
    </row>
    <row r="6" spans="1:19">
      <c r="A6" s="60"/>
      <c r="B6" s="61"/>
      <c r="C6" s="62"/>
      <c r="D6" s="63"/>
      <c r="F6" s="63"/>
      <c r="G6" s="63"/>
      <c r="H6" s="63"/>
      <c r="I6" s="63"/>
    </row>
    <row r="7" spans="1:19">
      <c r="A7" s="60"/>
      <c r="B7" s="61"/>
      <c r="C7" s="62"/>
      <c r="D7" s="63"/>
      <c r="F7" s="63"/>
      <c r="G7" s="63"/>
      <c r="H7" s="63"/>
      <c r="I7" s="63"/>
    </row>
    <row r="8" spans="1:19">
      <c r="A8" s="60"/>
      <c r="B8" s="61"/>
      <c r="C8" s="62"/>
      <c r="D8" s="63"/>
      <c r="F8" s="63"/>
      <c r="G8" s="63"/>
      <c r="H8" s="63"/>
      <c r="I8" s="63"/>
    </row>
    <row r="9" spans="1:19">
      <c r="A9" s="60"/>
      <c r="B9" s="61"/>
      <c r="C9" s="62"/>
    </row>
    <row r="10" spans="1:19">
      <c r="A10" s="60"/>
      <c r="B10" s="61"/>
      <c r="C10" s="62"/>
    </row>
    <row r="11" spans="1:19">
      <c r="A11" s="60"/>
      <c r="B11" s="61"/>
      <c r="C11" s="62"/>
    </row>
    <row r="12" spans="1:19">
      <c r="A12" s="60"/>
      <c r="B12" s="61"/>
      <c r="C12" s="62"/>
      <c r="D12" s="63"/>
      <c r="F12" s="63"/>
      <c r="G12" s="63"/>
      <c r="H12" s="63"/>
      <c r="I12" s="63"/>
    </row>
    <row r="13" spans="1:19">
      <c r="A13" s="60"/>
      <c r="B13" s="61"/>
      <c r="C13" s="62"/>
      <c r="D13" s="63"/>
      <c r="F13" s="63"/>
      <c r="G13" s="63"/>
      <c r="H13" s="63"/>
      <c r="I13" s="63"/>
    </row>
    <row r="14" spans="1:19">
      <c r="A14" s="60"/>
      <c r="B14" s="61"/>
      <c r="C14" s="62"/>
      <c r="D14" s="63"/>
      <c r="F14" s="63"/>
      <c r="G14" s="63"/>
      <c r="H14" s="63"/>
      <c r="I14" s="63"/>
    </row>
    <row r="15" spans="1:19">
      <c r="A15" s="60"/>
      <c r="B15" s="61"/>
      <c r="C15" s="62"/>
      <c r="D15" s="63"/>
      <c r="F15" s="63"/>
      <c r="G15" s="63"/>
      <c r="H15" s="63"/>
      <c r="I15" s="63"/>
    </row>
    <row r="16" spans="1:19">
      <c r="A16" s="60"/>
      <c r="B16" s="61"/>
      <c r="C16" s="62"/>
      <c r="D16" s="63"/>
      <c r="F16" s="63"/>
      <c r="G16" s="63"/>
      <c r="H16" s="63"/>
      <c r="I16" s="63"/>
    </row>
    <row r="17" spans="1:14">
      <c r="A17" s="60"/>
      <c r="B17" s="61"/>
      <c r="C17" s="62"/>
      <c r="D17" s="63"/>
      <c r="F17" s="63"/>
      <c r="G17" s="63"/>
      <c r="H17" s="63"/>
      <c r="I17" s="63"/>
    </row>
    <row r="18" spans="1:14">
      <c r="A18" s="60"/>
      <c r="B18" s="61"/>
      <c r="C18" s="62"/>
      <c r="D18" s="63"/>
      <c r="F18" s="63"/>
      <c r="G18" s="63"/>
      <c r="H18" s="63"/>
      <c r="I18" s="63"/>
    </row>
    <row r="19" spans="1:14">
      <c r="A19" s="60"/>
      <c r="B19" s="61"/>
      <c r="C19" s="62"/>
      <c r="D19" s="63"/>
      <c r="F19" s="63"/>
      <c r="G19" s="63"/>
      <c r="H19" s="63"/>
      <c r="I19" s="63"/>
    </row>
    <row r="20" spans="1:14">
      <c r="A20" s="60"/>
      <c r="B20" s="61"/>
      <c r="C20" s="62"/>
      <c r="D20" s="63"/>
      <c r="F20" s="63"/>
      <c r="G20" s="63"/>
      <c r="H20" s="63"/>
      <c r="I20" s="63"/>
    </row>
    <row r="21" spans="1:14">
      <c r="A21" s="60"/>
      <c r="B21" s="61"/>
      <c r="C21" s="62"/>
      <c r="D21" s="63"/>
      <c r="F21" s="63"/>
      <c r="G21" s="63"/>
      <c r="H21" s="63"/>
      <c r="I21" s="63"/>
    </row>
    <row r="22" spans="1:14" ht="18" customHeight="1">
      <c r="A22" s="60"/>
      <c r="B22" s="61"/>
      <c r="C22" s="215" t="s">
        <v>1135</v>
      </c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</row>
    <row r="23" spans="1:14" ht="18" customHeight="1">
      <c r="A23" s="60"/>
      <c r="B23" s="61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</row>
    <row r="24" spans="1:14" ht="18" customHeight="1">
      <c r="A24" s="60"/>
      <c r="B24" s="61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</row>
    <row r="25" spans="1:14">
      <c r="A25" s="60"/>
      <c r="B25" s="61"/>
      <c r="C25" s="62"/>
      <c r="D25" s="63"/>
      <c r="F25" s="63"/>
      <c r="G25" s="63"/>
      <c r="H25" s="63"/>
      <c r="I25" s="63"/>
    </row>
    <row r="26" spans="1:14" ht="15" customHeight="1">
      <c r="A26" s="60"/>
      <c r="B26" s="61"/>
      <c r="C26" s="62"/>
      <c r="D26" s="63"/>
      <c r="G26" s="98"/>
      <c r="J26" s="66"/>
      <c r="M26" s="225" t="s">
        <v>1151</v>
      </c>
      <c r="N26" s="225"/>
    </row>
    <row r="27" spans="1:14" ht="15" customHeight="1">
      <c r="A27" s="60"/>
      <c r="B27" s="61"/>
      <c r="C27" s="62"/>
      <c r="D27" s="63"/>
      <c r="G27" s="98"/>
      <c r="J27" s="66"/>
      <c r="M27" s="225"/>
      <c r="N27" s="225"/>
    </row>
    <row r="28" spans="1:14">
      <c r="A28" s="60"/>
      <c r="B28" s="61"/>
      <c r="C28" s="62"/>
      <c r="D28" s="63"/>
    </row>
    <row r="29" spans="1:14">
      <c r="A29" s="60"/>
      <c r="B29" s="61"/>
      <c r="C29" s="62"/>
      <c r="D29" s="63"/>
      <c r="F29" s="63"/>
      <c r="G29" s="63"/>
      <c r="H29" s="63"/>
      <c r="I29" s="63"/>
    </row>
    <row r="30" spans="1:14">
      <c r="A30" s="60"/>
      <c r="B30" s="61"/>
      <c r="C30" s="62"/>
      <c r="D30" s="63"/>
      <c r="F30" s="63"/>
      <c r="G30" s="63"/>
      <c r="H30" s="63"/>
      <c r="I30" s="63"/>
    </row>
    <row r="31" spans="1:14">
      <c r="A31" s="60"/>
      <c r="B31" s="61"/>
      <c r="C31" s="62"/>
      <c r="D31" s="63"/>
      <c r="F31" s="63"/>
      <c r="G31" s="63"/>
      <c r="H31" s="63"/>
      <c r="I31" s="63"/>
    </row>
    <row r="32" spans="1:14">
      <c r="A32" s="60"/>
      <c r="B32" s="61"/>
      <c r="C32" s="62"/>
      <c r="D32" s="63"/>
      <c r="F32" s="63"/>
      <c r="G32" s="63"/>
      <c r="H32" s="63"/>
      <c r="I32" s="63"/>
    </row>
    <row r="33" spans="1:9">
      <c r="A33" s="60"/>
      <c r="B33" s="61"/>
      <c r="C33" s="62"/>
      <c r="D33" s="63"/>
      <c r="F33" s="63"/>
      <c r="G33" s="63"/>
      <c r="H33" s="63"/>
      <c r="I33" s="63"/>
    </row>
    <row r="34" spans="1:9">
      <c r="A34" s="60"/>
      <c r="B34" s="61"/>
      <c r="C34" s="62"/>
      <c r="D34" s="63"/>
      <c r="F34" s="63"/>
      <c r="G34" s="63"/>
      <c r="H34" s="63"/>
      <c r="I34" s="63"/>
    </row>
    <row r="35" spans="1:9">
      <c r="A35" s="60"/>
      <c r="B35" s="61"/>
      <c r="C35" s="62"/>
      <c r="D35" s="63"/>
      <c r="F35" s="63"/>
      <c r="G35" s="63"/>
      <c r="H35" s="63"/>
      <c r="I35" s="63"/>
    </row>
    <row r="36" spans="1:9">
      <c r="A36" s="60"/>
      <c r="B36" s="61"/>
      <c r="C36" s="62"/>
      <c r="D36" s="63"/>
      <c r="F36" s="63"/>
      <c r="G36" s="63"/>
      <c r="H36" s="63"/>
      <c r="I36" s="63"/>
    </row>
    <row r="37" spans="1:9">
      <c r="A37" s="60"/>
      <c r="B37" s="61"/>
      <c r="C37" s="62"/>
      <c r="D37" s="63"/>
      <c r="F37" s="63"/>
      <c r="G37" s="63"/>
      <c r="H37" s="63"/>
      <c r="I37" s="63"/>
    </row>
    <row r="38" spans="1:9">
      <c r="A38" s="60"/>
      <c r="B38" s="61"/>
      <c r="C38" s="62"/>
      <c r="D38" s="63"/>
      <c r="F38" s="63"/>
      <c r="G38" s="63"/>
      <c r="H38" s="63"/>
      <c r="I38" s="63"/>
    </row>
    <row r="39" spans="1:9">
      <c r="A39" s="60"/>
      <c r="B39" s="61"/>
      <c r="C39" s="62"/>
      <c r="D39" s="63"/>
      <c r="F39" s="63"/>
      <c r="G39" s="63"/>
      <c r="H39" s="63"/>
      <c r="I39" s="63"/>
    </row>
    <row r="40" spans="1:9">
      <c r="A40" s="60"/>
      <c r="B40" s="61"/>
      <c r="C40" s="62"/>
      <c r="D40" s="63"/>
      <c r="F40" s="63"/>
      <c r="G40" s="63"/>
      <c r="H40" s="63"/>
      <c r="I40" s="63"/>
    </row>
    <row r="41" spans="1:9">
      <c r="A41" s="60"/>
      <c r="B41" s="61"/>
      <c r="C41" s="62"/>
      <c r="D41" s="63"/>
      <c r="F41" s="63"/>
      <c r="G41" s="63"/>
      <c r="H41" s="63"/>
      <c r="I41" s="63"/>
    </row>
    <row r="42" spans="1:9">
      <c r="A42" s="60"/>
      <c r="B42" s="61"/>
      <c r="C42" s="62"/>
      <c r="D42" s="63"/>
      <c r="F42" s="63"/>
      <c r="G42" s="63"/>
      <c r="H42" s="63"/>
      <c r="I42" s="63"/>
    </row>
    <row r="43" spans="1:9">
      <c r="A43" s="60"/>
      <c r="B43" s="61"/>
      <c r="C43" s="62"/>
      <c r="D43" s="63"/>
      <c r="F43" s="63"/>
      <c r="G43" s="63"/>
      <c r="H43" s="63"/>
      <c r="I43" s="63"/>
    </row>
    <row r="44" spans="1:9">
      <c r="A44" s="60"/>
      <c r="B44" s="61"/>
      <c r="C44" s="62"/>
      <c r="D44" s="63"/>
      <c r="F44" s="63"/>
      <c r="G44" s="63"/>
      <c r="H44" s="63"/>
      <c r="I44" s="63"/>
    </row>
    <row r="45" spans="1:9">
      <c r="A45" s="60"/>
      <c r="B45" s="61"/>
      <c r="C45" s="62"/>
      <c r="D45" s="63"/>
      <c r="F45" s="63"/>
      <c r="G45" s="63"/>
      <c r="H45" s="63"/>
      <c r="I45" s="63"/>
    </row>
    <row r="46" spans="1:9">
      <c r="A46" s="60"/>
      <c r="B46" s="61"/>
      <c r="C46" s="62"/>
      <c r="D46" s="63"/>
      <c r="F46" s="63"/>
      <c r="G46" s="63"/>
      <c r="H46" s="63"/>
      <c r="I46" s="63"/>
    </row>
    <row r="47" spans="1:9">
      <c r="A47" s="60"/>
      <c r="B47" s="61"/>
      <c r="C47" s="62"/>
      <c r="D47" s="63"/>
      <c r="F47" s="63"/>
      <c r="G47" s="63"/>
      <c r="H47" s="63"/>
      <c r="I47" s="63"/>
    </row>
    <row r="48" spans="1:9">
      <c r="A48" s="60"/>
      <c r="B48" s="61"/>
      <c r="C48" s="62"/>
      <c r="D48" s="63"/>
      <c r="F48" s="63"/>
      <c r="G48" s="63"/>
      <c r="H48" s="63"/>
      <c r="I48" s="63"/>
    </row>
    <row r="49" spans="1:15">
      <c r="A49" s="60"/>
      <c r="B49" s="61"/>
      <c r="C49" s="62"/>
      <c r="D49" s="63"/>
      <c r="F49" s="63"/>
      <c r="G49" s="63"/>
      <c r="H49" s="63"/>
      <c r="I49" s="63"/>
    </row>
    <row r="50" spans="1:15">
      <c r="A50" s="60"/>
      <c r="B50" s="61"/>
      <c r="C50" s="62"/>
      <c r="D50" s="63"/>
      <c r="F50" s="63"/>
      <c r="G50" s="63"/>
      <c r="H50" s="63"/>
      <c r="I50" s="63"/>
    </row>
    <row r="51" spans="1:15">
      <c r="A51" s="60"/>
      <c r="B51" s="61"/>
      <c r="C51" s="62"/>
      <c r="D51" s="63"/>
      <c r="F51" s="63"/>
      <c r="G51" s="63"/>
      <c r="H51" s="63"/>
      <c r="I51" s="63"/>
    </row>
    <row r="52" spans="1:15">
      <c r="A52" s="60"/>
      <c r="B52" s="61"/>
      <c r="C52" s="62"/>
      <c r="D52" s="63"/>
      <c r="F52" s="63"/>
      <c r="G52" s="63"/>
      <c r="H52" s="63"/>
      <c r="I52" s="63"/>
    </row>
    <row r="53" spans="1:15">
      <c r="A53" s="60"/>
      <c r="B53" s="61"/>
      <c r="C53" s="62"/>
      <c r="D53" s="63"/>
      <c r="F53" s="63"/>
      <c r="G53" s="63"/>
      <c r="H53" s="63"/>
      <c r="I53" s="63"/>
    </row>
    <row r="54" spans="1:15">
      <c r="A54" s="60"/>
      <c r="B54" s="61"/>
      <c r="C54" s="62"/>
      <c r="D54" s="63"/>
      <c r="F54" s="63"/>
      <c r="G54" s="63"/>
      <c r="H54" s="63"/>
      <c r="I54" s="63"/>
    </row>
    <row r="55" spans="1:15">
      <c r="A55" s="60"/>
      <c r="B55" s="61"/>
      <c r="C55" s="62"/>
      <c r="D55" s="63"/>
      <c r="F55" s="63"/>
      <c r="G55" s="63"/>
      <c r="H55" s="63"/>
      <c r="I55" s="63"/>
    </row>
    <row r="56" spans="1:15" customFormat="1" ht="44.25" customHeight="1">
      <c r="A56" s="60"/>
      <c r="B56" s="61"/>
      <c r="C56" s="62"/>
      <c r="D56" s="226" t="s">
        <v>1092</v>
      </c>
      <c r="E56" s="226"/>
      <c r="F56" s="226"/>
      <c r="G56" s="82"/>
      <c r="H56" s="82"/>
      <c r="I56" s="82"/>
      <c r="J56" s="63"/>
    </row>
    <row r="57" spans="1:15" customFormat="1" ht="21" customHeight="1">
      <c r="A57" s="60"/>
      <c r="B57" s="61"/>
      <c r="C57" s="62"/>
      <c r="D57" s="227" t="s">
        <v>1093</v>
      </c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3" t="s">
        <v>1094</v>
      </c>
    </row>
    <row r="58" spans="1:15" customFormat="1" ht="21" customHeight="1">
      <c r="A58" s="60"/>
      <c r="B58" s="61"/>
      <c r="C58" s="62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4"/>
    </row>
    <row r="59" spans="1:15" customFormat="1" ht="40.5" customHeight="1">
      <c r="A59" s="60"/>
      <c r="B59" s="61"/>
      <c r="C59" s="62"/>
      <c r="D59" s="217" t="s">
        <v>532</v>
      </c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9">
        <v>2</v>
      </c>
    </row>
    <row r="60" spans="1:15" customFormat="1" ht="40.5" customHeight="1">
      <c r="A60" s="60"/>
      <c r="B60" s="61"/>
      <c r="C60" s="62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20"/>
    </row>
    <row r="61" spans="1:15" customFormat="1" ht="40.5" customHeight="1">
      <c r="A61" s="60"/>
      <c r="B61" s="61"/>
      <c r="C61" s="62"/>
      <c r="D61" s="217" t="s">
        <v>531</v>
      </c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29" t="s">
        <v>1136</v>
      </c>
    </row>
    <row r="62" spans="1:15" customFormat="1" ht="40.5" customHeight="1">
      <c r="A62" s="60"/>
      <c r="B62" s="61"/>
      <c r="C62" s="62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20"/>
    </row>
    <row r="63" spans="1:15" customFormat="1" ht="40.5" customHeight="1">
      <c r="A63" s="60"/>
      <c r="B63" s="61"/>
      <c r="C63" s="62"/>
      <c r="D63" s="217" t="s">
        <v>609</v>
      </c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9">
        <v>5</v>
      </c>
    </row>
    <row r="64" spans="1:15" customFormat="1" ht="40.5" customHeight="1">
      <c r="A64" s="60"/>
      <c r="B64" s="61"/>
      <c r="C64" s="62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20"/>
    </row>
    <row r="65" spans="1:15" customFormat="1" ht="40.5" customHeight="1">
      <c r="A65" s="60"/>
      <c r="B65" s="61"/>
      <c r="C65" s="62"/>
      <c r="D65" s="217" t="s">
        <v>638</v>
      </c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9">
        <v>6</v>
      </c>
    </row>
    <row r="66" spans="1:15" customFormat="1" ht="40.5" customHeight="1">
      <c r="A66" s="60"/>
      <c r="B66" s="61"/>
      <c r="C66" s="62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2"/>
    </row>
    <row r="67" spans="1:15" customFormat="1" ht="40.5" customHeight="1">
      <c r="A67" s="60"/>
      <c r="B67" s="61"/>
      <c r="C67" s="62"/>
      <c r="D67" s="217" t="s">
        <v>695</v>
      </c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9">
        <v>7</v>
      </c>
    </row>
    <row r="68" spans="1:15" customFormat="1" ht="40.5" customHeight="1">
      <c r="A68" s="60"/>
      <c r="B68" s="61"/>
      <c r="C68" s="62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2"/>
    </row>
    <row r="69" spans="1:15" customFormat="1" ht="22.5" customHeight="1">
      <c r="A69" s="60"/>
      <c r="B69" s="61"/>
      <c r="C69" s="63"/>
      <c r="D69" s="217" t="s">
        <v>1152</v>
      </c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9">
        <v>8</v>
      </c>
    </row>
    <row r="70" spans="1:15" customFormat="1" ht="22.5" customHeight="1">
      <c r="A70" s="60"/>
      <c r="B70" s="61"/>
      <c r="C70" s="63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2"/>
    </row>
    <row r="71" spans="1:15" customFormat="1" ht="22.5" customHeight="1">
      <c r="A71" s="60"/>
      <c r="B71" s="61"/>
      <c r="C71" s="6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4"/>
    </row>
    <row r="72" spans="1:15" customFormat="1" ht="22.5" customHeight="1">
      <c r="A72" s="60"/>
      <c r="B72" s="61"/>
      <c r="C72" s="6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4"/>
    </row>
    <row r="73" spans="1:15" customFormat="1" ht="22.5" customHeight="1">
      <c r="A73" s="60"/>
      <c r="B73" s="61"/>
      <c r="C73" s="6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4"/>
    </row>
    <row r="74" spans="1:15" customFormat="1" ht="22.5" customHeight="1">
      <c r="A74" s="60"/>
      <c r="B74" s="61"/>
      <c r="C74" s="6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4"/>
    </row>
    <row r="75" spans="1:15" customFormat="1" ht="22.5" customHeight="1">
      <c r="A75" s="60"/>
      <c r="B75" s="61"/>
      <c r="C75" s="6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4"/>
    </row>
    <row r="76" spans="1:15" customFormat="1" ht="22.5" customHeight="1">
      <c r="A76" s="60"/>
      <c r="B76" s="61"/>
      <c r="C76" s="6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4"/>
    </row>
    <row r="77" spans="1:15" customFormat="1" ht="22.5" customHeight="1">
      <c r="A77" s="60"/>
      <c r="B77" s="61"/>
      <c r="C77" s="6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4"/>
    </row>
    <row r="78" spans="1:15" customFormat="1" ht="22.5" customHeight="1">
      <c r="A78" s="60"/>
      <c r="B78" s="61"/>
      <c r="C78" s="6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4"/>
    </row>
    <row r="79" spans="1:15" customFormat="1" ht="22.5" customHeight="1">
      <c r="A79" s="60"/>
      <c r="B79" s="61"/>
      <c r="C79" s="6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4"/>
    </row>
    <row r="80" spans="1:15" customFormat="1" ht="22.5" customHeight="1">
      <c r="A80" s="60"/>
      <c r="B80" s="61"/>
      <c r="C80" s="6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4"/>
    </row>
    <row r="81" spans="1:15" customFormat="1" ht="22.5" customHeight="1">
      <c r="A81" s="60"/>
      <c r="B81" s="61"/>
      <c r="C81" s="6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4"/>
    </row>
    <row r="82" spans="1:15" customFormat="1" ht="22.5" customHeight="1">
      <c r="A82" s="60"/>
      <c r="B82" s="61"/>
      <c r="C82" s="6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4"/>
    </row>
    <row r="83" spans="1:15" customFormat="1" ht="22.5" customHeight="1">
      <c r="A83" s="60"/>
      <c r="B83" s="61"/>
      <c r="C83" s="6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4"/>
    </row>
    <row r="84" spans="1:15" customFormat="1" ht="22.5" customHeight="1">
      <c r="A84" s="60"/>
      <c r="B84" s="61"/>
      <c r="C84" s="6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4"/>
    </row>
    <row r="85" spans="1:15" customFormat="1" ht="22.5" customHeight="1">
      <c r="A85" s="60"/>
      <c r="B85" s="61"/>
      <c r="C85" s="6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4"/>
    </row>
    <row r="86" spans="1:15" customFormat="1" ht="22.5" customHeight="1">
      <c r="A86" s="60"/>
      <c r="B86" s="61"/>
      <c r="C86" s="6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4"/>
    </row>
    <row r="87" spans="1:15" customFormat="1" ht="22.5" customHeight="1">
      <c r="A87" s="60"/>
      <c r="B87" s="61"/>
      <c r="C87" s="6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4"/>
    </row>
    <row r="88" spans="1:15" customFormat="1" ht="22.5" customHeight="1">
      <c r="A88" s="60"/>
      <c r="B88" s="61"/>
      <c r="C88" s="6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4"/>
    </row>
    <row r="89" spans="1:15" customFormat="1" ht="22.5" customHeight="1">
      <c r="A89" s="60"/>
      <c r="B89" s="61"/>
      <c r="C89" s="6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4"/>
    </row>
    <row r="90" spans="1:15" customFormat="1" ht="22.5" customHeight="1">
      <c r="A90" s="60"/>
      <c r="B90" s="61"/>
      <c r="C90" s="6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4"/>
    </row>
    <row r="91" spans="1:15" customFormat="1" ht="22.5" customHeight="1">
      <c r="A91" s="60"/>
      <c r="B91" s="61"/>
      <c r="C91" s="6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4"/>
    </row>
    <row r="92" spans="1:15">
      <c r="A92" s="60"/>
      <c r="B92" s="61"/>
      <c r="C92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</row>
    <row r="93" spans="1:15">
      <c r="A93" s="60"/>
      <c r="B93" s="61"/>
      <c r="C93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</row>
    <row r="94" spans="1:15" ht="31.5">
      <c r="A94" s="60"/>
      <c r="B94" s="61"/>
      <c r="C94"/>
      <c r="D94" s="72"/>
      <c r="E94" s="66" t="s">
        <v>532</v>
      </c>
      <c r="F94" s="63"/>
      <c r="J94" s="65"/>
      <c r="K94" s="68"/>
      <c r="N94" s="230" t="str">
        <f>$S$1</f>
        <v>1405/02/01</v>
      </c>
      <c r="O94" s="230"/>
    </row>
    <row r="95" spans="1:15" ht="21.75" customHeight="1">
      <c r="A95" s="60"/>
      <c r="B95" s="61"/>
      <c r="D95" s="231" t="s">
        <v>0</v>
      </c>
      <c r="E95" s="232" t="s">
        <v>1</v>
      </c>
      <c r="F95" s="184"/>
      <c r="G95" s="184"/>
      <c r="H95" s="233"/>
      <c r="I95" s="234" t="s">
        <v>2</v>
      </c>
      <c r="J95" s="235"/>
      <c r="K95" s="235"/>
      <c r="L95" s="235"/>
      <c r="M95" s="236"/>
      <c r="N95" s="184" t="s">
        <v>251</v>
      </c>
      <c r="O95" s="184"/>
    </row>
    <row r="96" spans="1:15" ht="21.75" customHeight="1">
      <c r="A96" s="60"/>
      <c r="B96" s="61"/>
      <c r="D96" s="231"/>
      <c r="E96" s="232"/>
      <c r="F96" s="184"/>
      <c r="G96" s="184"/>
      <c r="H96" s="233"/>
      <c r="I96" s="234"/>
      <c r="J96" s="235"/>
      <c r="K96" s="235"/>
      <c r="L96" s="235"/>
      <c r="M96" s="236"/>
      <c r="N96" s="184"/>
      <c r="O96" s="184"/>
    </row>
    <row r="97" spans="1:16" ht="62.25" customHeight="1">
      <c r="A97" s="60"/>
      <c r="B97" s="61"/>
      <c r="D97" s="96">
        <v>1</v>
      </c>
      <c r="E97" s="208" t="e">
        <f>INDEX(' کالای خواب حذف از لیست اصلی'!C:C,MATCH(P97,' کالای خواب حذف از لیست اصلی'!P:P,0))</f>
        <v>#N/A</v>
      </c>
      <c r="F97" s="209"/>
      <c r="G97" s="209"/>
      <c r="H97" s="210"/>
      <c r="I97" s="211" t="e">
        <f>INDEX(' کالای خواب حذف از لیست اصلی'!D:D,MATCH(P97,' کالای خواب حذف از لیست اصلی'!P:P,0))</f>
        <v>#N/A</v>
      </c>
      <c r="J97" s="212"/>
      <c r="K97" s="212"/>
      <c r="L97" s="212"/>
      <c r="M97" s="213"/>
      <c r="N97" s="214" t="e">
        <f>INDEX(' کالای خواب حذف از لیست اصلی'!F:F,MATCH(P97,' کالای خواب حذف از لیست اصلی'!P:P,0))</f>
        <v>#N/A</v>
      </c>
      <c r="O97" s="214"/>
      <c r="P97" s="64">
        <v>1</v>
      </c>
    </row>
    <row r="98" spans="1:16" ht="62.25" customHeight="1">
      <c r="A98" s="60"/>
      <c r="B98" s="61"/>
      <c r="D98" s="96">
        <v>2</v>
      </c>
      <c r="E98" s="208" t="str">
        <f>INDEX(' کالای خواب حذف از لیست اصلی'!C:C,MATCH(P98,' کالای خواب حذف از لیست اصلی'!P:P,0))</f>
        <v>9900120004</v>
      </c>
      <c r="F98" s="209"/>
      <c r="G98" s="209"/>
      <c r="H98" s="210"/>
      <c r="I98" s="211" t="str">
        <f>INDEX(' کالای خواب حذف از لیست اصلی'!D:D,MATCH(P98,' کالای خواب حذف از لیست اصلی'!P:P,0))</f>
        <v>بالش آتریپلکس / پلوم (90%پر)</v>
      </c>
      <c r="J98" s="212"/>
      <c r="K98" s="212"/>
      <c r="L98" s="212"/>
      <c r="M98" s="213"/>
      <c r="N98" s="214">
        <f>INDEX(' کالای خواب حذف از لیست اصلی'!F:F,MATCH(P98,' کالای خواب حذف از لیست اصلی'!P:P,0))</f>
        <v>90000000</v>
      </c>
      <c r="O98" s="214"/>
      <c r="P98" s="64">
        <v>2</v>
      </c>
    </row>
    <row r="99" spans="1:16" ht="62.25" customHeight="1">
      <c r="A99" s="60"/>
      <c r="B99" s="61"/>
      <c r="D99" s="96">
        <v>3</v>
      </c>
      <c r="E99" s="208" t="str">
        <f>INDEX(' کالای خواب حذف از لیست اصلی'!C:C,MATCH(P99,' کالای خواب حذف از لیست اصلی'!P:P,0))</f>
        <v>9900120005</v>
      </c>
      <c r="F99" s="209"/>
      <c r="G99" s="209"/>
      <c r="H99" s="210"/>
      <c r="I99" s="211" t="str">
        <f>INDEX(' کالای خواب حذف از لیست اصلی'!D:D,MATCH(P99,' کالای خواب حذف از لیست اصلی'!P:P,0))</f>
        <v>بالش آتریپلکس / پاکت پیلو</v>
      </c>
      <c r="J99" s="212"/>
      <c r="K99" s="212"/>
      <c r="L99" s="212"/>
      <c r="M99" s="213"/>
      <c r="N99" s="214">
        <f>INDEX(' کالای خواب حذف از لیست اصلی'!F:F,MATCH(P99,' کالای خواب حذف از لیست اصلی'!P:P,0))</f>
        <v>101000000</v>
      </c>
      <c r="O99" s="214"/>
      <c r="P99" s="64">
        <v>3</v>
      </c>
    </row>
    <row r="100" spans="1:16" ht="62.25" customHeight="1">
      <c r="A100" s="60"/>
      <c r="B100" s="61"/>
      <c r="D100" s="96">
        <v>4</v>
      </c>
      <c r="E100" s="208" t="str">
        <f>INDEX(' کالای خواب حذف از لیست اصلی'!C:C,MATCH(P100,' کالای خواب حذف از لیست اصلی'!P:P,0))</f>
        <v>9900120006</v>
      </c>
      <c r="F100" s="209"/>
      <c r="G100" s="209"/>
      <c r="H100" s="210"/>
      <c r="I100" s="211" t="str">
        <f>INDEX(' کالای خواب حذف از لیست اصلی'!D:D,MATCH(P100,' کالای خواب حذف از لیست اصلی'!P:P,0))</f>
        <v>بالش آتریپلکس / بامبو</v>
      </c>
      <c r="J100" s="212"/>
      <c r="K100" s="212"/>
      <c r="L100" s="212"/>
      <c r="M100" s="213"/>
      <c r="N100" s="214">
        <f>INDEX(' کالای خواب حذف از لیست اصلی'!F:F,MATCH(P100,' کالای خواب حذف از لیست اصلی'!P:P,0))</f>
        <v>78000000</v>
      </c>
      <c r="O100" s="214"/>
      <c r="P100" s="64">
        <v>4</v>
      </c>
    </row>
    <row r="101" spans="1:16" ht="62.25" customHeight="1">
      <c r="A101" s="60"/>
      <c r="B101" s="61"/>
      <c r="D101" s="96">
        <v>5</v>
      </c>
      <c r="E101" s="208" t="str">
        <f>INDEX(' کالای خواب حذف از لیست اصلی'!C:C,MATCH(P101,' کالای خواب حذف از لیست اصلی'!P:P,0))</f>
        <v>9900120007</v>
      </c>
      <c r="F101" s="209"/>
      <c r="G101" s="209"/>
      <c r="H101" s="210"/>
      <c r="I101" s="211" t="str">
        <f>INDEX(' کالای خواب حذف از لیست اصلی'!D:D,MATCH(P101,' کالای خواب حذف از لیست اصلی'!P:P,0))</f>
        <v>بالش آتریپلکس / آلوئه ورا</v>
      </c>
      <c r="J101" s="212"/>
      <c r="K101" s="212"/>
      <c r="L101" s="212"/>
      <c r="M101" s="213"/>
      <c r="N101" s="214">
        <f>INDEX(' کالای خواب حذف از لیست اصلی'!F:F,MATCH(P101,' کالای خواب حذف از لیست اصلی'!P:P,0))</f>
        <v>67000000</v>
      </c>
      <c r="O101" s="214"/>
      <c r="P101" s="64">
        <v>5</v>
      </c>
    </row>
    <row r="102" spans="1:16" ht="62.25" customHeight="1">
      <c r="A102" s="60"/>
      <c r="B102" s="61"/>
      <c r="D102" s="96">
        <v>6</v>
      </c>
      <c r="E102" s="208" t="str">
        <f>INDEX(' کالای خواب حذف از لیست اصلی'!C:C,MATCH(P102,' کالای خواب حذف از لیست اصلی'!P:P,0))</f>
        <v>9900120008</v>
      </c>
      <c r="F102" s="209"/>
      <c r="G102" s="209"/>
      <c r="H102" s="210"/>
      <c r="I102" s="211" t="str">
        <f>INDEX(' کالای خواب حذف از لیست اصلی'!D:D,MATCH(P102,' کالای خواب حذف از لیست اصلی'!P:P,0))</f>
        <v>بالش آتریپلکس / میکرو نیدل</v>
      </c>
      <c r="J102" s="212"/>
      <c r="K102" s="212"/>
      <c r="L102" s="212"/>
      <c r="M102" s="213"/>
      <c r="N102" s="214">
        <f>INDEX(' کالای خواب حذف از لیست اصلی'!F:F,MATCH(P102,' کالای خواب حذف از لیست اصلی'!P:P,0))</f>
        <v>76000000</v>
      </c>
      <c r="O102" s="214"/>
      <c r="P102" s="64">
        <v>6</v>
      </c>
    </row>
    <row r="103" spans="1:16" ht="62.25" customHeight="1">
      <c r="A103" s="60"/>
      <c r="B103" s="61"/>
      <c r="D103" s="96">
        <v>7</v>
      </c>
      <c r="E103" s="208" t="str">
        <f>INDEX(' کالای خواب حذف از لیست اصلی'!C:C,MATCH(P103,' کالای خواب حذف از لیست اصلی'!P:P,0))</f>
        <v>9900120009</v>
      </c>
      <c r="F103" s="209"/>
      <c r="G103" s="209"/>
      <c r="H103" s="210"/>
      <c r="I103" s="211" t="str">
        <f>INDEX(' کالای خواب حذف از لیست اصلی'!D:D,MATCH(P103,' کالای خواب حذف از لیست اصلی'!P:P,0))</f>
        <v>بالش آتریپلکس / آل سیزنس</v>
      </c>
      <c r="J103" s="212"/>
      <c r="K103" s="212"/>
      <c r="L103" s="212"/>
      <c r="M103" s="213"/>
      <c r="N103" s="214">
        <f>INDEX(' کالای خواب حذف از لیست اصلی'!F:F,MATCH(P103,' کالای خواب حذف از لیست اصلی'!P:P,0))</f>
        <v>76000000</v>
      </c>
      <c r="O103" s="214"/>
      <c r="P103" s="64">
        <v>7</v>
      </c>
    </row>
    <row r="104" spans="1:16" ht="62.25" customHeight="1">
      <c r="A104" s="60"/>
      <c r="B104" s="61"/>
      <c r="D104" s="96">
        <v>8</v>
      </c>
      <c r="E104" s="208" t="str">
        <f>INDEX(' کالای خواب حذف از لیست اصلی'!C:C,MATCH(P104,' کالای خواب حذف از لیست اصلی'!P:P,0))</f>
        <v>9900120010</v>
      </c>
      <c r="F104" s="209"/>
      <c r="G104" s="209"/>
      <c r="H104" s="210"/>
      <c r="I104" s="211" t="str">
        <f>INDEX(' کالای خواب حذف از لیست اصلی'!D:D,MATCH(P104,' کالای خواب حذف از لیست اصلی'!P:P,0))</f>
        <v>بالش آتریپلکس /  نچرال</v>
      </c>
      <c r="J104" s="212"/>
      <c r="K104" s="212"/>
      <c r="L104" s="212"/>
      <c r="M104" s="213"/>
      <c r="N104" s="214">
        <f>INDEX(' کالای خواب حذف از لیست اصلی'!F:F,MATCH(P104,' کالای خواب حذف از لیست اصلی'!P:P,0))</f>
        <v>76000000</v>
      </c>
      <c r="O104" s="214"/>
      <c r="P104" s="64">
        <v>8</v>
      </c>
    </row>
    <row r="105" spans="1:16" ht="62.25" customHeight="1">
      <c r="A105" s="60"/>
      <c r="B105" s="61"/>
      <c r="D105" s="96">
        <v>9</v>
      </c>
      <c r="E105" s="208" t="str">
        <f>INDEX(' کالای خواب حذف از لیست اصلی'!C:C,MATCH(P105,' کالای خواب حذف از لیست اصلی'!P:P,0))</f>
        <v>9900120011</v>
      </c>
      <c r="F105" s="209"/>
      <c r="G105" s="209"/>
      <c r="H105" s="210"/>
      <c r="I105" s="211" t="str">
        <f>INDEX(' کالای خواب حذف از لیست اصلی'!D:D,MATCH(P105,' کالای خواب حذف از لیست اصلی'!P:P,0))</f>
        <v>بالش آتریپلکس / هایپرکلاس</v>
      </c>
      <c r="J105" s="212"/>
      <c r="K105" s="212"/>
      <c r="L105" s="212"/>
      <c r="M105" s="213"/>
      <c r="N105" s="214">
        <f>INDEX(' کالای خواب حذف از لیست اصلی'!F:F,MATCH(P105,' کالای خواب حذف از لیست اصلی'!P:P,0))</f>
        <v>88000000</v>
      </c>
      <c r="O105" s="214"/>
      <c r="P105" s="64">
        <v>9</v>
      </c>
    </row>
    <row r="106" spans="1:16" ht="62.25" customHeight="1">
      <c r="A106" s="60"/>
      <c r="B106" s="61"/>
      <c r="D106" s="96">
        <v>10</v>
      </c>
      <c r="E106" s="208" t="str">
        <f>INDEX(' کالای خواب حذف از لیست اصلی'!C:C,MATCH(P106,' کالای خواب حذف از لیست اصلی'!P:P,0))</f>
        <v>9900120012</v>
      </c>
      <c r="F106" s="209"/>
      <c r="G106" s="209"/>
      <c r="H106" s="210"/>
      <c r="I106" s="211" t="str">
        <f>INDEX(' کالای خواب حذف از لیست اصلی'!D:D,MATCH(P106,' کالای خواب حذف از لیست اصلی'!P:P,0))</f>
        <v>بالش آتریپلکس / فرش کول</v>
      </c>
      <c r="J106" s="212"/>
      <c r="K106" s="212"/>
      <c r="L106" s="212"/>
      <c r="M106" s="213"/>
      <c r="N106" s="214">
        <f>INDEX(' کالای خواب حذف از لیست اصلی'!F:F,MATCH(P106,' کالای خواب حذف از لیست اصلی'!P:P,0))</f>
        <v>108000000</v>
      </c>
      <c r="O106" s="214"/>
      <c r="P106" s="64">
        <v>10</v>
      </c>
    </row>
    <row r="107" spans="1:16" ht="62.25" customHeight="1">
      <c r="A107" s="60"/>
      <c r="B107" s="61"/>
      <c r="D107" s="96">
        <v>11</v>
      </c>
      <c r="E107" s="208">
        <f>INDEX(' کالای خواب حذف از لیست اصلی'!C:C,MATCH(P107,' کالای خواب حذف از لیست اصلی'!P:P,0))</f>
        <v>9900120023</v>
      </c>
      <c r="F107" s="209"/>
      <c r="G107" s="209"/>
      <c r="H107" s="210"/>
      <c r="I107" s="211" t="str">
        <f>INDEX(' کالای خواب حذف از لیست اصلی'!D:D,MATCH(P107,' کالای خواب حذف از لیست اصلی'!P:P,0))</f>
        <v>بالش مون سیلک</v>
      </c>
      <c r="J107" s="212"/>
      <c r="K107" s="212"/>
      <c r="L107" s="212"/>
      <c r="M107" s="213"/>
      <c r="N107" s="214">
        <f>INDEX(' کالای خواب حذف از لیست اصلی'!F:F,MATCH(P107,' کالای خواب حذف از لیست اصلی'!P:P,0))</f>
        <v>173000000</v>
      </c>
      <c r="O107" s="214"/>
      <c r="P107" s="64">
        <v>11</v>
      </c>
    </row>
    <row r="108" spans="1:16" ht="62.25" customHeight="1">
      <c r="A108" s="60"/>
      <c r="B108" s="61"/>
      <c r="D108" s="96">
        <v>12</v>
      </c>
      <c r="E108" s="208">
        <f>INDEX(' کالای خواب حذف از لیست اصلی'!C:C,MATCH(P108,' کالای خواب حذف از لیست اصلی'!P:P,0))</f>
        <v>9900120024</v>
      </c>
      <c r="F108" s="209"/>
      <c r="G108" s="209"/>
      <c r="H108" s="210"/>
      <c r="I108" s="211" t="str">
        <f>INDEX(' کالای خواب حذف از لیست اصلی'!D:D,MATCH(P108,' کالای خواب حذف از لیست اصلی'!P:P,0))</f>
        <v>بالش توین رست</v>
      </c>
      <c r="J108" s="212"/>
      <c r="K108" s="212"/>
      <c r="L108" s="212"/>
      <c r="M108" s="213"/>
      <c r="N108" s="214">
        <f>INDEX(' کالای خواب حذف از لیست اصلی'!F:F,MATCH(P108,' کالای خواب حذف از لیست اصلی'!P:P,0))</f>
        <v>106000000</v>
      </c>
      <c r="O108" s="214"/>
      <c r="P108" s="64">
        <v>12</v>
      </c>
    </row>
    <row r="109" spans="1:16" ht="62.25" customHeight="1">
      <c r="A109" s="60"/>
      <c r="B109" s="61"/>
      <c r="D109" s="96">
        <v>13</v>
      </c>
      <c r="E109" s="208">
        <f>INDEX(' کالای خواب حذف از لیست اصلی'!C:C,MATCH(P109,' کالای خواب حذف از لیست اصلی'!P:P,0))</f>
        <v>9900120025</v>
      </c>
      <c r="F109" s="209"/>
      <c r="G109" s="209"/>
      <c r="H109" s="210"/>
      <c r="I109" s="211" t="str">
        <f>INDEX(' کالای خواب حذف از لیست اصلی'!D:D,MATCH(P109,' کالای خواب حذف از لیست اصلی'!P:P,0))</f>
        <v>بالش طبی مموری ترکیبی</v>
      </c>
      <c r="J109" s="212"/>
      <c r="K109" s="212"/>
      <c r="L109" s="212"/>
      <c r="M109" s="213"/>
      <c r="N109" s="214">
        <f>INDEX(' کالای خواب حذف از لیست اصلی'!F:F,MATCH(P109,' کالای خواب حذف از لیست اصلی'!P:P,0))</f>
        <v>164000000</v>
      </c>
      <c r="O109" s="214"/>
      <c r="P109" s="64">
        <v>13</v>
      </c>
    </row>
    <row r="110" spans="1:16" ht="31.5" customHeight="1">
      <c r="A110" s="60"/>
      <c r="B110" s="61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6" ht="27" customHeight="1">
      <c r="A111" s="60"/>
      <c r="B111" s="6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6" ht="18.75">
      <c r="A112" s="60"/>
      <c r="B112" s="61"/>
      <c r="D112"/>
      <c r="E112"/>
      <c r="F112"/>
      <c r="G112"/>
      <c r="H112"/>
      <c r="I112"/>
      <c r="J112"/>
      <c r="K112"/>
      <c r="L112"/>
      <c r="M112"/>
      <c r="N112"/>
      <c r="O112" s="105">
        <v>2</v>
      </c>
    </row>
    <row r="113" spans="1:16">
      <c r="A113" s="60"/>
      <c r="B113" s="61"/>
      <c r="C113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</row>
    <row r="114" spans="1:16">
      <c r="A114" s="60"/>
      <c r="B114" s="61"/>
      <c r="C11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</row>
    <row r="115" spans="1:16" ht="31.5">
      <c r="A115" s="60"/>
      <c r="B115" s="61"/>
      <c r="C115"/>
      <c r="D115" s="72"/>
      <c r="E115" s="66" t="s">
        <v>531</v>
      </c>
      <c r="F115" s="63"/>
      <c r="J115" s="65"/>
      <c r="K115" s="68"/>
      <c r="N115" s="230" t="str">
        <f>$S$1</f>
        <v>1405/02/01</v>
      </c>
      <c r="O115" s="230"/>
    </row>
    <row r="116" spans="1:16" ht="23.25" customHeight="1">
      <c r="A116" s="60"/>
      <c r="B116" s="61"/>
      <c r="D116" s="231" t="s">
        <v>0</v>
      </c>
      <c r="E116" s="232" t="s">
        <v>1</v>
      </c>
      <c r="F116" s="184"/>
      <c r="G116" s="184"/>
      <c r="H116" s="233"/>
      <c r="I116" s="234" t="s">
        <v>2</v>
      </c>
      <c r="J116" s="235"/>
      <c r="K116" s="235"/>
      <c r="L116" s="235"/>
      <c r="M116" s="236"/>
      <c r="N116" s="184" t="s">
        <v>251</v>
      </c>
      <c r="O116" s="184"/>
    </row>
    <row r="117" spans="1:16" ht="23.25" customHeight="1">
      <c r="A117" s="60"/>
      <c r="B117" s="61"/>
      <c r="D117" s="231"/>
      <c r="E117" s="232"/>
      <c r="F117" s="184"/>
      <c r="G117" s="184"/>
      <c r="H117" s="233"/>
      <c r="I117" s="234"/>
      <c r="J117" s="235"/>
      <c r="K117" s="235"/>
      <c r="L117" s="235"/>
      <c r="M117" s="236"/>
      <c r="N117" s="184"/>
      <c r="O117" s="184"/>
    </row>
    <row r="118" spans="1:16" ht="56.25" customHeight="1">
      <c r="A118" s="60"/>
      <c r="B118" s="61"/>
      <c r="D118" s="96">
        <v>1</v>
      </c>
      <c r="E118" s="208" t="str">
        <f>INDEX(' کالای خواب حذف از لیست اصلی'!C:C,MATCH(P118,' کالای خواب حذف از لیست اصلی'!P:P,0))</f>
        <v>9900130005</v>
      </c>
      <c r="F118" s="209"/>
      <c r="G118" s="209"/>
      <c r="H118" s="210"/>
      <c r="I118" s="211" t="str">
        <f>INDEX(' کالای خواب حذف از لیست اصلی'!D:D,MATCH(P118,' کالای خواب حذف از لیست اصلی'!P:P,0))</f>
        <v>سرویس روتختی دونفره سه تکه فریزیا / زغالی</v>
      </c>
      <c r="J118" s="212"/>
      <c r="K118" s="212"/>
      <c r="L118" s="212"/>
      <c r="M118" s="213"/>
      <c r="N118" s="214">
        <f>INDEX(' کالای خواب حذف از لیست اصلی'!F:F,MATCH(P118,' کالای خواب حذف از لیست اصلی'!P:P,0))</f>
        <v>336000000</v>
      </c>
      <c r="O118" s="214"/>
      <c r="P118" s="64">
        <v>14</v>
      </c>
    </row>
    <row r="119" spans="1:16" ht="56.25" customHeight="1">
      <c r="A119" s="60"/>
      <c r="B119" s="61"/>
      <c r="D119" s="96">
        <v>2</v>
      </c>
      <c r="E119" s="208" t="str">
        <f>INDEX(' کالای خواب حذف از لیست اصلی'!C:C,MATCH(P119,' کالای خواب حذف از لیست اصلی'!P:P,0))</f>
        <v>9900130006</v>
      </c>
      <c r="F119" s="209"/>
      <c r="G119" s="209"/>
      <c r="H119" s="210"/>
      <c r="I119" s="211" t="str">
        <f>INDEX(' کالای خواب حذف از لیست اصلی'!D:D,MATCH(P119,' کالای خواب حذف از لیست اصلی'!P:P,0))</f>
        <v>سرویس روتختی دونفره سه تکه فریزیا / مسی</v>
      </c>
      <c r="J119" s="212"/>
      <c r="K119" s="212"/>
      <c r="L119" s="212"/>
      <c r="M119" s="213"/>
      <c r="N119" s="214">
        <f>INDEX(' کالای خواب حذف از لیست اصلی'!F:F,MATCH(P119,' کالای خواب حذف از لیست اصلی'!P:P,0))</f>
        <v>336000000</v>
      </c>
      <c r="O119" s="214"/>
      <c r="P119" s="64">
        <v>15</v>
      </c>
    </row>
    <row r="120" spans="1:16" ht="56.25" customHeight="1">
      <c r="A120" s="60"/>
      <c r="B120" s="61"/>
      <c r="D120" s="96">
        <v>3</v>
      </c>
      <c r="E120" s="208" t="str">
        <f>INDEX(' کالای خواب حذف از لیست اصلی'!C:C,MATCH(P120,' کالای خواب حذف از لیست اصلی'!P:P,0))</f>
        <v>9900130007</v>
      </c>
      <c r="F120" s="209"/>
      <c r="G120" s="209"/>
      <c r="H120" s="210"/>
      <c r="I120" s="211" t="str">
        <f>INDEX(' کالای خواب حذف از لیست اصلی'!D:D,MATCH(P120,' کالای خواب حذف از لیست اصلی'!P:P,0))</f>
        <v>سرویس روتختی دونفره سه تکه فریزیا /آبی تیره</v>
      </c>
      <c r="J120" s="212"/>
      <c r="K120" s="212"/>
      <c r="L120" s="212"/>
      <c r="M120" s="213"/>
      <c r="N120" s="214">
        <f>INDEX(' کالای خواب حذف از لیست اصلی'!F:F,MATCH(P120,' کالای خواب حذف از لیست اصلی'!P:P,0))</f>
        <v>336000000</v>
      </c>
      <c r="O120" s="214"/>
      <c r="P120" s="64">
        <v>16</v>
      </c>
    </row>
    <row r="121" spans="1:16" ht="56.25" customHeight="1">
      <c r="A121" s="60"/>
      <c r="B121" s="61"/>
      <c r="D121" s="96">
        <v>4</v>
      </c>
      <c r="E121" s="208" t="str">
        <f>INDEX(' کالای خواب حذف از لیست اصلی'!C:C,MATCH(P121,' کالای خواب حذف از لیست اصلی'!P:P,0))</f>
        <v>9900130008</v>
      </c>
      <c r="F121" s="209"/>
      <c r="G121" s="209"/>
      <c r="H121" s="210"/>
      <c r="I121" s="211" t="str">
        <f>INDEX(' کالای خواب حذف از لیست اصلی'!D:D,MATCH(P121,' کالای خواب حذف از لیست اصلی'!P:P,0))</f>
        <v>سرویس روتختی دونفره سه تکه فریزیا / خاکستری</v>
      </c>
      <c r="J121" s="212"/>
      <c r="K121" s="212"/>
      <c r="L121" s="212"/>
      <c r="M121" s="213"/>
      <c r="N121" s="214">
        <f>INDEX(' کالای خواب حذف از لیست اصلی'!F:F,MATCH(P121,' کالای خواب حذف از لیست اصلی'!P:P,0))</f>
        <v>336000000</v>
      </c>
      <c r="O121" s="214"/>
      <c r="P121" s="64">
        <v>17</v>
      </c>
    </row>
    <row r="122" spans="1:16" ht="56.25" customHeight="1">
      <c r="A122" s="60"/>
      <c r="B122" s="61"/>
      <c r="D122" s="96">
        <v>5</v>
      </c>
      <c r="E122" s="208" t="str">
        <f>INDEX(' کالای خواب حذف از لیست اصلی'!C:C,MATCH(P122,' کالای خواب حذف از لیست اصلی'!P:P,0))</f>
        <v>9900130009</v>
      </c>
      <c r="F122" s="209"/>
      <c r="G122" s="209"/>
      <c r="H122" s="210"/>
      <c r="I122" s="211" t="str">
        <f>INDEX(' کالای خواب حذف از لیست اصلی'!D:D,MATCH(P122,' کالای خواب حذف از لیست اصلی'!P:P,0))</f>
        <v>سرویس روتختی یک نفره دو تکه فریزیا / زغالی</v>
      </c>
      <c r="J122" s="212"/>
      <c r="K122" s="212"/>
      <c r="L122" s="212"/>
      <c r="M122" s="213"/>
      <c r="N122" s="214">
        <f>INDEX(' کالای خواب حذف از لیست اصلی'!F:F,MATCH(P122,' کالای خواب حذف از لیست اصلی'!P:P,0))</f>
        <v>268000000</v>
      </c>
      <c r="O122" s="214"/>
      <c r="P122" s="64">
        <v>18</v>
      </c>
    </row>
    <row r="123" spans="1:16" ht="56.25" customHeight="1">
      <c r="A123" s="60"/>
      <c r="B123" s="61"/>
      <c r="D123" s="96">
        <v>6</v>
      </c>
      <c r="E123" s="208" t="str">
        <f>INDEX(' کالای خواب حذف از لیست اصلی'!C:C,MATCH(P123,' کالای خواب حذف از لیست اصلی'!P:P,0))</f>
        <v>9900130010</v>
      </c>
      <c r="F123" s="209"/>
      <c r="G123" s="209"/>
      <c r="H123" s="210"/>
      <c r="I123" s="211" t="str">
        <f>INDEX(' کالای خواب حذف از لیست اصلی'!D:D,MATCH(P123,' کالای خواب حذف از لیست اصلی'!P:P,0))</f>
        <v>سرویس روتختی یک نفره دو تکه فریزیا / مسی</v>
      </c>
      <c r="J123" s="212"/>
      <c r="K123" s="212"/>
      <c r="L123" s="212"/>
      <c r="M123" s="213"/>
      <c r="N123" s="214">
        <f>INDEX(' کالای خواب حذف از لیست اصلی'!F:F,MATCH(P123,' کالای خواب حذف از لیست اصلی'!P:P,0))</f>
        <v>268000000</v>
      </c>
      <c r="O123" s="214"/>
      <c r="P123" s="64">
        <v>19</v>
      </c>
    </row>
    <row r="124" spans="1:16" ht="56.25" customHeight="1">
      <c r="A124" s="60"/>
      <c r="B124" s="61"/>
      <c r="D124" s="96">
        <v>7</v>
      </c>
      <c r="E124" s="208" t="str">
        <f>INDEX(' کالای خواب حذف از لیست اصلی'!C:C,MATCH(P124,' کالای خواب حذف از لیست اصلی'!P:P,0))</f>
        <v>9900130011</v>
      </c>
      <c r="F124" s="209"/>
      <c r="G124" s="209"/>
      <c r="H124" s="210"/>
      <c r="I124" s="211" t="str">
        <f>INDEX(' کالای خواب حذف از لیست اصلی'!D:D,MATCH(P124,' کالای خواب حذف از لیست اصلی'!P:P,0))</f>
        <v>سرویس روتختی یک نفره دو تکه فریزیا / آبی تیره</v>
      </c>
      <c r="J124" s="212"/>
      <c r="K124" s="212"/>
      <c r="L124" s="212"/>
      <c r="M124" s="213"/>
      <c r="N124" s="214">
        <f>INDEX(' کالای خواب حذف از لیست اصلی'!F:F,MATCH(P124,' کالای خواب حذف از لیست اصلی'!P:P,0))</f>
        <v>268000000</v>
      </c>
      <c r="O124" s="214"/>
      <c r="P124" s="64">
        <v>20</v>
      </c>
    </row>
    <row r="125" spans="1:16" ht="56.25" customHeight="1">
      <c r="A125" s="60"/>
      <c r="B125" s="61"/>
      <c r="D125" s="96">
        <v>8</v>
      </c>
      <c r="E125" s="208" t="str">
        <f>INDEX(' کالای خواب حذف از لیست اصلی'!C:C,MATCH(P125,' کالای خواب حذف از لیست اصلی'!P:P,0))</f>
        <v>9900130012</v>
      </c>
      <c r="F125" s="209"/>
      <c r="G125" s="209"/>
      <c r="H125" s="210"/>
      <c r="I125" s="211" t="str">
        <f>INDEX(' کالای خواب حذف از لیست اصلی'!D:D,MATCH(P125,' کالای خواب حذف از لیست اصلی'!P:P,0))</f>
        <v>سرویس روتختی یک نفره دو تکه فریزیا / خاکستری</v>
      </c>
      <c r="J125" s="212"/>
      <c r="K125" s="212"/>
      <c r="L125" s="212"/>
      <c r="M125" s="213"/>
      <c r="N125" s="214">
        <f>INDEX(' کالای خواب حذف از لیست اصلی'!F:F,MATCH(P125,' کالای خواب حذف از لیست اصلی'!P:P,0))</f>
        <v>268000000</v>
      </c>
      <c r="O125" s="214"/>
      <c r="P125" s="64">
        <v>21</v>
      </c>
    </row>
    <row r="126" spans="1:16" ht="56.25" customHeight="1">
      <c r="A126" s="60"/>
      <c r="B126" s="61"/>
      <c r="D126" s="96">
        <v>9</v>
      </c>
      <c r="E126" s="208">
        <f>INDEX(' کالای خواب حذف از لیست اصلی'!C:C,MATCH(P126,' کالای خواب حذف از لیست اصلی'!P:P,0))</f>
        <v>9900130022</v>
      </c>
      <c r="F126" s="209"/>
      <c r="G126" s="209"/>
      <c r="H126" s="210"/>
      <c r="I126" s="211" t="str">
        <f>INDEX(' کالای خواب حذف از لیست اصلی'!D:D,MATCH(P126,' کالای خواب حذف از لیست اصلی'!P:P,0))</f>
        <v>سرویس روتختی دو نفره یازده تکه ماری گلد 22</v>
      </c>
      <c r="J126" s="212"/>
      <c r="K126" s="212"/>
      <c r="L126" s="212"/>
      <c r="M126" s="213"/>
      <c r="N126" s="214">
        <f>INDEX(' کالای خواب حذف از لیست اصلی'!F:F,MATCH(P126,' کالای خواب حذف از لیست اصلی'!P:P,0))</f>
        <v>747000000</v>
      </c>
      <c r="O126" s="214"/>
      <c r="P126" s="64">
        <v>22</v>
      </c>
    </row>
    <row r="127" spans="1:16" ht="56.25" customHeight="1">
      <c r="A127" s="60"/>
      <c r="B127" s="61"/>
      <c r="D127" s="96">
        <v>10</v>
      </c>
      <c r="E127" s="208">
        <f>INDEX(' کالای خواب حذف از لیست اصلی'!C:C,MATCH(P127,' کالای خواب حذف از لیست اصلی'!P:P,0))</f>
        <v>9900130025</v>
      </c>
      <c r="F127" s="209"/>
      <c r="G127" s="209"/>
      <c r="H127" s="210"/>
      <c r="I127" s="211" t="str">
        <f>INDEX(' کالای خواب حذف از لیست اصلی'!D:D,MATCH(P127,' کالای خواب حذف از لیست اصلی'!P:P,0))</f>
        <v>سرویس روتختی و کاور کینگ ده تکه دکوماریا 25</v>
      </c>
      <c r="J127" s="212"/>
      <c r="K127" s="212"/>
      <c r="L127" s="212"/>
      <c r="M127" s="213"/>
      <c r="N127" s="214">
        <f>INDEX(' کالای خواب حذف از لیست اصلی'!F:F,MATCH(P127,' کالای خواب حذف از لیست اصلی'!P:P,0))</f>
        <v>995000000</v>
      </c>
      <c r="O127" s="214"/>
      <c r="P127" s="64">
        <v>23</v>
      </c>
    </row>
    <row r="128" spans="1:16" ht="56.25" customHeight="1">
      <c r="A128" s="60"/>
      <c r="B128" s="61"/>
      <c r="D128" s="96">
        <v>11</v>
      </c>
      <c r="E128" s="208" t="str">
        <f>INDEX(' کالای خواب حذف از لیست اصلی'!C:C,MATCH(P128,' کالای خواب حذف از لیست اصلی'!P:P,0))</f>
        <v>9900130030</v>
      </c>
      <c r="F128" s="209"/>
      <c r="G128" s="209"/>
      <c r="H128" s="210"/>
      <c r="I128" s="211" t="str">
        <f>INDEX(' کالای خواب حذف از لیست اصلی'!D:D,MATCH(P128,' کالای خواب حذف از لیست اصلی'!P:P,0))</f>
        <v>سرویس روتختی دو نفره سه تکه کاتالیا 30</v>
      </c>
      <c r="J128" s="212"/>
      <c r="K128" s="212"/>
      <c r="L128" s="212"/>
      <c r="M128" s="213"/>
      <c r="N128" s="214">
        <f>INDEX(' کالای خواب حذف از لیست اصلی'!F:F,MATCH(P128,' کالای خواب حذف از لیست اصلی'!P:P,0))</f>
        <v>137000000</v>
      </c>
      <c r="O128" s="214"/>
      <c r="P128" s="64">
        <v>24</v>
      </c>
    </row>
    <row r="129" spans="1:16" ht="50.25" customHeight="1">
      <c r="A129" s="60"/>
      <c r="B129" s="61"/>
      <c r="D129" s="96">
        <v>12</v>
      </c>
      <c r="E129" s="208" t="str">
        <f>INDEX(' کالای خواب حذف از لیست اصلی'!C:C,MATCH(P129,' کالای خواب حذف از لیست اصلی'!P:P,0))</f>
        <v>9900130031</v>
      </c>
      <c r="F129" s="209"/>
      <c r="G129" s="209"/>
      <c r="H129" s="210"/>
      <c r="I129" s="211" t="str">
        <f>INDEX(' کالای خواب حذف از لیست اصلی'!D:D,MATCH(P129,' کالای خواب حذف از لیست اصلی'!P:P,0))</f>
        <v>سرویس روتختی دو نفره سه تکه کاتالیا 31</v>
      </c>
      <c r="J129" s="212"/>
      <c r="K129" s="212"/>
      <c r="L129" s="212"/>
      <c r="M129" s="213"/>
      <c r="N129" s="214">
        <f>INDEX(' کالای خواب حذف از لیست اصلی'!F:F,MATCH(P129,' کالای خواب حذف از لیست اصلی'!P:P,0))</f>
        <v>137000000</v>
      </c>
      <c r="O129" s="214"/>
      <c r="P129" s="64">
        <v>25</v>
      </c>
    </row>
    <row r="130" spans="1:16" ht="50.25" customHeight="1">
      <c r="A130" s="60"/>
      <c r="B130" s="61"/>
      <c r="D130" s="96">
        <v>13</v>
      </c>
      <c r="E130" s="208" t="str">
        <f>INDEX(' کالای خواب حذف از لیست اصلی'!C:C,MATCH(P130,' کالای خواب حذف از لیست اصلی'!P:P,0))</f>
        <v>9900130032</v>
      </c>
      <c r="F130" s="209"/>
      <c r="G130" s="209"/>
      <c r="H130" s="210"/>
      <c r="I130" s="211" t="str">
        <f>INDEX(' کالای خواب حذف از لیست اصلی'!D:D,MATCH(P130,' کالای خواب حذف از لیست اصلی'!P:P,0))</f>
        <v>سرویس روتختی دو نفره سه تکه کاتالیا 32</v>
      </c>
      <c r="J130" s="212"/>
      <c r="K130" s="212"/>
      <c r="L130" s="212"/>
      <c r="M130" s="213"/>
      <c r="N130" s="214">
        <f>INDEX(' کالای خواب حذف از لیست اصلی'!F:F,MATCH(P130,' کالای خواب حذف از لیست اصلی'!P:P,0))</f>
        <v>137000000</v>
      </c>
      <c r="O130" s="214"/>
      <c r="P130" s="64">
        <v>26</v>
      </c>
    </row>
    <row r="131" spans="1:16" ht="51.75" customHeight="1">
      <c r="A131" s="60"/>
      <c r="B131" s="61"/>
      <c r="D131" s="96">
        <v>14</v>
      </c>
      <c r="E131" s="208" t="str">
        <f>INDEX(' کالای خواب حذف از لیست اصلی'!C:C,MATCH(P131,' کالای خواب حذف از لیست اصلی'!P:P,0))</f>
        <v>9900130033</v>
      </c>
      <c r="F131" s="209"/>
      <c r="G131" s="209"/>
      <c r="H131" s="210"/>
      <c r="I131" s="211" t="str">
        <f>INDEX(' کالای خواب حذف از لیست اصلی'!D:D,MATCH(P131,' کالای خواب حذف از لیست اصلی'!P:P,0))</f>
        <v>سرویس روتختی دو نفره سه تکه کاتالیا 33</v>
      </c>
      <c r="J131" s="212"/>
      <c r="K131" s="212"/>
      <c r="L131" s="212"/>
      <c r="M131" s="213"/>
      <c r="N131" s="214">
        <f>INDEX(' کالای خواب حذف از لیست اصلی'!F:F,MATCH(P131,' کالای خواب حذف از لیست اصلی'!P:P,0))</f>
        <v>137000000</v>
      </c>
      <c r="O131" s="214"/>
      <c r="P131" s="64">
        <v>27</v>
      </c>
    </row>
    <row r="132" spans="1:16" ht="50.25" customHeight="1">
      <c r="A132" s="60"/>
      <c r="B132" s="61"/>
      <c r="D132" s="96">
        <v>15</v>
      </c>
      <c r="E132" s="208" t="str">
        <f>INDEX(' کالای خواب حذف از لیست اصلی'!C:C,MATCH(P132,' کالای خواب حذف از لیست اصلی'!P:P,0))</f>
        <v>9900130034</v>
      </c>
      <c r="F132" s="209"/>
      <c r="G132" s="209"/>
      <c r="H132" s="210"/>
      <c r="I132" s="211" t="str">
        <f>INDEX(' کالای خواب حذف از لیست اصلی'!D:D,MATCH(P132,' کالای خواب حذف از لیست اصلی'!P:P,0))</f>
        <v>سرویس روتختی دو نفره سه تکه کاتالیا 34</v>
      </c>
      <c r="J132" s="212"/>
      <c r="K132" s="212"/>
      <c r="L132" s="212"/>
      <c r="M132" s="213"/>
      <c r="N132" s="214">
        <f>INDEX(' کالای خواب حذف از لیست اصلی'!F:F,MATCH(P132,' کالای خواب حذف از لیست اصلی'!P:P,0))</f>
        <v>137000000</v>
      </c>
      <c r="O132" s="214"/>
      <c r="P132" s="64">
        <v>28</v>
      </c>
    </row>
    <row r="133" spans="1:16" ht="48" customHeight="1">
      <c r="A133" s="60"/>
      <c r="B133" s="61"/>
      <c r="D133" s="96">
        <v>16</v>
      </c>
      <c r="E133" s="208" t="str">
        <f>INDEX(' کالای خواب حذف از لیست اصلی'!C:C,MATCH(P133,' کالای خواب حذف از لیست اصلی'!P:P,0))</f>
        <v>9900130035</v>
      </c>
      <c r="F133" s="209"/>
      <c r="G133" s="209"/>
      <c r="H133" s="210"/>
      <c r="I133" s="211" t="str">
        <f>INDEX(' کالای خواب حذف از لیست اصلی'!D:D,MATCH(P133,' کالای خواب حذف از لیست اصلی'!P:P,0))</f>
        <v>سرویس روتختی دو نفره سه تکه کاتالیا 35</v>
      </c>
      <c r="J133" s="212"/>
      <c r="K133" s="212"/>
      <c r="L133" s="212"/>
      <c r="M133" s="213"/>
      <c r="N133" s="214">
        <f>INDEX(' کالای خواب حذف از لیست اصلی'!F:F,MATCH(P133,' کالای خواب حذف از لیست اصلی'!P:P,0))</f>
        <v>137000000</v>
      </c>
      <c r="O133" s="214"/>
      <c r="P133" s="64">
        <v>29</v>
      </c>
    </row>
    <row r="134" spans="1:16" ht="18.75">
      <c r="A134" s="60"/>
      <c r="B134" s="61"/>
      <c r="D134"/>
      <c r="E134"/>
      <c r="F134"/>
      <c r="G134"/>
      <c r="H134"/>
      <c r="I134"/>
      <c r="J134"/>
      <c r="K134"/>
      <c r="L134"/>
      <c r="M134"/>
      <c r="N134"/>
      <c r="O134" s="105">
        <v>3</v>
      </c>
    </row>
    <row r="135" spans="1:16">
      <c r="A135" s="60"/>
      <c r="B135" s="61"/>
      <c r="C135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</row>
    <row r="136" spans="1:16">
      <c r="A136" s="60"/>
      <c r="B136" s="61"/>
      <c r="C136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</row>
    <row r="137" spans="1:16" ht="31.5">
      <c r="A137" s="60"/>
      <c r="B137" s="61"/>
      <c r="C137"/>
      <c r="D137" s="72"/>
      <c r="E137" s="66" t="s">
        <v>531</v>
      </c>
      <c r="F137" s="63"/>
      <c r="J137" s="65"/>
      <c r="K137" s="68"/>
      <c r="N137" s="230" t="str">
        <f>$S$1</f>
        <v>1405/02/01</v>
      </c>
      <c r="O137" s="230"/>
    </row>
    <row r="138" spans="1:16" ht="27" customHeight="1">
      <c r="A138" s="60"/>
      <c r="B138" s="61"/>
      <c r="D138" s="231" t="s">
        <v>0</v>
      </c>
      <c r="E138" s="232" t="s">
        <v>1</v>
      </c>
      <c r="F138" s="184"/>
      <c r="G138" s="184"/>
      <c r="H138" s="233"/>
      <c r="I138" s="234" t="s">
        <v>2</v>
      </c>
      <c r="J138" s="235"/>
      <c r="K138" s="235"/>
      <c r="L138" s="235"/>
      <c r="M138" s="236"/>
      <c r="N138" s="184" t="s">
        <v>251</v>
      </c>
      <c r="O138" s="184"/>
    </row>
    <row r="139" spans="1:16" ht="27" customHeight="1">
      <c r="A139" s="60"/>
      <c r="B139" s="61"/>
      <c r="D139" s="231"/>
      <c r="E139" s="232"/>
      <c r="F139" s="184"/>
      <c r="G139" s="184"/>
      <c r="H139" s="233"/>
      <c r="I139" s="234"/>
      <c r="J139" s="235"/>
      <c r="K139" s="235"/>
      <c r="L139" s="235"/>
      <c r="M139" s="236"/>
      <c r="N139" s="184"/>
      <c r="O139" s="184"/>
    </row>
    <row r="140" spans="1:16" ht="56.25" customHeight="1">
      <c r="A140" s="60"/>
      <c r="B140" s="61"/>
      <c r="D140" s="96">
        <v>17</v>
      </c>
      <c r="E140" s="208" t="str">
        <f>INDEX(' کالای خواب حذف از لیست اصلی'!C:C,MATCH(P140,' کالای خواب حذف از لیست اصلی'!P:P,0))</f>
        <v>9900130036</v>
      </c>
      <c r="F140" s="209"/>
      <c r="G140" s="209"/>
      <c r="H140" s="210"/>
      <c r="I140" s="211" t="str">
        <f>INDEX(' کالای خواب حذف از لیست اصلی'!D:D,MATCH(P140,' کالای خواب حذف از لیست اصلی'!P:P,0))</f>
        <v>سرویس روتختی دو نفره شش تکه کاتالیا پلاس 36</v>
      </c>
      <c r="J140" s="212"/>
      <c r="K140" s="212"/>
      <c r="L140" s="212"/>
      <c r="M140" s="213"/>
      <c r="N140" s="214">
        <f>INDEX(' کالای خواب حذف از لیست اصلی'!F:F,MATCH(P140,' کالای خواب حذف از لیست اصلی'!P:P,0))</f>
        <v>268000000</v>
      </c>
      <c r="O140" s="214"/>
      <c r="P140" s="64">
        <v>30</v>
      </c>
    </row>
    <row r="141" spans="1:16" ht="56.25" customHeight="1">
      <c r="A141" s="60"/>
      <c r="B141" s="61"/>
      <c r="D141" s="96">
        <v>18</v>
      </c>
      <c r="E141" s="208" t="str">
        <f>INDEX(' کالای خواب حذف از لیست اصلی'!C:C,MATCH(P141,' کالای خواب حذف از لیست اصلی'!P:P,0))</f>
        <v>9900130037</v>
      </c>
      <c r="F141" s="209"/>
      <c r="G141" s="209"/>
      <c r="H141" s="210"/>
      <c r="I141" s="211" t="str">
        <f>INDEX(' کالای خواب حذف از لیست اصلی'!D:D,MATCH(P141,' کالای خواب حذف از لیست اصلی'!P:P,0))</f>
        <v>سرویس روتختی دو نفره شش تکه کاتالیا پلاس 37</v>
      </c>
      <c r="J141" s="212"/>
      <c r="K141" s="212"/>
      <c r="L141" s="212"/>
      <c r="M141" s="213"/>
      <c r="N141" s="214">
        <f>INDEX(' کالای خواب حذف از لیست اصلی'!F:F,MATCH(P141,' کالای خواب حذف از لیست اصلی'!P:P,0))</f>
        <v>268000000</v>
      </c>
      <c r="O141" s="214"/>
      <c r="P141" s="64">
        <v>31</v>
      </c>
    </row>
    <row r="142" spans="1:16" ht="56.25" customHeight="1">
      <c r="A142" s="60"/>
      <c r="B142" s="61"/>
      <c r="D142" s="96">
        <v>19</v>
      </c>
      <c r="E142" s="208" t="str">
        <f>INDEX(' کالای خواب حذف از لیست اصلی'!C:C,MATCH(P142,' کالای خواب حذف از لیست اصلی'!P:P,0))</f>
        <v>9900130038</v>
      </c>
      <c r="F142" s="209"/>
      <c r="G142" s="209"/>
      <c r="H142" s="210"/>
      <c r="I142" s="211" t="str">
        <f>INDEX(' کالای خواب حذف از لیست اصلی'!D:D,MATCH(P142,' کالای خواب حذف از لیست اصلی'!P:P,0))</f>
        <v>سرویس روتختی دو نفره شش تکه کاتالیا پلاس 38</v>
      </c>
      <c r="J142" s="212"/>
      <c r="K142" s="212"/>
      <c r="L142" s="212"/>
      <c r="M142" s="213"/>
      <c r="N142" s="214">
        <f>INDEX(' کالای خواب حذف از لیست اصلی'!F:F,MATCH(P142,' کالای خواب حذف از لیست اصلی'!P:P,0))</f>
        <v>268000000</v>
      </c>
      <c r="O142" s="214"/>
      <c r="P142" s="64">
        <v>32</v>
      </c>
    </row>
    <row r="143" spans="1:16" ht="56.25" customHeight="1">
      <c r="A143" s="60"/>
      <c r="B143" s="61"/>
      <c r="D143" s="96">
        <v>20</v>
      </c>
      <c r="E143" s="208" t="str">
        <f>INDEX(' کالای خواب حذف از لیست اصلی'!C:C,MATCH(P143,' کالای خواب حذف از لیست اصلی'!P:P,0))</f>
        <v>9900130039</v>
      </c>
      <c r="F143" s="209"/>
      <c r="G143" s="209"/>
      <c r="H143" s="210"/>
      <c r="I143" s="211" t="str">
        <f>INDEX(' کالای خواب حذف از لیست اصلی'!D:D,MATCH(P143,' کالای خواب حذف از لیست اصلی'!P:P,0))</f>
        <v>سرویس روتختی دو نفره شش تکه کاتالیا پلاس 39</v>
      </c>
      <c r="J143" s="212"/>
      <c r="K143" s="212"/>
      <c r="L143" s="212"/>
      <c r="M143" s="213"/>
      <c r="N143" s="214">
        <f>INDEX(' کالای خواب حذف از لیست اصلی'!F:F,MATCH(P143,' کالای خواب حذف از لیست اصلی'!P:P,0))</f>
        <v>268000000</v>
      </c>
      <c r="O143" s="214"/>
      <c r="P143" s="64">
        <v>33</v>
      </c>
    </row>
    <row r="144" spans="1:16" ht="56.25" customHeight="1">
      <c r="A144" s="60"/>
      <c r="B144" s="61"/>
      <c r="D144" s="96">
        <v>21</v>
      </c>
      <c r="E144" s="208" t="str">
        <f>INDEX(' کالای خواب حذف از لیست اصلی'!C:C,MATCH(P144,' کالای خواب حذف از لیست اصلی'!P:P,0))</f>
        <v>9900130040</v>
      </c>
      <c r="F144" s="209"/>
      <c r="G144" s="209"/>
      <c r="H144" s="210"/>
      <c r="I144" s="211" t="str">
        <f>INDEX(' کالای خواب حذف از لیست اصلی'!D:D,MATCH(P144,' کالای خواب حذف از لیست اصلی'!P:P,0))</f>
        <v>سرویس روتختی دو نفره شش تکه کاتالیا پلاس 40</v>
      </c>
      <c r="J144" s="212"/>
      <c r="K144" s="212"/>
      <c r="L144" s="212"/>
      <c r="M144" s="213"/>
      <c r="N144" s="214">
        <f>INDEX(' کالای خواب حذف از لیست اصلی'!F:F,MATCH(P144,' کالای خواب حذف از لیست اصلی'!P:P,0))</f>
        <v>268000000</v>
      </c>
      <c r="O144" s="214"/>
      <c r="P144" s="64">
        <v>34</v>
      </c>
    </row>
    <row r="145" spans="1:16" ht="56.25" customHeight="1">
      <c r="A145" s="60"/>
      <c r="B145" s="61"/>
      <c r="D145" s="96">
        <v>22</v>
      </c>
      <c r="E145" s="208" t="str">
        <f>INDEX(' کالای خواب حذف از لیست اصلی'!C:C,MATCH(P145,' کالای خواب حذف از لیست اصلی'!P:P,0))</f>
        <v>9900130041</v>
      </c>
      <c r="F145" s="209"/>
      <c r="G145" s="209"/>
      <c r="H145" s="210"/>
      <c r="I145" s="211" t="str">
        <f>INDEX(' کالای خواب حذف از لیست اصلی'!D:D,MATCH(P145,' کالای خواب حذف از لیست اصلی'!P:P,0))</f>
        <v>سرویس روتختی دو نفره شش تکه کاتالیا پلاس 41</v>
      </c>
      <c r="J145" s="212"/>
      <c r="K145" s="212"/>
      <c r="L145" s="212"/>
      <c r="M145" s="213"/>
      <c r="N145" s="214">
        <f>INDEX(' کالای خواب حذف از لیست اصلی'!F:F,MATCH(P145,' کالای خواب حذف از لیست اصلی'!P:P,0))</f>
        <v>268000000</v>
      </c>
      <c r="O145" s="214"/>
      <c r="P145" s="64">
        <v>35</v>
      </c>
    </row>
    <row r="146" spans="1:16" ht="56.25" customHeight="1">
      <c r="A146" s="60"/>
      <c r="B146" s="61"/>
      <c r="D146" s="96">
        <v>23</v>
      </c>
      <c r="E146" s="208" t="str">
        <f>INDEX(' کالای خواب حذف از لیست اصلی'!C:C,MATCH(P146,' کالای خواب حذف از لیست اصلی'!P:P,0))</f>
        <v>9900130042</v>
      </c>
      <c r="F146" s="209"/>
      <c r="G146" s="209"/>
      <c r="H146" s="210"/>
      <c r="I146" s="211" t="str">
        <f>INDEX(' کالای خواب حذف از لیست اصلی'!D:D,MATCH(P146,' کالای خواب حذف از لیست اصلی'!P:P,0))</f>
        <v>سرویس روتختی دو نفره شش تکه کاتالیا پلاس 42</v>
      </c>
      <c r="J146" s="212"/>
      <c r="K146" s="212"/>
      <c r="L146" s="212"/>
      <c r="M146" s="213"/>
      <c r="N146" s="214">
        <f>INDEX(' کالای خواب حذف از لیست اصلی'!F:F,MATCH(P146,' کالای خواب حذف از لیست اصلی'!P:P,0))</f>
        <v>268000000</v>
      </c>
      <c r="O146" s="214"/>
      <c r="P146" s="64">
        <v>36</v>
      </c>
    </row>
    <row r="147" spans="1:16" ht="56.25" customHeight="1">
      <c r="A147" s="60"/>
      <c r="B147" s="61"/>
      <c r="D147" s="96">
        <v>24</v>
      </c>
      <c r="E147" s="208" t="str">
        <f>INDEX(' کالای خواب حذف از لیست اصلی'!C:C,MATCH(P147,' کالای خواب حذف از لیست اصلی'!P:P,0))</f>
        <v>9900130043</v>
      </c>
      <c r="F147" s="209"/>
      <c r="G147" s="209"/>
      <c r="H147" s="210"/>
      <c r="I147" s="211" t="str">
        <f>INDEX(' کالای خواب حذف از لیست اصلی'!D:D,MATCH(P147,' کالای خواب حذف از لیست اصلی'!P:P,0))</f>
        <v>سرویس روتختی دو نفره شش تکه کاتالیا پلاس 43</v>
      </c>
      <c r="J147" s="212"/>
      <c r="K147" s="212"/>
      <c r="L147" s="212"/>
      <c r="M147" s="213"/>
      <c r="N147" s="214">
        <f>INDEX(' کالای خواب حذف از لیست اصلی'!F:F,MATCH(P147,' کالای خواب حذف از لیست اصلی'!P:P,0))</f>
        <v>268000000</v>
      </c>
      <c r="O147" s="214"/>
      <c r="P147" s="64">
        <v>37</v>
      </c>
    </row>
    <row r="148" spans="1:16" ht="56.25" customHeight="1">
      <c r="A148" s="60"/>
      <c r="B148" s="61"/>
      <c r="D148" s="96">
        <v>25</v>
      </c>
      <c r="E148" s="208" t="str">
        <f>INDEX(' کالای خواب حذف از لیست اصلی'!C:C,MATCH(P148,' کالای خواب حذف از لیست اصلی'!P:P,0))</f>
        <v>9900130044</v>
      </c>
      <c r="F148" s="209"/>
      <c r="G148" s="209"/>
      <c r="H148" s="210"/>
      <c r="I148" s="211" t="str">
        <f>INDEX(' کالای خواب حذف از لیست اصلی'!D:D,MATCH(P148,' کالای خواب حذف از لیست اصلی'!P:P,0))</f>
        <v>سرویس روتختی دو نفره شش تکه کاتالیا پلاس 44</v>
      </c>
      <c r="J148" s="212"/>
      <c r="K148" s="212"/>
      <c r="L148" s="212"/>
      <c r="M148" s="213"/>
      <c r="N148" s="214">
        <f>INDEX(' کالای خواب حذف از لیست اصلی'!F:F,MATCH(P148,' کالای خواب حذف از لیست اصلی'!P:P,0))</f>
        <v>268000000</v>
      </c>
      <c r="O148" s="214"/>
      <c r="P148" s="64">
        <v>38</v>
      </c>
    </row>
    <row r="149" spans="1:16" ht="56.25" customHeight="1">
      <c r="A149" s="60"/>
      <c r="B149" s="61"/>
      <c r="D149" s="96">
        <v>26</v>
      </c>
      <c r="E149" s="208" t="str">
        <f>INDEX(' کالای خواب حذف از لیست اصلی'!C:C,MATCH(P149,' کالای خواب حذف از لیست اصلی'!P:P,0))</f>
        <v>9900130045</v>
      </c>
      <c r="F149" s="209"/>
      <c r="G149" s="209"/>
      <c r="H149" s="210"/>
      <c r="I149" s="211" t="str">
        <f>INDEX(' کالای خواب حذف از لیست اصلی'!D:D,MATCH(P149,' کالای خواب حذف از لیست اصلی'!P:P,0))</f>
        <v>سرویس روتختی دو نفره شش تکه کاتالیا پلاس 45</v>
      </c>
      <c r="J149" s="212"/>
      <c r="K149" s="212"/>
      <c r="L149" s="212"/>
      <c r="M149" s="213"/>
      <c r="N149" s="214">
        <f>INDEX(' کالای خواب حذف از لیست اصلی'!F:F,MATCH(P149,' کالای خواب حذف از لیست اصلی'!P:P,0))</f>
        <v>268000000</v>
      </c>
      <c r="O149" s="214"/>
      <c r="P149" s="64">
        <v>39</v>
      </c>
    </row>
    <row r="150" spans="1:16" ht="56.25" customHeight="1">
      <c r="A150" s="60"/>
      <c r="B150" s="61"/>
      <c r="D150" s="96">
        <v>27</v>
      </c>
      <c r="E150" s="208" t="str">
        <f>INDEX(' کالای خواب حذف از لیست اصلی'!C:C,MATCH(P150,' کالای خواب حذف از لیست اصلی'!P:P,0))</f>
        <v>9900130046</v>
      </c>
      <c r="F150" s="209"/>
      <c r="G150" s="209"/>
      <c r="H150" s="210"/>
      <c r="I150" s="211" t="str">
        <f>INDEX(' کالای خواب حذف از لیست اصلی'!D:D,MATCH(P150,' کالای خواب حذف از لیست اصلی'!P:P,0))</f>
        <v>سرویس روتختی دو نفره ده تکه گلدن رودز 46</v>
      </c>
      <c r="J150" s="212"/>
      <c r="K150" s="212"/>
      <c r="L150" s="212"/>
      <c r="M150" s="213"/>
      <c r="N150" s="214">
        <f>INDEX(' کالای خواب حذف از لیست اصلی'!F:F,MATCH(P150,' کالای خواب حذف از لیست اصلی'!P:P,0))</f>
        <v>637000000</v>
      </c>
      <c r="O150" s="214"/>
      <c r="P150" s="64">
        <v>40</v>
      </c>
    </row>
    <row r="151" spans="1:16" ht="56.25" customHeight="1">
      <c r="A151" s="60"/>
      <c r="B151" s="61"/>
      <c r="D151" s="96">
        <v>28</v>
      </c>
      <c r="E151" s="208" t="str">
        <f>INDEX(' کالای خواب حذف از لیست اصلی'!C:C,MATCH(P151,' کالای خواب حذف از لیست اصلی'!P:P,0))</f>
        <v>9900130047</v>
      </c>
      <c r="F151" s="209"/>
      <c r="G151" s="209"/>
      <c r="H151" s="210"/>
      <c r="I151" s="211" t="str">
        <f>INDEX(' کالای خواب حذف از لیست اصلی'!D:D,MATCH(P151,' کالای خواب حذف از لیست اصلی'!P:P,0))</f>
        <v>سرویس روتختی دو نفره ده تکه گلدن رودز 47</v>
      </c>
      <c r="J151" s="212"/>
      <c r="K151" s="212"/>
      <c r="L151" s="212"/>
      <c r="M151" s="213"/>
      <c r="N151" s="214">
        <f>INDEX(' کالای خواب حذف از لیست اصلی'!F:F,MATCH(P151,' کالای خواب حذف از لیست اصلی'!P:P,0))</f>
        <v>637000000</v>
      </c>
      <c r="O151" s="214"/>
      <c r="P151" s="64">
        <v>41</v>
      </c>
    </row>
    <row r="152" spans="1:16" ht="56.25" customHeight="1">
      <c r="A152" s="60"/>
      <c r="B152" s="61"/>
      <c r="D152" s="96">
        <v>29</v>
      </c>
      <c r="E152" s="208" t="str">
        <f>INDEX(' کالای خواب حذف از لیست اصلی'!C:C,MATCH(P152,' کالای خواب حذف از لیست اصلی'!P:P,0))</f>
        <v>9900130048</v>
      </c>
      <c r="F152" s="209"/>
      <c r="G152" s="209"/>
      <c r="H152" s="210"/>
      <c r="I152" s="211" t="str">
        <f>INDEX(' کالای خواب حذف از لیست اصلی'!D:D,MATCH(P152,' کالای خواب حذف از لیست اصلی'!P:P,0))</f>
        <v>سرویس روتختی دو نفره ده تکه گلدن رودز 48</v>
      </c>
      <c r="J152" s="212"/>
      <c r="K152" s="212"/>
      <c r="L152" s="212"/>
      <c r="M152" s="213"/>
      <c r="N152" s="214">
        <f>INDEX(' کالای خواب حذف از لیست اصلی'!F:F,MATCH(P152,' کالای خواب حذف از لیست اصلی'!P:P,0))</f>
        <v>637000000</v>
      </c>
      <c r="O152" s="214"/>
      <c r="P152" s="64">
        <v>42</v>
      </c>
    </row>
    <row r="153" spans="1:16" ht="50.25" customHeight="1">
      <c r="A153" s="60"/>
      <c r="B153" s="61"/>
      <c r="D153" s="96">
        <v>30</v>
      </c>
      <c r="E153" s="208" t="str">
        <f>INDEX(' کالای خواب حذف از لیست اصلی'!C:C,MATCH(P153,' کالای خواب حذف از لیست اصلی'!P:P,0))</f>
        <v>9900130049</v>
      </c>
      <c r="F153" s="209"/>
      <c r="G153" s="209"/>
      <c r="H153" s="210"/>
      <c r="I153" s="211" t="str">
        <f>INDEX(' کالای خواب حذف از لیست اصلی'!D:D,MATCH(P153,' کالای خواب حذف از لیست اصلی'!P:P,0))</f>
        <v>سرویس روتختی دو نفره شش تکه پالمر</v>
      </c>
      <c r="J153" s="212"/>
      <c r="K153" s="212"/>
      <c r="L153" s="212"/>
      <c r="M153" s="213"/>
      <c r="N153" s="214">
        <f>INDEX(' کالای خواب حذف از لیست اصلی'!F:F,MATCH(P153,' کالای خواب حذف از لیست اصلی'!P:P,0))</f>
        <v>453000000</v>
      </c>
      <c r="O153" s="214"/>
      <c r="P153" s="64">
        <v>43</v>
      </c>
    </row>
    <row r="154" spans="1:16" ht="50.25" customHeight="1">
      <c r="A154" s="60"/>
      <c r="B154" s="61"/>
      <c r="D154" s="96">
        <v>31</v>
      </c>
      <c r="E154" s="208" t="str">
        <f>INDEX(' کالای خواب حذف از لیست اصلی'!C:C,MATCH(P154,' کالای خواب حذف از لیست اصلی'!P:P,0))</f>
        <v>9900130050</v>
      </c>
      <c r="F154" s="209"/>
      <c r="G154" s="209"/>
      <c r="H154" s="210"/>
      <c r="I154" s="211" t="str">
        <f>INDEX(' کالای خواب حذف از لیست اصلی'!D:D,MATCH(P154,' کالای خواب حذف از لیست اصلی'!P:P,0))</f>
        <v>سرویس روتختی دو نفره لوپین / سفارشی</v>
      </c>
      <c r="J154" s="212"/>
      <c r="K154" s="212"/>
      <c r="L154" s="212"/>
      <c r="M154" s="213"/>
      <c r="N154" s="214">
        <f>INDEX(' کالای خواب حذف از لیست اصلی'!F:F,MATCH(P154,' کالای خواب حذف از لیست اصلی'!P:P,0))</f>
        <v>453000000</v>
      </c>
      <c r="O154" s="214"/>
      <c r="P154" s="64">
        <v>44</v>
      </c>
    </row>
    <row r="155" spans="1:16" ht="24" customHeight="1">
      <c r="A155" s="60"/>
      <c r="B155" s="61"/>
      <c r="D155" s="99"/>
      <c r="E155" s="97"/>
      <c r="F155" s="97"/>
      <c r="G155" s="97"/>
      <c r="H155" s="97"/>
      <c r="I155" s="83"/>
      <c r="J155" s="83"/>
      <c r="K155" s="83"/>
      <c r="L155" s="83"/>
      <c r="M155" s="83"/>
      <c r="N155" s="85"/>
    </row>
    <row r="156" spans="1:16" ht="21" customHeight="1">
      <c r="A156" s="60"/>
      <c r="B156" s="61"/>
      <c r="D156" s="99"/>
      <c r="E156" s="97"/>
      <c r="F156" s="97"/>
      <c r="G156" s="97"/>
      <c r="H156" s="97"/>
      <c r="I156" s="83"/>
      <c r="J156" s="83"/>
      <c r="K156" s="83"/>
      <c r="L156" s="83"/>
      <c r="M156" s="83"/>
      <c r="N156" s="85"/>
      <c r="O156" s="105">
        <v>4</v>
      </c>
    </row>
    <row r="157" spans="1:16">
      <c r="A157" s="60"/>
      <c r="B157" s="61"/>
      <c r="C157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</row>
    <row r="158" spans="1:16">
      <c r="A158" s="60"/>
      <c r="B158" s="61"/>
      <c r="C158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</row>
    <row r="159" spans="1:16" ht="31.5">
      <c r="A159" s="60"/>
      <c r="B159" s="61"/>
      <c r="C159"/>
      <c r="D159" s="72"/>
      <c r="E159" s="66" t="s">
        <v>609</v>
      </c>
      <c r="F159" s="63"/>
      <c r="J159" s="65"/>
      <c r="K159" s="68"/>
      <c r="N159" s="230" t="str">
        <f>$S$1</f>
        <v>1405/02/01</v>
      </c>
      <c r="O159" s="230"/>
    </row>
    <row r="160" spans="1:16" ht="23.25" customHeight="1">
      <c r="A160" s="60"/>
      <c r="B160" s="61"/>
      <c r="D160" s="231" t="s">
        <v>0</v>
      </c>
      <c r="E160" s="232" t="s">
        <v>1</v>
      </c>
      <c r="F160" s="184"/>
      <c r="G160" s="184"/>
      <c r="H160" s="233"/>
      <c r="I160" s="234" t="s">
        <v>2</v>
      </c>
      <c r="J160" s="235"/>
      <c r="K160" s="235"/>
      <c r="L160" s="235"/>
      <c r="M160" s="236"/>
      <c r="N160" s="184" t="s">
        <v>251</v>
      </c>
      <c r="O160" s="184"/>
    </row>
    <row r="161" spans="1:16" ht="23.25" customHeight="1">
      <c r="A161" s="60"/>
      <c r="B161" s="61"/>
      <c r="D161" s="231"/>
      <c r="E161" s="232"/>
      <c r="F161" s="184"/>
      <c r="G161" s="184"/>
      <c r="H161" s="233"/>
      <c r="I161" s="234"/>
      <c r="J161" s="235"/>
      <c r="K161" s="235"/>
      <c r="L161" s="235"/>
      <c r="M161" s="236"/>
      <c r="N161" s="184"/>
      <c r="O161" s="184"/>
    </row>
    <row r="162" spans="1:16" ht="57.75" customHeight="1">
      <c r="A162" s="60"/>
      <c r="B162" s="61"/>
      <c r="D162" s="96">
        <v>1</v>
      </c>
      <c r="E162" s="208" t="str">
        <f>INDEX(' کالای خواب حذف از لیست اصلی'!C:C,MATCH(P162,' کالای خواب حذف از لیست اصلی'!P:P,0))</f>
        <v>9900140005</v>
      </c>
      <c r="F162" s="209"/>
      <c r="G162" s="209"/>
      <c r="H162" s="210"/>
      <c r="I162" s="211" t="str">
        <f>INDEX(' کالای خواب حذف از لیست اصلی'!D:D,MATCH(P162,' کالای خواب حذف از لیست اصلی'!P:P,0))</f>
        <v>سرویس ملحفه دو نفره شش تکه کردلین / مسی</v>
      </c>
      <c r="J162" s="212"/>
      <c r="K162" s="212"/>
      <c r="L162" s="212"/>
      <c r="M162" s="213"/>
      <c r="N162" s="214">
        <f>INDEX(' کالای خواب حذف از لیست اصلی'!F:F,MATCH(P162,' کالای خواب حذف از لیست اصلی'!P:P,0))</f>
        <v>326000000</v>
      </c>
      <c r="O162" s="214"/>
      <c r="P162" s="64">
        <v>45</v>
      </c>
    </row>
    <row r="163" spans="1:16" ht="57.75" customHeight="1">
      <c r="A163" s="60"/>
      <c r="B163" s="61"/>
      <c r="D163" s="96">
        <v>2</v>
      </c>
      <c r="E163" s="208" t="str">
        <f>INDEX(' کالای خواب حذف از لیست اصلی'!C:C,MATCH(P163,' کالای خواب حذف از لیست اصلی'!P:P,0))</f>
        <v>9900140007</v>
      </c>
      <c r="F163" s="209"/>
      <c r="G163" s="209"/>
      <c r="H163" s="210"/>
      <c r="I163" s="211" t="str">
        <f>INDEX(' کالای خواب حذف از لیست اصلی'!D:D,MATCH(P163,' کالای خواب حذف از لیست اصلی'!P:P,0))</f>
        <v>سرویس ملحفه دو نفره شش تکه داست میلر</v>
      </c>
      <c r="J163" s="212"/>
      <c r="K163" s="212"/>
      <c r="L163" s="212"/>
      <c r="M163" s="213"/>
      <c r="N163" s="214">
        <f>INDEX(' کالای خواب حذف از لیست اصلی'!F:F,MATCH(P163,' کالای خواب حذف از لیست اصلی'!P:P,0))</f>
        <v>326000000</v>
      </c>
      <c r="O163" s="214"/>
      <c r="P163" s="64">
        <v>46</v>
      </c>
    </row>
    <row r="164" spans="1:16" ht="57.75" customHeight="1">
      <c r="A164" s="60"/>
      <c r="B164" s="61"/>
      <c r="D164" s="96">
        <v>3</v>
      </c>
      <c r="E164" s="208" t="str">
        <f>INDEX(' کالای خواب حذف از لیست اصلی'!C:C,MATCH(P164,' کالای خواب حذف از لیست اصلی'!P:P,0))</f>
        <v>9900140011</v>
      </c>
      <c r="F164" s="209"/>
      <c r="G164" s="209"/>
      <c r="H164" s="210"/>
      <c r="I164" s="211" t="str">
        <f>INDEX(' کالای خواب حذف از لیست اصلی'!D:D,MATCH(P164,' کالای خواب حذف از لیست اصلی'!P:P,0))</f>
        <v>سرویس ملحفه دو نفره شش تکه سالیوا</v>
      </c>
      <c r="J164" s="212"/>
      <c r="K164" s="212"/>
      <c r="L164" s="212"/>
      <c r="M164" s="213"/>
      <c r="N164" s="214">
        <f>INDEX(' کالای خواب حذف از لیست اصلی'!F:F,MATCH(P164,' کالای خواب حذف از لیست اصلی'!P:P,0))</f>
        <v>326000000</v>
      </c>
      <c r="O164" s="214"/>
      <c r="P164" s="64">
        <v>47</v>
      </c>
    </row>
    <row r="165" spans="1:16" ht="57.75" customHeight="1">
      <c r="A165" s="60"/>
      <c r="B165" s="61"/>
      <c r="D165" s="96">
        <v>4</v>
      </c>
      <c r="E165" s="208" t="str">
        <f>INDEX(' کالای خواب حذف از لیست اصلی'!C:C,MATCH(P165,' کالای خواب حذف از لیست اصلی'!P:P,0))</f>
        <v>9900140020</v>
      </c>
      <c r="F165" s="209"/>
      <c r="G165" s="209"/>
      <c r="H165" s="210"/>
      <c r="I165" s="211" t="str">
        <f>INDEX(' کالای خواب حذف از لیست اصلی'!D:D,MATCH(P165,' کالای خواب حذف از لیست اصلی'!P:P,0))</f>
        <v>سرویس ملحفه یک نفره چهار تکه اسپری رز</v>
      </c>
      <c r="J165" s="212"/>
      <c r="K165" s="212"/>
      <c r="L165" s="212"/>
      <c r="M165" s="213"/>
      <c r="N165" s="214">
        <f>INDEX(' کالای خواب حذف از لیست اصلی'!F:F,MATCH(P165,' کالای خواب حذف از لیست اصلی'!P:P,0))</f>
        <v>268000000</v>
      </c>
      <c r="O165" s="214"/>
      <c r="P165" s="64">
        <v>48</v>
      </c>
    </row>
    <row r="166" spans="1:16" ht="57.75" customHeight="1">
      <c r="A166" s="60"/>
      <c r="B166" s="61"/>
      <c r="D166" s="96">
        <v>5</v>
      </c>
      <c r="E166" s="208" t="str">
        <f>INDEX(' کالای خواب حذف از لیست اصلی'!C:C,MATCH(P166,' کالای خواب حذف از لیست اصلی'!P:P,0))</f>
        <v>9900140023</v>
      </c>
      <c r="F166" s="209"/>
      <c r="G166" s="209"/>
      <c r="H166" s="210"/>
      <c r="I166" s="211" t="str">
        <f>INDEX(' کالای خواب حذف از لیست اصلی'!D:D,MATCH(P166,' کالای خواب حذف از لیست اصلی'!P:P,0))</f>
        <v>سرویس ملحفه دو نفره شش تکه کراسپدیا / گلبهی</v>
      </c>
      <c r="J166" s="212"/>
      <c r="K166" s="212"/>
      <c r="L166" s="212"/>
      <c r="M166" s="213"/>
      <c r="N166" s="214">
        <f>INDEX(' کالای خواب حذف از لیست اصلی'!F:F,MATCH(P166,' کالای خواب حذف از لیست اصلی'!P:P,0))</f>
        <v>356000000</v>
      </c>
      <c r="O166" s="214"/>
      <c r="P166" s="64">
        <v>49</v>
      </c>
    </row>
    <row r="167" spans="1:16" ht="57.75" customHeight="1">
      <c r="A167" s="60"/>
      <c r="B167" s="61"/>
      <c r="D167" s="96">
        <v>6</v>
      </c>
      <c r="E167" s="208" t="str">
        <f>INDEX(' کالای خواب حذف از لیست اصلی'!C:C,MATCH(P167,' کالای خواب حذف از لیست اصلی'!P:P,0))</f>
        <v>9900140028</v>
      </c>
      <c r="F167" s="209"/>
      <c r="G167" s="209"/>
      <c r="H167" s="210"/>
      <c r="I167" s="211" t="str">
        <f>INDEX(' کالای خواب حذف از لیست اصلی'!D:D,MATCH(P167,' کالای خواب حذف از لیست اصلی'!P:P,0))</f>
        <v>سرویس ملحفه دو نفره کینگ شش تکه آیریس</v>
      </c>
      <c r="J167" s="212"/>
      <c r="K167" s="212"/>
      <c r="L167" s="212"/>
      <c r="M167" s="213"/>
      <c r="N167" s="214">
        <f>INDEX(' کالای خواب حذف از لیست اصلی'!F:F,MATCH(P167,' کالای خواب حذف از لیست اصلی'!P:P,0))</f>
        <v>420000000</v>
      </c>
      <c r="O167" s="214"/>
      <c r="P167" s="64">
        <v>50</v>
      </c>
    </row>
    <row r="168" spans="1:16" ht="57.75" customHeight="1">
      <c r="A168" s="60"/>
      <c r="B168" s="61"/>
      <c r="D168" s="96">
        <v>7</v>
      </c>
      <c r="E168" s="208" t="str">
        <f>INDEX(' کالای خواب حذف از لیست اصلی'!C:C,MATCH(P168,' کالای خواب حذف از لیست اصلی'!P:P,0))</f>
        <v>9900140029</v>
      </c>
      <c r="F168" s="209"/>
      <c r="G168" s="209"/>
      <c r="H168" s="210"/>
      <c r="I168" s="211" t="str">
        <f>INDEX(' کالای خواب حذف از لیست اصلی'!D:D,MATCH(P168,' کالای خواب حذف از لیست اصلی'!P:P,0))</f>
        <v>سرویس ملحفه دو نفره کینگ شش تکه لیاتریس</v>
      </c>
      <c r="J168" s="212"/>
      <c r="K168" s="212"/>
      <c r="L168" s="212"/>
      <c r="M168" s="213"/>
      <c r="N168" s="214">
        <f>INDEX(' کالای خواب حذف از لیست اصلی'!F:F,MATCH(P168,' کالای خواب حذف از لیست اصلی'!P:P,0))</f>
        <v>420000000</v>
      </c>
      <c r="O168" s="214"/>
      <c r="P168" s="64">
        <v>51</v>
      </c>
    </row>
    <row r="169" spans="1:16" ht="57.75" customHeight="1">
      <c r="A169" s="60"/>
      <c r="B169" s="61"/>
      <c r="D169" s="96">
        <v>8</v>
      </c>
      <c r="E169" s="208" t="str">
        <f>INDEX(' کالای خواب حذف از لیست اصلی'!C:C,MATCH(P169,' کالای خواب حذف از لیست اصلی'!P:P,0))</f>
        <v>9900140031</v>
      </c>
      <c r="F169" s="209"/>
      <c r="G169" s="209"/>
      <c r="H169" s="210"/>
      <c r="I169" s="211" t="str">
        <f>INDEX(' کالای خواب حذف از لیست اصلی'!D:D,MATCH(P169,' کالای خواب حذف از لیست اصلی'!P:P,0))</f>
        <v>سرویس ملحفه دو نفره چهار تکه آلیسوم</v>
      </c>
      <c r="J169" s="212"/>
      <c r="K169" s="212"/>
      <c r="L169" s="212"/>
      <c r="M169" s="213"/>
      <c r="N169" s="214">
        <f>INDEX(' کالای خواب حذف از لیست اصلی'!F:F,MATCH(P169,' کالای خواب حذف از لیست اصلی'!P:P,0))</f>
        <v>185000000</v>
      </c>
      <c r="O169" s="214"/>
      <c r="P169" s="64">
        <v>52</v>
      </c>
    </row>
    <row r="170" spans="1:16" ht="57.75" customHeight="1">
      <c r="A170" s="60"/>
      <c r="B170" s="61"/>
      <c r="D170" s="96">
        <v>9</v>
      </c>
      <c r="E170" s="208" t="str">
        <f>INDEX(' کالای خواب حذف از لیست اصلی'!C:C,MATCH(P170,' کالای خواب حذف از لیست اصلی'!P:P,0))</f>
        <v>9900140069</v>
      </c>
      <c r="F170" s="209"/>
      <c r="G170" s="209"/>
      <c r="H170" s="210"/>
      <c r="I170" s="211" t="str">
        <f>INDEX(' کالای خواب حذف از لیست اصلی'!D:D,MATCH(P170,' کالای خواب حذف از لیست اصلی'!P:P,0))</f>
        <v>سرویس ملحفه دو نفره شش تکه تریلیوم</v>
      </c>
      <c r="J170" s="212"/>
      <c r="K170" s="212"/>
      <c r="L170" s="212"/>
      <c r="M170" s="213"/>
      <c r="N170" s="214">
        <f>INDEX(' کالای خواب حذف از لیست اصلی'!F:F,MATCH(P170,' کالای خواب حذف از لیست اصلی'!P:P,0))</f>
        <v>334000000</v>
      </c>
      <c r="O170" s="214"/>
      <c r="P170" s="64">
        <v>53</v>
      </c>
    </row>
    <row r="171" spans="1:16" ht="57.75" customHeight="1">
      <c r="A171" s="60"/>
      <c r="B171" s="61"/>
      <c r="D171" s="96">
        <v>10</v>
      </c>
      <c r="E171" s="208" t="str">
        <f>INDEX(' کالای خواب حذف از لیست اصلی'!C:C,MATCH(P171,' کالای خواب حذف از لیست اصلی'!P:P,0))</f>
        <v>9900140070</v>
      </c>
      <c r="F171" s="209"/>
      <c r="G171" s="209"/>
      <c r="H171" s="210"/>
      <c r="I171" s="211" t="str">
        <f>INDEX(' کالای خواب حذف از لیست اصلی'!D:D,MATCH(P171,' کالای خواب حذف از لیست اصلی'!P:P,0))</f>
        <v>سرویس ملحفه دو نفره کینگ شش تکه تریلیوم</v>
      </c>
      <c r="J171" s="212"/>
      <c r="K171" s="212"/>
      <c r="L171" s="212"/>
      <c r="M171" s="213"/>
      <c r="N171" s="214">
        <f>INDEX(' کالای خواب حذف از لیست اصلی'!F:F,MATCH(P171,' کالای خواب حذف از لیست اصلی'!P:P,0))</f>
        <v>358000000</v>
      </c>
      <c r="O171" s="214"/>
      <c r="P171" s="64">
        <v>54</v>
      </c>
    </row>
    <row r="172" spans="1:16" ht="57.75" customHeight="1">
      <c r="A172" s="60"/>
      <c r="B172" s="61"/>
      <c r="D172" s="96">
        <v>11</v>
      </c>
      <c r="E172" s="208" t="str">
        <f>INDEX(' کالای خواب حذف از لیست اصلی'!C:C,MATCH(P172,' کالای خواب حذف از لیست اصلی'!P:P,0))</f>
        <v>9900140071</v>
      </c>
      <c r="F172" s="209"/>
      <c r="G172" s="209"/>
      <c r="H172" s="210"/>
      <c r="I172" s="211" t="str">
        <f>INDEX(' کالای خواب حذف از لیست اصلی'!D:D,MATCH(P172,' کالای خواب حذف از لیست اصلی'!P:P,0))</f>
        <v>سرویس ملحفه دو نفره شش تکه لیناریا</v>
      </c>
      <c r="J172" s="212"/>
      <c r="K172" s="212"/>
      <c r="L172" s="212"/>
      <c r="M172" s="213"/>
      <c r="N172" s="214">
        <f>INDEX(' کالای خواب حذف از لیست اصلی'!F:F,MATCH(P172,' کالای خواب حذف از لیست اصلی'!P:P,0))</f>
        <v>316000000</v>
      </c>
      <c r="O172" s="214"/>
      <c r="P172" s="64">
        <v>55</v>
      </c>
    </row>
    <row r="173" spans="1:16" ht="57.75" customHeight="1">
      <c r="A173" s="60"/>
      <c r="B173" s="61"/>
      <c r="D173" s="96">
        <v>12</v>
      </c>
      <c r="E173" s="208" t="str">
        <f>INDEX(' کالای خواب حذف از لیست اصلی'!C:C,MATCH(P173,' کالای خواب حذف از لیست اصلی'!P:P,0))</f>
        <v>9900140072</v>
      </c>
      <c r="F173" s="209"/>
      <c r="G173" s="209"/>
      <c r="H173" s="210"/>
      <c r="I173" s="211" t="str">
        <f>INDEX(' کالای خواب حذف از لیست اصلی'!D:D,MATCH(P173,' کالای خواب حذف از لیست اصلی'!P:P,0))</f>
        <v>سرویس ملحفه دو نفره کینگ شش تکه لیناریا</v>
      </c>
      <c r="J173" s="212"/>
      <c r="K173" s="212"/>
      <c r="L173" s="212"/>
      <c r="M173" s="213"/>
      <c r="N173" s="214">
        <f>INDEX(' کالای خواب حذف از لیست اصلی'!F:F,MATCH(P173,' کالای خواب حذف از لیست اصلی'!P:P,0))</f>
        <v>341000000</v>
      </c>
      <c r="O173" s="214"/>
      <c r="P173" s="64">
        <v>56</v>
      </c>
    </row>
    <row r="174" spans="1:16" ht="57.75" customHeight="1">
      <c r="A174" s="60"/>
      <c r="B174" s="61"/>
      <c r="D174" s="96">
        <v>13</v>
      </c>
      <c r="E174" s="208" t="str">
        <f>INDEX(' کالای خواب حذف از لیست اصلی'!C:C,MATCH(P174,' کالای خواب حذف از لیست اصلی'!P:P,0))</f>
        <v>9900140075</v>
      </c>
      <c r="F174" s="209"/>
      <c r="G174" s="209"/>
      <c r="H174" s="210"/>
      <c r="I174" s="211" t="str">
        <f>INDEX(' کالای خواب حذف از لیست اصلی'!D:D,MATCH(P174,' کالای خواب حذف از لیست اصلی'!P:P,0))</f>
        <v>سرویس ملحفه دو نفره شش تکه بالوتا</v>
      </c>
      <c r="J174" s="212"/>
      <c r="K174" s="212"/>
      <c r="L174" s="212"/>
      <c r="M174" s="213"/>
      <c r="N174" s="214">
        <f>INDEX(' کالای خواب حذف از لیست اصلی'!F:F,MATCH(P174,' کالای خواب حذف از لیست اصلی'!P:P,0))</f>
        <v>316000000</v>
      </c>
      <c r="O174" s="214"/>
      <c r="P174" s="64">
        <v>57</v>
      </c>
    </row>
    <row r="175" spans="1:16" ht="57.75" customHeight="1">
      <c r="A175" s="60"/>
      <c r="B175" s="61"/>
      <c r="D175" s="96">
        <v>14</v>
      </c>
      <c r="E175" s="208" t="str">
        <f>INDEX(' کالای خواب حذف از لیست اصلی'!C:C,MATCH(P175,' کالای خواب حذف از لیست اصلی'!P:P,0))</f>
        <v>9900140076</v>
      </c>
      <c r="F175" s="209"/>
      <c r="G175" s="209"/>
      <c r="H175" s="210"/>
      <c r="I175" s="211" t="str">
        <f>INDEX(' کالای خواب حذف از لیست اصلی'!D:D,MATCH(P175,' کالای خواب حذف از لیست اصلی'!P:P,0))</f>
        <v>سرویس ملحفه دو نفره کینگ شش تکه بالوتا</v>
      </c>
      <c r="J175" s="212"/>
      <c r="K175" s="212"/>
      <c r="L175" s="212"/>
      <c r="M175" s="213"/>
      <c r="N175" s="214">
        <f>INDEX(' کالای خواب حذف از لیست اصلی'!F:F,MATCH(P175,' کالای خواب حذف از لیست اصلی'!P:P,0))</f>
        <v>341000000</v>
      </c>
      <c r="O175" s="214"/>
      <c r="P175" s="64">
        <v>58</v>
      </c>
    </row>
    <row r="176" spans="1:16" ht="17.25" customHeight="1">
      <c r="A176" s="60"/>
      <c r="B176" s="61"/>
      <c r="D176" s="97"/>
      <c r="E176" s="101"/>
      <c r="F176" s="101"/>
      <c r="G176" s="101"/>
      <c r="H176" s="101"/>
      <c r="I176" s="102"/>
      <c r="J176" s="102"/>
      <c r="K176" s="102"/>
      <c r="L176" s="102"/>
      <c r="M176" s="102"/>
      <c r="N176" s="100"/>
      <c r="O176" s="100"/>
    </row>
    <row r="177" spans="1:16" ht="17.25" customHeight="1">
      <c r="A177" s="60"/>
      <c r="B177" s="61"/>
      <c r="D177" s="97"/>
      <c r="E177" s="101"/>
      <c r="F177" s="101"/>
      <c r="G177" s="101"/>
      <c r="H177" s="101"/>
      <c r="I177" s="102"/>
      <c r="J177" s="102"/>
      <c r="K177" s="102"/>
      <c r="L177" s="102"/>
      <c r="M177" s="102"/>
      <c r="N177" s="100"/>
      <c r="O177" s="100"/>
    </row>
    <row r="178" spans="1:16" ht="17.25" customHeight="1">
      <c r="A178" s="60"/>
      <c r="B178" s="61"/>
      <c r="D178" s="97"/>
      <c r="E178" s="101"/>
      <c r="F178" s="101"/>
      <c r="G178" s="101"/>
      <c r="H178" s="101"/>
      <c r="I178" s="102"/>
      <c r="J178" s="102"/>
      <c r="K178" s="102"/>
      <c r="L178" s="102"/>
      <c r="M178" s="102"/>
      <c r="N178" s="100"/>
      <c r="O178" s="100"/>
    </row>
    <row r="179" spans="1:16" ht="24.75" customHeight="1">
      <c r="A179" s="60"/>
      <c r="B179" s="61"/>
      <c r="D179"/>
      <c r="E179"/>
      <c r="F179"/>
      <c r="G179"/>
      <c r="H179"/>
      <c r="I179"/>
      <c r="J179"/>
      <c r="K179"/>
      <c r="L179"/>
      <c r="M179"/>
      <c r="N179"/>
      <c r="O179" s="105">
        <v>5</v>
      </c>
    </row>
    <row r="180" spans="1:16">
      <c r="A180" s="60"/>
      <c r="B180" s="61"/>
      <c r="C180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</row>
    <row r="181" spans="1:16">
      <c r="A181" s="60"/>
      <c r="B181" s="61"/>
      <c r="C181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</row>
    <row r="182" spans="1:16" ht="31.5">
      <c r="A182" s="60"/>
      <c r="B182" s="61"/>
      <c r="C182"/>
      <c r="D182" s="72"/>
      <c r="E182" s="66" t="s">
        <v>638</v>
      </c>
      <c r="F182" s="63"/>
      <c r="J182" s="65"/>
      <c r="K182" s="68"/>
      <c r="N182" s="230" t="str">
        <f>$S$1</f>
        <v>1405/02/01</v>
      </c>
      <c r="O182" s="230"/>
    </row>
    <row r="183" spans="1:16" ht="41.25" customHeight="1">
      <c r="A183" s="60"/>
      <c r="B183" s="61"/>
      <c r="D183" s="231" t="s">
        <v>0</v>
      </c>
      <c r="E183" s="232" t="s">
        <v>1</v>
      </c>
      <c r="F183" s="184"/>
      <c r="G183" s="184"/>
      <c r="H183" s="233"/>
      <c r="I183" s="234" t="s">
        <v>2</v>
      </c>
      <c r="J183" s="235"/>
      <c r="K183" s="235"/>
      <c r="L183" s="235"/>
      <c r="M183" s="236"/>
      <c r="N183" s="184" t="s">
        <v>251</v>
      </c>
      <c r="O183" s="184"/>
    </row>
    <row r="184" spans="1:16" ht="41.25" customHeight="1">
      <c r="A184" s="60"/>
      <c r="B184" s="61"/>
      <c r="D184" s="231"/>
      <c r="E184" s="232"/>
      <c r="F184" s="184"/>
      <c r="G184" s="184"/>
      <c r="H184" s="233"/>
      <c r="I184" s="234"/>
      <c r="J184" s="235"/>
      <c r="K184" s="235"/>
      <c r="L184" s="235"/>
      <c r="M184" s="236"/>
      <c r="N184" s="184"/>
      <c r="O184" s="184"/>
    </row>
    <row r="185" spans="1:16" ht="111.75" customHeight="1">
      <c r="A185" s="60"/>
      <c r="B185" s="61"/>
      <c r="D185" s="106">
        <v>1</v>
      </c>
      <c r="E185" s="237" t="str">
        <f>INDEX(' کالای خواب حذف از لیست اصلی'!C:C,MATCH(P185,' کالای خواب حذف از لیست اصلی'!P:P,0))</f>
        <v>9900150006</v>
      </c>
      <c r="F185" s="238"/>
      <c r="G185" s="238"/>
      <c r="H185" s="239"/>
      <c r="I185" s="240" t="str">
        <f>INDEX(' کالای خواب حذف از لیست اصلی'!D:D,MATCH(P185,' کالای خواب حذف از لیست اصلی'!P:P,0))</f>
        <v>لحاف دو نفره 215*235 آزالیا / آلوئه ورا</v>
      </c>
      <c r="J185" s="241"/>
      <c r="K185" s="241"/>
      <c r="L185" s="241"/>
      <c r="M185" s="242"/>
      <c r="N185" s="243">
        <f>INDEX(' کالای خواب حذف از لیست اصلی'!F:F,MATCH(P185,' کالای خواب حذف از لیست اصلی'!P:P,0))</f>
        <v>216000000</v>
      </c>
      <c r="O185" s="243"/>
      <c r="P185" s="64">
        <v>59</v>
      </c>
    </row>
    <row r="186" spans="1:16" ht="111.75" customHeight="1">
      <c r="A186" s="60"/>
      <c r="B186" s="61"/>
      <c r="D186" s="106">
        <v>2</v>
      </c>
      <c r="E186" s="237" t="str">
        <f>INDEX(' کالای خواب حذف از لیست اصلی'!C:C,MATCH(P186,' کالای خواب حذف از لیست اصلی'!P:P,0))</f>
        <v>9900150013</v>
      </c>
      <c r="F186" s="238"/>
      <c r="G186" s="238"/>
      <c r="H186" s="239"/>
      <c r="I186" s="240" t="str">
        <f>INDEX(' کالای خواب حذف از لیست اصلی'!D:D,MATCH(P186,' کالای خواب حذف از لیست اصلی'!P:P,0))</f>
        <v>لحاف یک نفره 215*155 آزالیا / هایپرکلاس</v>
      </c>
      <c r="J186" s="241"/>
      <c r="K186" s="241"/>
      <c r="L186" s="241"/>
      <c r="M186" s="242"/>
      <c r="N186" s="243">
        <f>INDEX(' کالای خواب حذف از لیست اصلی'!F:F,MATCH(P186,' کالای خواب حذف از لیست اصلی'!P:P,0))</f>
        <v>146000000</v>
      </c>
      <c r="O186" s="243"/>
      <c r="P186" s="64">
        <v>60</v>
      </c>
    </row>
    <row r="187" spans="1:16" ht="111.75" customHeight="1">
      <c r="A187" s="60"/>
      <c r="B187" s="61"/>
      <c r="D187" s="106">
        <v>3</v>
      </c>
      <c r="E187" s="237" t="str">
        <f>INDEX(' کالای خواب حذف از لیست اصلی'!C:C,MATCH(P187,' کالای خواب حذف از لیست اصلی'!P:P,0))</f>
        <v>9900150016</v>
      </c>
      <c r="F187" s="238"/>
      <c r="G187" s="238"/>
      <c r="H187" s="239"/>
      <c r="I187" s="240" t="str">
        <f>INDEX(' کالای خواب حذف از لیست اصلی'!D:D,MATCH(P187,' کالای خواب حذف از لیست اصلی'!P:P,0))</f>
        <v>لحاف دو نفره 215*195 آزالیا /  سافت</v>
      </c>
      <c r="J187" s="241"/>
      <c r="K187" s="241"/>
      <c r="L187" s="241"/>
      <c r="M187" s="242"/>
      <c r="N187" s="243">
        <f>INDEX(' کالای خواب حذف از لیست اصلی'!F:F,MATCH(P187,' کالای خواب حذف از لیست اصلی'!P:P,0))</f>
        <v>159000000</v>
      </c>
      <c r="O187" s="243"/>
      <c r="P187" s="64">
        <v>61</v>
      </c>
    </row>
    <row r="188" spans="1:16" ht="111.75" customHeight="1">
      <c r="A188" s="60"/>
      <c r="B188" s="61"/>
      <c r="D188" s="106">
        <v>4</v>
      </c>
      <c r="E188" s="237" t="str">
        <f>INDEX(' کالای خواب حذف از لیست اصلی'!C:C,MATCH(P188,' کالای خواب حذف از لیست اصلی'!P:P,0))</f>
        <v>9900150017</v>
      </c>
      <c r="F188" s="238"/>
      <c r="G188" s="238"/>
      <c r="H188" s="239"/>
      <c r="I188" s="240" t="str">
        <f>INDEX(' کالای خواب حذف از لیست اصلی'!D:D,MATCH(P188,' کالای خواب حذف از لیست اصلی'!P:P,0))</f>
        <v>لحاف دو نفره 215*195 آزالیا /  میکرونیدل (90%پر)</v>
      </c>
      <c r="J188" s="241"/>
      <c r="K188" s="241"/>
      <c r="L188" s="241"/>
      <c r="M188" s="242"/>
      <c r="N188" s="243">
        <f>INDEX(' کالای خواب حذف از لیست اصلی'!F:F,MATCH(P188,' کالای خواب حذف از لیست اصلی'!P:P,0))</f>
        <v>375000000</v>
      </c>
      <c r="O188" s="243"/>
      <c r="P188" s="64">
        <v>62</v>
      </c>
    </row>
    <row r="189" spans="1:16" ht="111.75" customHeight="1">
      <c r="A189" s="60"/>
      <c r="B189" s="61"/>
      <c r="D189" s="106">
        <v>5</v>
      </c>
      <c r="E189" s="237" t="str">
        <f>INDEX(' کالای خواب حذف از لیست اصلی'!C:C,MATCH(P189,' کالای خواب حذف از لیست اصلی'!P:P,0))</f>
        <v>9900150025</v>
      </c>
      <c r="F189" s="238"/>
      <c r="G189" s="238"/>
      <c r="H189" s="239"/>
      <c r="I189" s="240" t="str">
        <f>INDEX(' کالای خواب حذف از لیست اصلی'!D:D,MATCH(P189,' کالای خواب حذف از لیست اصلی'!P:P,0))</f>
        <v>لحاف یک نفره 215*155 تنسی</v>
      </c>
      <c r="J189" s="241"/>
      <c r="K189" s="241"/>
      <c r="L189" s="241"/>
      <c r="M189" s="242"/>
      <c r="N189" s="243">
        <f>INDEX(' کالای خواب حذف از لیست اصلی'!F:F,MATCH(P189,' کالای خواب حذف از لیست اصلی'!P:P,0))</f>
        <v>303000000</v>
      </c>
      <c r="O189" s="243"/>
      <c r="P189" s="64">
        <v>63</v>
      </c>
    </row>
    <row r="190" spans="1:16" ht="111.75" customHeight="1">
      <c r="A190" s="60"/>
      <c r="B190" s="61"/>
      <c r="D190" s="106">
        <v>6</v>
      </c>
      <c r="E190" s="237" t="str">
        <f>INDEX(' کالای خواب حذف از لیست اصلی'!C:C,MATCH(P190,' کالای خواب حذف از لیست اصلی'!P:P,0))</f>
        <v>9900150026</v>
      </c>
      <c r="F190" s="238"/>
      <c r="G190" s="238"/>
      <c r="H190" s="239"/>
      <c r="I190" s="240" t="str">
        <f>INDEX(' کالای خواب حذف از لیست اصلی'!D:D,MATCH(P190,' کالای خواب حذف از لیست اصلی'!P:P,0))</f>
        <v>لحاف دو نفره 215*195 تنسی</v>
      </c>
      <c r="J190" s="241"/>
      <c r="K190" s="241"/>
      <c r="L190" s="241"/>
      <c r="M190" s="242"/>
      <c r="N190" s="243">
        <f>INDEX(' کالای خواب حذف از لیست اصلی'!F:F,MATCH(P190,' کالای خواب حذف از لیست اصلی'!P:P,0))</f>
        <v>348000000</v>
      </c>
      <c r="O190" s="243"/>
      <c r="P190" s="64">
        <v>64</v>
      </c>
    </row>
    <row r="191" spans="1:16" ht="111.75" customHeight="1">
      <c r="A191" s="60"/>
      <c r="B191" s="61"/>
      <c r="D191" s="106">
        <v>7</v>
      </c>
      <c r="E191" s="237" t="str">
        <f>INDEX(' کالای خواب حذف از لیست اصلی'!C:C,MATCH(P191,' کالای خواب حذف از لیست اصلی'!P:P,0))</f>
        <v>9900150027</v>
      </c>
      <c r="F191" s="238"/>
      <c r="G191" s="238"/>
      <c r="H191" s="239"/>
      <c r="I191" s="240" t="str">
        <f>INDEX(' کالای خواب حذف از لیست اصلی'!D:D,MATCH(P191,' کالای خواب حذف از لیست اصلی'!P:P,0))</f>
        <v>لحاف دو نفره 215*235 تنسی</v>
      </c>
      <c r="J191" s="241"/>
      <c r="K191" s="241"/>
      <c r="L191" s="241"/>
      <c r="M191" s="242"/>
      <c r="N191" s="243">
        <f>INDEX(' کالای خواب حذف از لیست اصلی'!F:F,MATCH(P191,' کالای خواب حذف از لیست اصلی'!P:P,0))</f>
        <v>359000000</v>
      </c>
      <c r="O191" s="243"/>
      <c r="P191" s="64">
        <v>65</v>
      </c>
    </row>
    <row r="192" spans="1:16" ht="17.25" customHeight="1">
      <c r="A192" s="60"/>
      <c r="B192" s="61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6" ht="17.25" customHeight="1">
      <c r="A193" s="60"/>
      <c r="B193" s="61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6" ht="17.25" customHeight="1">
      <c r="A194" s="60"/>
      <c r="B194" s="61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6" ht="17.25" customHeight="1">
      <c r="A195" s="60"/>
      <c r="B195" s="61"/>
      <c r="D195"/>
      <c r="E195"/>
      <c r="F195"/>
      <c r="G195"/>
      <c r="H195"/>
      <c r="I195"/>
      <c r="J195"/>
      <c r="K195"/>
      <c r="L195"/>
      <c r="M195"/>
      <c r="N195"/>
      <c r="O195" s="105">
        <v>6</v>
      </c>
    </row>
    <row r="196" spans="1:16">
      <c r="A196" s="60"/>
      <c r="B196" s="61"/>
      <c r="C196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</row>
    <row r="197" spans="1:16">
      <c r="A197" s="60"/>
      <c r="B197" s="61"/>
      <c r="C197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</row>
    <row r="198" spans="1:16" ht="31.5">
      <c r="A198" s="60"/>
      <c r="B198" s="61"/>
      <c r="C198"/>
      <c r="D198" s="72"/>
      <c r="E198" s="66" t="s">
        <v>695</v>
      </c>
      <c r="F198" s="63"/>
      <c r="J198" s="65"/>
      <c r="K198" s="68"/>
      <c r="N198" s="230" t="str">
        <f>$S$1</f>
        <v>1405/02/01</v>
      </c>
      <c r="O198" s="230"/>
    </row>
    <row r="199" spans="1:16" ht="22.5" customHeight="1">
      <c r="A199" s="60"/>
      <c r="B199" s="61"/>
      <c r="D199" s="231" t="s">
        <v>0</v>
      </c>
      <c r="E199" s="232" t="s">
        <v>1</v>
      </c>
      <c r="F199" s="184"/>
      <c r="G199" s="184"/>
      <c r="H199" s="233"/>
      <c r="I199" s="234" t="s">
        <v>2</v>
      </c>
      <c r="J199" s="235"/>
      <c r="K199" s="235"/>
      <c r="L199" s="235"/>
      <c r="M199" s="236"/>
      <c r="N199" s="184" t="s">
        <v>251</v>
      </c>
      <c r="O199" s="184"/>
    </row>
    <row r="200" spans="1:16" ht="22.5" customHeight="1">
      <c r="A200" s="60"/>
      <c r="B200" s="61"/>
      <c r="D200" s="231"/>
      <c r="E200" s="232"/>
      <c r="F200" s="184"/>
      <c r="G200" s="184"/>
      <c r="H200" s="233"/>
      <c r="I200" s="234"/>
      <c r="J200" s="235"/>
      <c r="K200" s="235"/>
      <c r="L200" s="235"/>
      <c r="M200" s="236"/>
      <c r="N200" s="184"/>
      <c r="O200" s="184"/>
    </row>
    <row r="201" spans="1:16" ht="42.75" customHeight="1">
      <c r="A201" s="60"/>
      <c r="B201" s="61"/>
      <c r="D201" s="96">
        <v>1</v>
      </c>
      <c r="E201" s="208" t="str">
        <f>INDEX(' کالای خواب حذف از لیست اصلی'!C:C,MATCH(P201,' کالای خواب حذف از لیست اصلی'!P:P,0))</f>
        <v>9900160010</v>
      </c>
      <c r="F201" s="209"/>
      <c r="G201" s="209"/>
      <c r="H201" s="210"/>
      <c r="I201" s="211" t="str">
        <f>INDEX(' کالای خواب حذف از لیست اصلی'!D:D,MATCH(P201,' کالای خواب حذف از لیست اصلی'!P:P,0))</f>
        <v>پتو دو نفره رینبو سبز روشن</v>
      </c>
      <c r="J201" s="212"/>
      <c r="K201" s="212"/>
      <c r="L201" s="212"/>
      <c r="M201" s="213"/>
      <c r="N201" s="214">
        <f>INDEX(' کالای خواب حذف از لیست اصلی'!F:F,MATCH(P201,' کالای خواب حذف از لیست اصلی'!P:P,0))</f>
        <v>110000000</v>
      </c>
      <c r="O201" s="214"/>
      <c r="P201" s="64">
        <v>66</v>
      </c>
    </row>
    <row r="202" spans="1:16" ht="42.75" customHeight="1">
      <c r="A202" s="60"/>
      <c r="B202" s="61"/>
      <c r="D202" s="96">
        <v>2</v>
      </c>
      <c r="E202" s="208" t="str">
        <f>INDEX(' کالای خواب حذف از لیست اصلی'!C:C,MATCH(P202,' کالای خواب حذف از لیست اصلی'!P:P,0))</f>
        <v>9900160011</v>
      </c>
      <c r="F202" s="209"/>
      <c r="G202" s="209"/>
      <c r="H202" s="210"/>
      <c r="I202" s="211" t="str">
        <f>INDEX(' کالای خواب حذف از لیست اصلی'!D:D,MATCH(P202,' کالای خواب حذف از لیست اصلی'!P:P,0))</f>
        <v>پتو دو نفره رینبو آبی</v>
      </c>
      <c r="J202" s="212"/>
      <c r="K202" s="212"/>
      <c r="L202" s="212"/>
      <c r="M202" s="213"/>
      <c r="N202" s="214">
        <f>INDEX(' کالای خواب حذف از لیست اصلی'!F:F,MATCH(P202,' کالای خواب حذف از لیست اصلی'!P:P,0))</f>
        <v>110000000</v>
      </c>
      <c r="O202" s="214"/>
      <c r="P202" s="64">
        <v>67</v>
      </c>
    </row>
    <row r="203" spans="1:16" ht="42.75" customHeight="1">
      <c r="A203" s="60"/>
      <c r="B203" s="61"/>
      <c r="D203" s="96">
        <v>3</v>
      </c>
      <c r="E203" s="208" t="str">
        <f>INDEX(' کالای خواب حذف از لیست اصلی'!C:C,MATCH(P203,' کالای خواب حذف از لیست اصلی'!P:P,0))</f>
        <v>9900160012</v>
      </c>
      <c r="F203" s="209"/>
      <c r="G203" s="209"/>
      <c r="H203" s="210"/>
      <c r="I203" s="211" t="str">
        <f>INDEX(' کالای خواب حذف از لیست اصلی'!D:D,MATCH(P203,' کالای خواب حذف از لیست اصلی'!P:P,0))</f>
        <v>پتو دو نفره رینبو بژ</v>
      </c>
      <c r="J203" s="212"/>
      <c r="K203" s="212"/>
      <c r="L203" s="212"/>
      <c r="M203" s="213"/>
      <c r="N203" s="214">
        <f>INDEX(' کالای خواب حذف از لیست اصلی'!F:F,MATCH(P203,' کالای خواب حذف از لیست اصلی'!P:P,0))</f>
        <v>110000000</v>
      </c>
      <c r="O203" s="214"/>
      <c r="P203" s="64">
        <v>68</v>
      </c>
    </row>
    <row r="204" spans="1:16" ht="42.75" customHeight="1">
      <c r="A204" s="60"/>
      <c r="B204" s="61"/>
      <c r="D204" s="96">
        <v>4</v>
      </c>
      <c r="E204" s="208" t="str">
        <f>INDEX(' کالای خواب حذف از لیست اصلی'!C:C,MATCH(P204,' کالای خواب حذف از لیست اصلی'!P:P,0))</f>
        <v>9900160013</v>
      </c>
      <c r="F204" s="209"/>
      <c r="G204" s="209"/>
      <c r="H204" s="210"/>
      <c r="I204" s="211" t="str">
        <f>INDEX(' کالای خواب حذف از لیست اصلی'!D:D,MATCH(P204,' کالای خواب حذف از لیست اصلی'!P:P,0))</f>
        <v>پتو دو نفره رینبو طوسی</v>
      </c>
      <c r="J204" s="212"/>
      <c r="K204" s="212"/>
      <c r="L204" s="212"/>
      <c r="M204" s="213"/>
      <c r="N204" s="214">
        <f>INDEX(' کالای خواب حذف از لیست اصلی'!F:F,MATCH(P204,' کالای خواب حذف از لیست اصلی'!P:P,0))</f>
        <v>110000000</v>
      </c>
      <c r="O204" s="214"/>
      <c r="P204" s="64">
        <v>69</v>
      </c>
    </row>
    <row r="205" spans="1:16" ht="42.75" customHeight="1">
      <c r="A205" s="60"/>
      <c r="B205" s="61"/>
      <c r="D205" s="96">
        <v>5</v>
      </c>
      <c r="E205" s="208" t="str">
        <f>INDEX(' کالای خواب حذف از لیست اصلی'!C:C,MATCH(P205,' کالای خواب حذف از لیست اصلی'!P:P,0))</f>
        <v>9900160014</v>
      </c>
      <c r="F205" s="209"/>
      <c r="G205" s="209"/>
      <c r="H205" s="210"/>
      <c r="I205" s="211" t="str">
        <f>INDEX(' کالای خواب حذف از لیست اصلی'!D:D,MATCH(P205,' کالای خواب حذف از لیست اصلی'!P:P,0))</f>
        <v>پتو دو نفره رینبو کرم</v>
      </c>
      <c r="J205" s="212"/>
      <c r="K205" s="212"/>
      <c r="L205" s="212"/>
      <c r="M205" s="213"/>
      <c r="N205" s="214">
        <f>INDEX(' کالای خواب حذف از لیست اصلی'!F:F,MATCH(P205,' کالای خواب حذف از لیست اصلی'!P:P,0))</f>
        <v>110000000</v>
      </c>
      <c r="O205" s="214"/>
      <c r="P205" s="64">
        <v>70</v>
      </c>
    </row>
    <row r="206" spans="1:16" ht="42.75" customHeight="1">
      <c r="A206" s="60"/>
      <c r="B206" s="61"/>
      <c r="D206" s="96">
        <v>6</v>
      </c>
      <c r="E206" s="208" t="str">
        <f>INDEX(' کالای خواب حذف از لیست اصلی'!C:C,MATCH(P206,' کالای خواب حذف از لیست اصلی'!P:P,0))</f>
        <v>9900160015</v>
      </c>
      <c r="F206" s="209"/>
      <c r="G206" s="209"/>
      <c r="H206" s="210"/>
      <c r="I206" s="211" t="str">
        <f>INDEX(' کالای خواب حذف از لیست اصلی'!D:D,MATCH(P206,' کالای خواب حذف از لیست اصلی'!P:P,0))</f>
        <v>پتو دو نفره رینبو زرشکی</v>
      </c>
      <c r="J206" s="212"/>
      <c r="K206" s="212"/>
      <c r="L206" s="212"/>
      <c r="M206" s="213"/>
      <c r="N206" s="214">
        <f>INDEX(' کالای خواب حذف از لیست اصلی'!F:F,MATCH(P206,' کالای خواب حذف از لیست اصلی'!P:P,0))</f>
        <v>110000000</v>
      </c>
      <c r="O206" s="214"/>
      <c r="P206" s="64">
        <v>71</v>
      </c>
    </row>
    <row r="207" spans="1:16" ht="42.75" customHeight="1">
      <c r="A207" s="60"/>
      <c r="B207" s="61"/>
      <c r="D207" s="96">
        <v>7</v>
      </c>
      <c r="E207" s="208" t="str">
        <f>INDEX(' کالای خواب حذف از لیست اصلی'!C:C,MATCH(P207,' کالای خواب حذف از لیست اصلی'!P:P,0))</f>
        <v>9900160016</v>
      </c>
      <c r="F207" s="209"/>
      <c r="G207" s="209"/>
      <c r="H207" s="210"/>
      <c r="I207" s="211" t="str">
        <f>INDEX(' کالای خواب حذف از لیست اصلی'!D:D,MATCH(P207,' کالای خواب حذف از لیست اصلی'!P:P,0))</f>
        <v>پتو دو نفره رینبو صورتی</v>
      </c>
      <c r="J207" s="212"/>
      <c r="K207" s="212"/>
      <c r="L207" s="212"/>
      <c r="M207" s="213"/>
      <c r="N207" s="214">
        <f>INDEX(' کالای خواب حذف از لیست اصلی'!F:F,MATCH(P207,' کالای خواب حذف از لیست اصلی'!P:P,0))</f>
        <v>110000000</v>
      </c>
      <c r="O207" s="214"/>
      <c r="P207" s="64">
        <v>72</v>
      </c>
    </row>
    <row r="208" spans="1:16" ht="42.75" customHeight="1">
      <c r="A208" s="60"/>
      <c r="B208" s="61"/>
      <c r="D208" s="96">
        <v>8</v>
      </c>
      <c r="E208" s="208" t="str">
        <f>INDEX(' کالای خواب حذف از لیست اصلی'!C:C,MATCH(P208,' کالای خواب حذف از لیست اصلی'!P:P,0))</f>
        <v>9900160017</v>
      </c>
      <c r="F208" s="209"/>
      <c r="G208" s="209"/>
      <c r="H208" s="210"/>
      <c r="I208" s="211" t="str">
        <f>INDEX(' کالای خواب حذف از لیست اصلی'!D:D,MATCH(P208,' کالای خواب حذف از لیست اصلی'!P:P,0))</f>
        <v>پتو دو نفره رینبو مشکی</v>
      </c>
      <c r="J208" s="212"/>
      <c r="K208" s="212"/>
      <c r="L208" s="212"/>
      <c r="M208" s="213"/>
      <c r="N208" s="214">
        <f>INDEX(' کالای خواب حذف از لیست اصلی'!F:F,MATCH(P208,' کالای خواب حذف از لیست اصلی'!P:P,0))</f>
        <v>110000000</v>
      </c>
      <c r="O208" s="214"/>
      <c r="P208" s="64">
        <v>73</v>
      </c>
    </row>
    <row r="209" spans="1:16" ht="42.75" customHeight="1">
      <c r="A209" s="60"/>
      <c r="B209" s="61"/>
      <c r="D209" s="96">
        <v>9</v>
      </c>
      <c r="E209" s="208" t="str">
        <f>INDEX(' کالای خواب حذف از لیست اصلی'!C:C,MATCH(P209,' کالای خواب حذف از لیست اصلی'!P:P,0))</f>
        <v>9900160018</v>
      </c>
      <c r="F209" s="209"/>
      <c r="G209" s="209"/>
      <c r="H209" s="210"/>
      <c r="I209" s="211" t="str">
        <f>INDEX(' کالای خواب حذف از لیست اصلی'!D:D,MATCH(P209,' کالای خواب حذف از لیست اصلی'!P:P,0))</f>
        <v>پتو دو نفره رینبو سبز کله غازی</v>
      </c>
      <c r="J209" s="212"/>
      <c r="K209" s="212"/>
      <c r="L209" s="212"/>
      <c r="M209" s="213"/>
      <c r="N209" s="214">
        <f>INDEX(' کالای خواب حذف از لیست اصلی'!F:F,MATCH(P209,' کالای خواب حذف از لیست اصلی'!P:P,0))</f>
        <v>110000000</v>
      </c>
      <c r="O209" s="214"/>
      <c r="P209" s="64">
        <v>74</v>
      </c>
    </row>
    <row r="210" spans="1:16" ht="42.75" customHeight="1">
      <c r="A210" s="60"/>
      <c r="B210" s="61"/>
      <c r="D210" s="96">
        <v>10</v>
      </c>
      <c r="E210" s="208" t="str">
        <f>INDEX(' کالای خواب حذف از لیست اصلی'!C:C,MATCH(P210,' کالای خواب حذف از لیست اصلی'!P:P,0))</f>
        <v>9900160019</v>
      </c>
      <c r="F210" s="209"/>
      <c r="G210" s="209"/>
      <c r="H210" s="210"/>
      <c r="I210" s="211" t="str">
        <f>INDEX(' کالای خواب حذف از لیست اصلی'!D:D,MATCH(P210,' کالای خواب حذف از لیست اصلی'!P:P,0))</f>
        <v>پتو شالی کلاود</v>
      </c>
      <c r="J210" s="212"/>
      <c r="K210" s="212"/>
      <c r="L210" s="212"/>
      <c r="M210" s="213"/>
      <c r="N210" s="214">
        <f>INDEX(' کالای خواب حذف از لیست اصلی'!F:F,MATCH(P210,' کالای خواب حذف از لیست اصلی'!P:P,0))</f>
        <v>34000000</v>
      </c>
      <c r="O210" s="214"/>
      <c r="P210" s="64">
        <v>75</v>
      </c>
    </row>
    <row r="211" spans="1:16" ht="42.75" customHeight="1">
      <c r="A211" s="60"/>
      <c r="B211" s="61"/>
      <c r="D211" s="96">
        <v>11</v>
      </c>
      <c r="E211" s="208" t="str">
        <f>INDEX(' کالای خواب حذف از لیست اصلی'!C:C,MATCH(P211,' کالای خواب حذف از لیست اصلی'!P:P,0))</f>
        <v>9900160020</v>
      </c>
      <c r="F211" s="209"/>
      <c r="G211" s="209"/>
      <c r="H211" s="210"/>
      <c r="I211" s="211" t="str">
        <f>INDEX(' کالای خواب حذف از لیست اصلی'!D:D,MATCH(P211,' کالای خواب حذف از لیست اصلی'!P:P,0))</f>
        <v>پتو دو نفره آیوی مشکی (همراه دو روبالشی)</v>
      </c>
      <c r="J211" s="212"/>
      <c r="K211" s="212"/>
      <c r="L211" s="212"/>
      <c r="M211" s="213"/>
      <c r="N211" s="214">
        <f>INDEX(' کالای خواب حذف از لیست اصلی'!F:F,MATCH(P211,' کالای خواب حذف از لیست اصلی'!P:P,0))</f>
        <v>83000000</v>
      </c>
      <c r="O211" s="214"/>
      <c r="P211" s="64">
        <v>76</v>
      </c>
    </row>
    <row r="212" spans="1:16" ht="42.75" customHeight="1">
      <c r="A212" s="60"/>
      <c r="B212" s="61"/>
      <c r="D212" s="96">
        <v>12</v>
      </c>
      <c r="E212" s="208" t="str">
        <f>INDEX(' کالای خواب حذف از لیست اصلی'!C:C,MATCH(P212,' کالای خواب حذف از لیست اصلی'!P:P,0))</f>
        <v>9900160021</v>
      </c>
      <c r="F212" s="209"/>
      <c r="G212" s="209"/>
      <c r="H212" s="210"/>
      <c r="I212" s="211" t="str">
        <f>INDEX(' کالای خواب حذف از لیست اصلی'!D:D,MATCH(P212,' کالای خواب حذف از لیست اصلی'!P:P,0))</f>
        <v>پتو دو نفره آیوی طوسی (همراه دو روبالشی)</v>
      </c>
      <c r="J212" s="212"/>
      <c r="K212" s="212"/>
      <c r="L212" s="212"/>
      <c r="M212" s="213"/>
      <c r="N212" s="214">
        <f>INDEX(' کالای خواب حذف از لیست اصلی'!F:F,MATCH(P212,' کالای خواب حذف از لیست اصلی'!P:P,0))</f>
        <v>83000000</v>
      </c>
      <c r="O212" s="214"/>
      <c r="P212" s="64">
        <v>77</v>
      </c>
    </row>
    <row r="213" spans="1:16" ht="37.5" customHeight="1">
      <c r="A213" s="60"/>
      <c r="B213" s="61"/>
      <c r="D213" s="96">
        <v>13</v>
      </c>
      <c r="E213" s="208" t="str">
        <f>INDEX(' کالای خواب حذف از لیست اصلی'!C:C,MATCH(P213,' کالای خواب حذف از لیست اصلی'!P:P,0))</f>
        <v>9900160022</v>
      </c>
      <c r="F213" s="209"/>
      <c r="G213" s="209"/>
      <c r="H213" s="210"/>
      <c r="I213" s="211" t="str">
        <f>INDEX(' کالای خواب حذف از لیست اصلی'!D:D,MATCH(P213,' کالای خواب حذف از لیست اصلی'!P:P,0))</f>
        <v>پتو دو نفره آیوی بژ (همراه دو روبالشی)</v>
      </c>
      <c r="J213" s="212"/>
      <c r="K213" s="212"/>
      <c r="L213" s="212"/>
      <c r="M213" s="213"/>
      <c r="N213" s="214">
        <f>INDEX(' کالای خواب حذف از لیست اصلی'!F:F,MATCH(P213,' کالای خواب حذف از لیست اصلی'!P:P,0))</f>
        <v>83000000</v>
      </c>
      <c r="O213" s="214"/>
      <c r="P213" s="64">
        <v>78</v>
      </c>
    </row>
    <row r="214" spans="1:16" ht="37.5" customHeight="1">
      <c r="A214" s="60"/>
      <c r="B214" s="61"/>
      <c r="D214" s="96">
        <v>14</v>
      </c>
      <c r="E214" s="208" t="str">
        <f>INDEX(' کالای خواب حذف از لیست اصلی'!C:C,MATCH(P214,' کالای خواب حذف از لیست اصلی'!P:P,0))</f>
        <v>9900160023</v>
      </c>
      <c r="F214" s="209"/>
      <c r="G214" s="209"/>
      <c r="H214" s="210"/>
      <c r="I214" s="211" t="str">
        <f>INDEX(' کالای خواب حذف از لیست اصلی'!D:D,MATCH(P214,' کالای خواب حذف از لیست اصلی'!P:P,0))</f>
        <v>پتو دو نفره آیوی کرم (همراه دو روبالشی)</v>
      </c>
      <c r="J214" s="212"/>
      <c r="K214" s="212"/>
      <c r="L214" s="212"/>
      <c r="M214" s="213"/>
      <c r="N214" s="214">
        <f>INDEX(' کالای خواب حذف از لیست اصلی'!F:F,MATCH(P214,' کالای خواب حذف از لیست اصلی'!P:P,0))</f>
        <v>83000000</v>
      </c>
      <c r="O214" s="214"/>
      <c r="P214" s="64">
        <v>79</v>
      </c>
    </row>
    <row r="215" spans="1:16" ht="37.5" customHeight="1">
      <c r="A215" s="60"/>
      <c r="B215" s="61"/>
      <c r="D215" s="96">
        <v>15</v>
      </c>
      <c r="E215" s="208" t="str">
        <f>INDEX(' کالای خواب حذف از لیست اصلی'!C:C,MATCH(P215,' کالای خواب حذف از لیست اصلی'!P:P,0))</f>
        <v>9900160024</v>
      </c>
      <c r="F215" s="209"/>
      <c r="G215" s="209"/>
      <c r="H215" s="210"/>
      <c r="I215" s="211" t="str">
        <f>INDEX(' کالای خواب حذف از لیست اصلی'!D:D,MATCH(P215,' کالای خواب حذف از لیست اصلی'!P:P,0))</f>
        <v>پتو دو نفره آیوی خردلی (همراه دو روبالشی)</v>
      </c>
      <c r="J215" s="212"/>
      <c r="K215" s="212"/>
      <c r="L215" s="212"/>
      <c r="M215" s="213"/>
      <c r="N215" s="214">
        <f>INDEX(' کالای خواب حذف از لیست اصلی'!F:F,MATCH(P215,' کالای خواب حذف از لیست اصلی'!P:P,0))</f>
        <v>83000000</v>
      </c>
      <c r="O215" s="214"/>
      <c r="P215" s="64">
        <v>80</v>
      </c>
    </row>
    <row r="216" spans="1:16" ht="37.5" customHeight="1">
      <c r="A216" s="60"/>
      <c r="B216" s="61"/>
      <c r="D216" s="96">
        <v>16</v>
      </c>
      <c r="E216" s="208" t="str">
        <f>INDEX(' کالای خواب حذف از لیست اصلی'!C:C,MATCH(P216,' کالای خواب حذف از لیست اصلی'!P:P,0))</f>
        <v>9900160026</v>
      </c>
      <c r="F216" s="209"/>
      <c r="G216" s="209"/>
      <c r="H216" s="210"/>
      <c r="I216" s="211" t="str">
        <f>INDEX(' کالای خواب حذف از لیست اصلی'!D:D,MATCH(P216,' کالای خواب حذف از لیست اصلی'!P:P,0))</f>
        <v>پتو 220*185 ریور طرح دار 26</v>
      </c>
      <c r="J216" s="212"/>
      <c r="K216" s="212"/>
      <c r="L216" s="212"/>
      <c r="M216" s="213"/>
      <c r="N216" s="214">
        <f>INDEX(' کالای خواب حذف از لیست اصلی'!F:F,MATCH(P216,' کالای خواب حذف از لیست اصلی'!P:P,0))</f>
        <v>84000000</v>
      </c>
      <c r="O216" s="214"/>
      <c r="P216" s="64">
        <v>81</v>
      </c>
    </row>
    <row r="217" spans="1:16" ht="37.5" customHeight="1">
      <c r="A217" s="60"/>
      <c r="B217" s="61"/>
      <c r="D217" s="96">
        <v>17</v>
      </c>
      <c r="E217" s="208" t="str">
        <f>INDEX(' کالای خواب حذف از لیست اصلی'!C:C,MATCH(P217,' کالای خواب حذف از لیست اصلی'!P:P,0))</f>
        <v>9900160027</v>
      </c>
      <c r="F217" s="209"/>
      <c r="G217" s="209"/>
      <c r="H217" s="210"/>
      <c r="I217" s="211" t="str">
        <f>INDEX(' کالای خواب حذف از لیست اصلی'!D:D,MATCH(P217,' کالای خواب حذف از لیست اصلی'!P:P,0))</f>
        <v>پتو 220*185 ریور طرح دار 27</v>
      </c>
      <c r="J217" s="212"/>
      <c r="K217" s="212"/>
      <c r="L217" s="212"/>
      <c r="M217" s="213"/>
      <c r="N217" s="214">
        <f>INDEX(' کالای خواب حذف از لیست اصلی'!F:F,MATCH(P217,' کالای خواب حذف از لیست اصلی'!P:P,0))</f>
        <v>84000000</v>
      </c>
      <c r="O217" s="214"/>
      <c r="P217" s="64">
        <v>82</v>
      </c>
    </row>
    <row r="218" spans="1:16" ht="36" customHeight="1">
      <c r="A218" s="60"/>
      <c r="B218" s="61"/>
      <c r="D218" s="96">
        <v>18</v>
      </c>
      <c r="E218" s="208" t="str">
        <f>INDEX(' کالای خواب حذف از لیست اصلی'!C:C,MATCH(P218,' کالای خواب حذف از لیست اصلی'!P:P,0))</f>
        <v>9900160029</v>
      </c>
      <c r="F218" s="209"/>
      <c r="G218" s="209"/>
      <c r="H218" s="210"/>
      <c r="I218" s="211" t="str">
        <f>INDEX(' کالای خواب حذف از لیست اصلی'!D:D,MATCH(P218,' کالای خواب حذف از لیست اصلی'!P:P,0))</f>
        <v>پتو 220*175 ماونتن دو رویه 29</v>
      </c>
      <c r="J218" s="212"/>
      <c r="K218" s="212"/>
      <c r="L218" s="212"/>
      <c r="M218" s="213"/>
      <c r="N218" s="214">
        <f>INDEX(' کالای خواب حذف از لیست اصلی'!F:F,MATCH(P218,' کالای خواب حذف از لیست اصلی'!P:P,0))</f>
        <v>94000000</v>
      </c>
      <c r="O218" s="214"/>
      <c r="P218" s="64">
        <v>83</v>
      </c>
    </row>
    <row r="219" spans="1:16" ht="36" customHeight="1">
      <c r="A219" s="60"/>
      <c r="B219" s="61"/>
      <c r="D219" s="96">
        <v>19</v>
      </c>
      <c r="E219" s="208" t="str">
        <f>INDEX(' کالای خواب حذف از لیست اصلی'!C:C,MATCH(P219,' کالای خواب حذف از لیست اصلی'!P:P,0))</f>
        <v>9900160031</v>
      </c>
      <c r="F219" s="209"/>
      <c r="G219" s="209"/>
      <c r="H219" s="210"/>
      <c r="I219" s="211" t="str">
        <f>INDEX(' کالای خواب حذف از لیست اصلی'!D:D,MATCH(P219,' کالای خواب حذف از لیست اصلی'!P:P,0))</f>
        <v>پتو 220*175 ماونتن دو رویه 31</v>
      </c>
      <c r="J219" s="212"/>
      <c r="K219" s="212"/>
      <c r="L219" s="212"/>
      <c r="M219" s="213"/>
      <c r="N219" s="214">
        <f>INDEX(' کالای خواب حذف از لیست اصلی'!F:F,MATCH(P219,' کالای خواب حذف از لیست اصلی'!P:P,0))</f>
        <v>94000000</v>
      </c>
      <c r="O219" s="214"/>
      <c r="P219" s="64">
        <v>84</v>
      </c>
    </row>
    <row r="220" spans="1:16" ht="36" customHeight="1">
      <c r="A220" s="60"/>
      <c r="B220" s="61"/>
      <c r="D220" s="96">
        <v>20</v>
      </c>
      <c r="E220" s="208" t="str">
        <f>INDEX(' کالای خواب حذف از لیست اصلی'!C:C,MATCH(P220,' کالای خواب حذف از لیست اصلی'!P:P,0))</f>
        <v>9900160037</v>
      </c>
      <c r="F220" s="209"/>
      <c r="G220" s="209"/>
      <c r="H220" s="210"/>
      <c r="I220" s="211" t="str">
        <f>INDEX(' کالای خواب حذف از لیست اصلی'!D:D,MATCH(P220,' کالای خواب حذف از لیست اصلی'!P:P,0))</f>
        <v>پتو 220*185 ریور طرح دار 37</v>
      </c>
      <c r="J220" s="212"/>
      <c r="K220" s="212"/>
      <c r="L220" s="212"/>
      <c r="M220" s="213"/>
      <c r="N220" s="214">
        <f>INDEX(' کالای خواب حذف از لیست اصلی'!F:F,MATCH(P220,' کالای خواب حذف از لیست اصلی'!P:P,0))</f>
        <v>84000000</v>
      </c>
      <c r="O220" s="214"/>
      <c r="P220" s="64">
        <v>85</v>
      </c>
    </row>
    <row r="221" spans="1:16" ht="36" customHeight="1">
      <c r="A221" s="60"/>
      <c r="B221" s="61"/>
      <c r="D221" s="96">
        <v>21</v>
      </c>
      <c r="E221" s="208" t="str">
        <f>INDEX(' کالای خواب حذف از لیست اصلی'!C:C,MATCH(P221,' کالای خواب حذف از لیست اصلی'!P:P,0))</f>
        <v>9900160040</v>
      </c>
      <c r="F221" s="209"/>
      <c r="G221" s="209"/>
      <c r="H221" s="210"/>
      <c r="I221" s="211" t="str">
        <f>INDEX(' کالای خواب حذف از لیست اصلی'!D:D,MATCH(P221,' کالای خواب حذف از لیست اصلی'!P:P,0))</f>
        <v>پتو 220*160 اسکای دو لایه 40</v>
      </c>
      <c r="J221" s="212"/>
      <c r="K221" s="212"/>
      <c r="L221" s="212"/>
      <c r="M221" s="213"/>
      <c r="N221" s="214">
        <f>INDEX(' کالای خواب حذف از لیست اصلی'!F:F,MATCH(P221,' کالای خواب حذف از لیست اصلی'!P:P,0))</f>
        <v>139000000</v>
      </c>
      <c r="O221" s="214"/>
      <c r="P221" s="64">
        <v>86</v>
      </c>
    </row>
    <row r="222" spans="1:16" ht="27" customHeight="1">
      <c r="A222" s="60"/>
      <c r="B222" s="61"/>
      <c r="D222" s="126"/>
      <c r="E222" s="126"/>
      <c r="F222" s="126"/>
      <c r="G222" s="126"/>
      <c r="H222" s="126"/>
      <c r="I222" s="127"/>
      <c r="J222" s="127"/>
      <c r="K222" s="127"/>
      <c r="L222" s="127"/>
      <c r="M222" s="127"/>
      <c r="N222" s="128"/>
      <c r="O222" s="128"/>
    </row>
    <row r="223" spans="1:16" ht="18.75">
      <c r="A223" s="60"/>
      <c r="B223" s="61"/>
      <c r="O223" s="105">
        <v>7</v>
      </c>
    </row>
    <row r="224" spans="1:16">
      <c r="A224" s="60"/>
      <c r="B224" s="61"/>
      <c r="C22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</row>
    <row r="225" spans="1:16">
      <c r="A225" s="60"/>
      <c r="B225" s="61"/>
      <c r="C225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</row>
    <row r="226" spans="1:16" ht="31.5">
      <c r="A226" s="60"/>
      <c r="B226" s="61"/>
      <c r="C226"/>
      <c r="D226" s="72"/>
      <c r="E226" s="66" t="s">
        <v>1152</v>
      </c>
      <c r="F226" s="63"/>
      <c r="J226" s="65"/>
      <c r="K226" s="68"/>
      <c r="N226" s="230" t="str">
        <f>$S$1</f>
        <v>1405/02/01</v>
      </c>
      <c r="O226" s="230"/>
    </row>
    <row r="227" spans="1:16" ht="78" customHeight="1">
      <c r="A227" s="60"/>
      <c r="B227" s="61"/>
      <c r="D227" s="244" t="s">
        <v>0</v>
      </c>
      <c r="E227" s="247" t="s">
        <v>1</v>
      </c>
      <c r="F227" s="248"/>
      <c r="G227" s="249" t="s">
        <v>2</v>
      </c>
      <c r="H227" s="249"/>
      <c r="I227" s="250"/>
      <c r="J227" s="248" t="s">
        <v>1153</v>
      </c>
      <c r="K227" s="251" t="s">
        <v>1154</v>
      </c>
      <c r="L227" s="251" t="s">
        <v>1155</v>
      </c>
      <c r="M227" s="251" t="s">
        <v>1156</v>
      </c>
      <c r="N227" s="251" t="s">
        <v>1157</v>
      </c>
      <c r="O227" s="191" t="s">
        <v>251</v>
      </c>
    </row>
    <row r="228" spans="1:16" ht="78" customHeight="1">
      <c r="A228" s="60"/>
      <c r="B228" s="61"/>
      <c r="D228" s="244"/>
      <c r="E228" s="247"/>
      <c r="F228" s="248"/>
      <c r="G228" s="249"/>
      <c r="H228" s="249"/>
      <c r="I228" s="250"/>
      <c r="J228" s="248"/>
      <c r="K228" s="251"/>
      <c r="L228" s="251"/>
      <c r="M228" s="251"/>
      <c r="N228" s="251"/>
      <c r="O228" s="191"/>
    </row>
    <row r="229" spans="1:16" ht="93" customHeight="1">
      <c r="A229" s="60"/>
      <c r="B229" s="61"/>
      <c r="D229" s="86">
        <v>1</v>
      </c>
      <c r="E229" s="245" t="e">
        <f>INDEX('تشک حذف از تولید'!B:B,MATCH(P229,'تشک حذف از تولید'!U:U,0))</f>
        <v>#N/A</v>
      </c>
      <c r="F229" s="246"/>
      <c r="G229" s="180" t="e">
        <f>INDEX('تشک حذف از تولید'!C:C,MATCH(P229,'تشک حذف از تولید'!U:U,0))</f>
        <v>#N/A</v>
      </c>
      <c r="H229" s="181"/>
      <c r="I229" s="182"/>
      <c r="J229" s="144" t="e">
        <f>INDEX('تشک حذف از تولید'!D:D,MATCH(P229,'تشک حذف از تولید'!U:U,0))</f>
        <v>#N/A</v>
      </c>
      <c r="K229" s="145" t="e">
        <f>INDEX('تشک حذف از تولید'!E:E,MATCH(P229,'تشک حذف از تولید'!U:U,0))</f>
        <v>#N/A</v>
      </c>
      <c r="L229" s="145" t="e">
        <f>INDEX('تشک حذف از تولید'!F:F,MATCH(P229,'تشک حذف از تولید'!U:U,0))</f>
        <v>#N/A</v>
      </c>
      <c r="M229" s="145" t="e">
        <f>INDEX('تشک حذف از تولید'!G:G,MATCH(P229,'تشک حذف از تولید'!U:U,0))</f>
        <v>#N/A</v>
      </c>
      <c r="N229" s="145" t="e">
        <f>INDEX('تشک حذف از تولید'!H:H,MATCH(P229,'تشک حذف از تولید'!U:U,0))</f>
        <v>#N/A</v>
      </c>
      <c r="O229" s="85" t="e">
        <f>INDEX('تشک حذف از تولید'!J:J,MATCH(P229,'تشک حذف از تولید'!U:U,0))</f>
        <v>#N/A</v>
      </c>
      <c r="P229" s="64">
        <v>87</v>
      </c>
    </row>
    <row r="230" spans="1:16" ht="93" customHeight="1">
      <c r="A230" s="60"/>
      <c r="B230" s="61"/>
      <c r="D230" s="86">
        <v>2</v>
      </c>
      <c r="E230" s="245" t="e">
        <f>INDEX('تشک حذف از تولید'!B:B,MATCH(P230,'تشک حذف از تولید'!U:U,0))</f>
        <v>#N/A</v>
      </c>
      <c r="F230" s="246"/>
      <c r="G230" s="180" t="e">
        <f>INDEX('تشک حذف از تولید'!C:C,MATCH(P230,'تشک حذف از تولید'!U:U,0))</f>
        <v>#N/A</v>
      </c>
      <c r="H230" s="181"/>
      <c r="I230" s="182"/>
      <c r="J230" s="144" t="e">
        <f>INDEX('تشک حذف از تولید'!D:D,MATCH(P230,'تشک حذف از تولید'!U:U,0))</f>
        <v>#N/A</v>
      </c>
      <c r="K230" s="145" t="e">
        <f>INDEX('تشک حذف از تولید'!E:E,MATCH(P230,'تشک حذف از تولید'!U:U,0))</f>
        <v>#N/A</v>
      </c>
      <c r="L230" s="145" t="e">
        <f>INDEX('تشک حذف از تولید'!F:F,MATCH(P230,'تشک حذف از تولید'!U:U,0))</f>
        <v>#N/A</v>
      </c>
      <c r="M230" s="145" t="e">
        <f>INDEX('تشک حذف از تولید'!G:G,MATCH(P230,'تشک حذف از تولید'!U:U,0))</f>
        <v>#N/A</v>
      </c>
      <c r="N230" s="145" t="e">
        <f>INDEX('تشک حذف از تولید'!H:H,MATCH(P230,'تشک حذف از تولید'!U:U,0))</f>
        <v>#N/A</v>
      </c>
      <c r="O230" s="85" t="e">
        <f>INDEX('تشک حذف از تولید'!J:J,MATCH(P230,'تشک حذف از تولید'!U:U,0))</f>
        <v>#N/A</v>
      </c>
      <c r="P230" s="64">
        <v>88</v>
      </c>
    </row>
    <row r="231" spans="1:16" ht="93" customHeight="1">
      <c r="A231" s="60"/>
      <c r="B231" s="61"/>
      <c r="D231" s="86">
        <v>3</v>
      </c>
      <c r="E231" s="245" t="e">
        <f>INDEX('تشک حذف از تولید'!B:B,MATCH(P231,'تشک حذف از تولید'!U:U,0))</f>
        <v>#N/A</v>
      </c>
      <c r="F231" s="246"/>
      <c r="G231" s="180" t="e">
        <f>INDEX('تشک حذف از تولید'!C:C,MATCH(P231,'تشک حذف از تولید'!U:U,0))</f>
        <v>#N/A</v>
      </c>
      <c r="H231" s="181"/>
      <c r="I231" s="182"/>
      <c r="J231" s="144" t="e">
        <f>INDEX('تشک حذف از تولید'!D:D,MATCH(P231,'تشک حذف از تولید'!U:U,0))</f>
        <v>#N/A</v>
      </c>
      <c r="K231" s="145" t="e">
        <f>INDEX('تشک حذف از تولید'!E:E,MATCH(P231,'تشک حذف از تولید'!U:U,0))</f>
        <v>#N/A</v>
      </c>
      <c r="L231" s="145" t="e">
        <f>INDEX('تشک حذف از تولید'!F:F,MATCH(P231,'تشک حذف از تولید'!U:U,0))</f>
        <v>#N/A</v>
      </c>
      <c r="M231" s="145" t="e">
        <f>INDEX('تشک حذف از تولید'!G:G,MATCH(P231,'تشک حذف از تولید'!U:U,0))</f>
        <v>#N/A</v>
      </c>
      <c r="N231" s="145" t="e">
        <f>INDEX('تشک حذف از تولید'!H:H,MATCH(P231,'تشک حذف از تولید'!U:U,0))</f>
        <v>#N/A</v>
      </c>
      <c r="O231" s="85" t="e">
        <f>INDEX('تشک حذف از تولید'!J:J,MATCH(P231,'تشک حذف از تولید'!U:U,0))</f>
        <v>#N/A</v>
      </c>
      <c r="P231" s="64">
        <v>89</v>
      </c>
    </row>
    <row r="232" spans="1:16" ht="93" customHeight="1">
      <c r="A232" s="60"/>
      <c r="B232" s="61"/>
      <c r="D232" s="86">
        <v>4</v>
      </c>
      <c r="E232" s="245" t="e">
        <f>INDEX('تشک حذف از تولید'!B:B,MATCH(P232,'تشک حذف از تولید'!U:U,0))</f>
        <v>#N/A</v>
      </c>
      <c r="F232" s="246"/>
      <c r="G232" s="180" t="e">
        <f>INDEX('تشک حذف از تولید'!C:C,MATCH(P232,'تشک حذف از تولید'!U:U,0))</f>
        <v>#N/A</v>
      </c>
      <c r="H232" s="181"/>
      <c r="I232" s="182"/>
      <c r="J232" s="144" t="e">
        <f>INDEX('تشک حذف از تولید'!D:D,MATCH(P232,'تشک حذف از تولید'!U:U,0))</f>
        <v>#N/A</v>
      </c>
      <c r="K232" s="145" t="e">
        <f>INDEX('تشک حذف از تولید'!E:E,MATCH(P232,'تشک حذف از تولید'!U:U,0))</f>
        <v>#N/A</v>
      </c>
      <c r="L232" s="145" t="e">
        <f>INDEX('تشک حذف از تولید'!F:F,MATCH(P232,'تشک حذف از تولید'!U:U,0))</f>
        <v>#N/A</v>
      </c>
      <c r="M232" s="145" t="e">
        <f>INDEX('تشک حذف از تولید'!G:G,MATCH(P232,'تشک حذف از تولید'!U:U,0))</f>
        <v>#N/A</v>
      </c>
      <c r="N232" s="145" t="e">
        <f>INDEX('تشک حذف از تولید'!H:H,MATCH(P232,'تشک حذف از تولید'!U:U,0))</f>
        <v>#N/A</v>
      </c>
      <c r="O232" s="85" t="e">
        <f>INDEX('تشک حذف از تولید'!J:J,MATCH(P232,'تشک حذف از تولید'!U:U,0))</f>
        <v>#N/A</v>
      </c>
      <c r="P232" s="64">
        <v>90</v>
      </c>
    </row>
    <row r="233" spans="1:16" ht="93" customHeight="1">
      <c r="A233" s="60"/>
      <c r="B233" s="61"/>
      <c r="D233" s="86">
        <v>5</v>
      </c>
      <c r="E233" s="245" t="e">
        <f>INDEX('تشک حذف از تولید'!B:B,MATCH(P233,'تشک حذف از تولید'!U:U,0))</f>
        <v>#N/A</v>
      </c>
      <c r="F233" s="246"/>
      <c r="G233" s="180" t="e">
        <f>INDEX('تشک حذف از تولید'!C:C,MATCH(P233,'تشک حذف از تولید'!U:U,0))</f>
        <v>#N/A</v>
      </c>
      <c r="H233" s="181"/>
      <c r="I233" s="182"/>
      <c r="J233" s="144" t="e">
        <f>INDEX('تشک حذف از تولید'!D:D,MATCH(P233,'تشک حذف از تولید'!U:U,0))</f>
        <v>#N/A</v>
      </c>
      <c r="K233" s="145" t="e">
        <f>INDEX('تشک حذف از تولید'!E:E,MATCH(P233,'تشک حذف از تولید'!U:U,0))</f>
        <v>#N/A</v>
      </c>
      <c r="L233" s="145" t="e">
        <f>INDEX('تشک حذف از تولید'!F:F,MATCH(P233,'تشک حذف از تولید'!U:U,0))</f>
        <v>#N/A</v>
      </c>
      <c r="M233" s="145" t="e">
        <f>INDEX('تشک حذف از تولید'!G:G,MATCH(P233,'تشک حذف از تولید'!U:U,0))</f>
        <v>#N/A</v>
      </c>
      <c r="N233" s="145" t="e">
        <f>INDEX('تشک حذف از تولید'!H:H,MATCH(P233,'تشک حذف از تولید'!U:U,0))</f>
        <v>#N/A</v>
      </c>
      <c r="O233" s="85" t="e">
        <f>INDEX('تشک حذف از تولید'!J:J,MATCH(P233,'تشک حذف از تولید'!U:U,0))</f>
        <v>#N/A</v>
      </c>
      <c r="P233" s="64">
        <v>91</v>
      </c>
    </row>
    <row r="234" spans="1:16">
      <c r="A234" s="60"/>
      <c r="B234" s="61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6">
      <c r="A235" s="60"/>
      <c r="B235" s="61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6">
      <c r="A236" s="60"/>
      <c r="B236" s="61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6">
      <c r="A237" s="60"/>
      <c r="B237" s="61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6">
      <c r="A238" s="60"/>
      <c r="B238" s="61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6">
      <c r="A239" s="60"/>
      <c r="B239" s="61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6">
      <c r="A240" s="60"/>
      <c r="B240" s="61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 s="60"/>
      <c r="B241" s="6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 s="60"/>
      <c r="B242" s="61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 s="60"/>
      <c r="B243" s="61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 s="60"/>
      <c r="B244" s="61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 s="60"/>
      <c r="B245" s="61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 s="60"/>
      <c r="B246" s="61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 s="60"/>
      <c r="B247" s="61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 s="60"/>
      <c r="B248" s="61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 s="60"/>
      <c r="B249" s="61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ht="18.75">
      <c r="A250" s="60"/>
      <c r="B250" s="61"/>
      <c r="O250" s="105">
        <v>8</v>
      </c>
    </row>
  </sheetData>
  <mergeCells count="332">
    <mergeCell ref="E227:F228"/>
    <mergeCell ref="G227:I228"/>
    <mergeCell ref="J227:J228"/>
    <mergeCell ref="K227:K228"/>
    <mergeCell ref="L227:L228"/>
    <mergeCell ref="M227:M228"/>
    <mergeCell ref="N227:N228"/>
    <mergeCell ref="O227:O228"/>
    <mergeCell ref="E229:F229"/>
    <mergeCell ref="G229:I229"/>
    <mergeCell ref="E230:F230"/>
    <mergeCell ref="E231:F231"/>
    <mergeCell ref="E232:F232"/>
    <mergeCell ref="E233:F233"/>
    <mergeCell ref="G230:I230"/>
    <mergeCell ref="G231:I231"/>
    <mergeCell ref="G232:I232"/>
    <mergeCell ref="G233:I233"/>
    <mergeCell ref="D69:N70"/>
    <mergeCell ref="N216:O216"/>
    <mergeCell ref="E217:H217"/>
    <mergeCell ref="I217:M217"/>
    <mergeCell ref="E218:H218"/>
    <mergeCell ref="I218:M218"/>
    <mergeCell ref="N218:O218"/>
    <mergeCell ref="E219:H219"/>
    <mergeCell ref="I219:M219"/>
    <mergeCell ref="N219:O219"/>
    <mergeCell ref="N217:O217"/>
    <mergeCell ref="E207:H207"/>
    <mergeCell ref="I207:M207"/>
    <mergeCell ref="N207:O207"/>
    <mergeCell ref="E208:H208"/>
    <mergeCell ref="I208:M208"/>
    <mergeCell ref="O69:O70"/>
    <mergeCell ref="D224:O225"/>
    <mergeCell ref="N226:O226"/>
    <mergeCell ref="D227:D228"/>
    <mergeCell ref="E148:H148"/>
    <mergeCell ref="I148:M148"/>
    <mergeCell ref="N148:O148"/>
    <mergeCell ref="E149:H149"/>
    <mergeCell ref="I149:M149"/>
    <mergeCell ref="N149:O149"/>
    <mergeCell ref="E146:H146"/>
    <mergeCell ref="I146:M146"/>
    <mergeCell ref="N146:O146"/>
    <mergeCell ref="E147:H147"/>
    <mergeCell ref="I147:M147"/>
    <mergeCell ref="N147:O147"/>
    <mergeCell ref="E220:H220"/>
    <mergeCell ref="I220:M220"/>
    <mergeCell ref="N220:O220"/>
    <mergeCell ref="E221:H221"/>
    <mergeCell ref="I221:M221"/>
    <mergeCell ref="N221:O221"/>
    <mergeCell ref="E216:H216"/>
    <mergeCell ref="I216:M216"/>
    <mergeCell ref="N208:O208"/>
    <mergeCell ref="E204:H204"/>
    <mergeCell ref="I204:M204"/>
    <mergeCell ref="N204:O204"/>
    <mergeCell ref="E205:H205"/>
    <mergeCell ref="I205:M205"/>
    <mergeCell ref="E206:H206"/>
    <mergeCell ref="I206:M206"/>
    <mergeCell ref="N206:O206"/>
    <mergeCell ref="N205:O205"/>
    <mergeCell ref="I201:M201"/>
    <mergeCell ref="N201:O201"/>
    <mergeCell ref="E202:H202"/>
    <mergeCell ref="I202:M202"/>
    <mergeCell ref="N202:O202"/>
    <mergeCell ref="E203:H203"/>
    <mergeCell ref="I203:M203"/>
    <mergeCell ref="N203:O203"/>
    <mergeCell ref="D196:O197"/>
    <mergeCell ref="N198:O198"/>
    <mergeCell ref="D199:D200"/>
    <mergeCell ref="E199:H200"/>
    <mergeCell ref="I199:M200"/>
    <mergeCell ref="N199:O200"/>
    <mergeCell ref="E201:H201"/>
    <mergeCell ref="E191:H191"/>
    <mergeCell ref="I191:M191"/>
    <mergeCell ref="N191:O191"/>
    <mergeCell ref="E189:H189"/>
    <mergeCell ref="I189:M189"/>
    <mergeCell ref="N189:O189"/>
    <mergeCell ref="E190:H190"/>
    <mergeCell ref="I190:M190"/>
    <mergeCell ref="N190:O190"/>
    <mergeCell ref="E187:H187"/>
    <mergeCell ref="I187:M187"/>
    <mergeCell ref="N187:O187"/>
    <mergeCell ref="E188:H188"/>
    <mergeCell ref="I188:M188"/>
    <mergeCell ref="N188:O188"/>
    <mergeCell ref="E185:H185"/>
    <mergeCell ref="I185:M185"/>
    <mergeCell ref="N185:O185"/>
    <mergeCell ref="E186:H186"/>
    <mergeCell ref="I186:M186"/>
    <mergeCell ref="N186:O186"/>
    <mergeCell ref="D180:O181"/>
    <mergeCell ref="N182:O182"/>
    <mergeCell ref="D183:D184"/>
    <mergeCell ref="E183:H184"/>
    <mergeCell ref="I183:M184"/>
    <mergeCell ref="N183:O184"/>
    <mergeCell ref="E174:H174"/>
    <mergeCell ref="I174:M174"/>
    <mergeCell ref="N174:O174"/>
    <mergeCell ref="E175:H175"/>
    <mergeCell ref="I175:M175"/>
    <mergeCell ref="N175:O175"/>
    <mergeCell ref="E172:H172"/>
    <mergeCell ref="I172:M172"/>
    <mergeCell ref="N172:O172"/>
    <mergeCell ref="E173:H173"/>
    <mergeCell ref="I173:M173"/>
    <mergeCell ref="N173:O173"/>
    <mergeCell ref="E170:H170"/>
    <mergeCell ref="I170:M170"/>
    <mergeCell ref="N170:O170"/>
    <mergeCell ref="E171:H171"/>
    <mergeCell ref="I171:M171"/>
    <mergeCell ref="N171:O171"/>
    <mergeCell ref="E168:H168"/>
    <mergeCell ref="I168:M168"/>
    <mergeCell ref="N168:O168"/>
    <mergeCell ref="E169:H169"/>
    <mergeCell ref="I169:M169"/>
    <mergeCell ref="N169:O169"/>
    <mergeCell ref="E166:H166"/>
    <mergeCell ref="I166:M166"/>
    <mergeCell ref="N166:O166"/>
    <mergeCell ref="E167:H167"/>
    <mergeCell ref="I167:M167"/>
    <mergeCell ref="N167:O167"/>
    <mergeCell ref="E164:H164"/>
    <mergeCell ref="I164:M164"/>
    <mergeCell ref="N164:O164"/>
    <mergeCell ref="E165:H165"/>
    <mergeCell ref="I165:M165"/>
    <mergeCell ref="N165:O165"/>
    <mergeCell ref="E162:H162"/>
    <mergeCell ref="I162:M162"/>
    <mergeCell ref="N162:O162"/>
    <mergeCell ref="E163:H163"/>
    <mergeCell ref="I163:M163"/>
    <mergeCell ref="N163:O163"/>
    <mergeCell ref="D157:O158"/>
    <mergeCell ref="N159:O159"/>
    <mergeCell ref="D160:D161"/>
    <mergeCell ref="E160:H161"/>
    <mergeCell ref="I160:M161"/>
    <mergeCell ref="N160:O161"/>
    <mergeCell ref="E150:H150"/>
    <mergeCell ref="I150:M150"/>
    <mergeCell ref="N150:O150"/>
    <mergeCell ref="N152:O152"/>
    <mergeCell ref="N153:O153"/>
    <mergeCell ref="N154:O154"/>
    <mergeCell ref="E151:H151"/>
    <mergeCell ref="E152:H152"/>
    <mergeCell ref="E153:H153"/>
    <mergeCell ref="E154:H154"/>
    <mergeCell ref="I151:M151"/>
    <mergeCell ref="I152:M152"/>
    <mergeCell ref="I153:M153"/>
    <mergeCell ref="I154:M154"/>
    <mergeCell ref="N151:O151"/>
    <mergeCell ref="E144:H144"/>
    <mergeCell ref="I144:M144"/>
    <mergeCell ref="N144:O144"/>
    <mergeCell ref="E145:H145"/>
    <mergeCell ref="I145:M145"/>
    <mergeCell ref="N145:O145"/>
    <mergeCell ref="E142:H142"/>
    <mergeCell ref="I142:M142"/>
    <mergeCell ref="N142:O142"/>
    <mergeCell ref="E143:H143"/>
    <mergeCell ref="I143:M143"/>
    <mergeCell ref="N143:O143"/>
    <mergeCell ref="E140:H140"/>
    <mergeCell ref="I140:M140"/>
    <mergeCell ref="N140:O140"/>
    <mergeCell ref="E141:H141"/>
    <mergeCell ref="I141:M141"/>
    <mergeCell ref="N141:O141"/>
    <mergeCell ref="D135:O136"/>
    <mergeCell ref="N137:O137"/>
    <mergeCell ref="D138:D139"/>
    <mergeCell ref="E138:H139"/>
    <mergeCell ref="I138:M139"/>
    <mergeCell ref="N138:O139"/>
    <mergeCell ref="E132:H132"/>
    <mergeCell ref="I132:M132"/>
    <mergeCell ref="N132:O132"/>
    <mergeCell ref="E133:H133"/>
    <mergeCell ref="I133:M133"/>
    <mergeCell ref="N133:O133"/>
    <mergeCell ref="E130:H130"/>
    <mergeCell ref="I130:M130"/>
    <mergeCell ref="N130:O130"/>
    <mergeCell ref="E131:H131"/>
    <mergeCell ref="I131:M131"/>
    <mergeCell ref="N131:O131"/>
    <mergeCell ref="E128:H128"/>
    <mergeCell ref="I128:M128"/>
    <mergeCell ref="N128:O128"/>
    <mergeCell ref="E129:H129"/>
    <mergeCell ref="I129:M129"/>
    <mergeCell ref="N129:O129"/>
    <mergeCell ref="E126:H126"/>
    <mergeCell ref="I126:M126"/>
    <mergeCell ref="N126:O126"/>
    <mergeCell ref="E127:H127"/>
    <mergeCell ref="I127:M127"/>
    <mergeCell ref="N127:O127"/>
    <mergeCell ref="E124:H124"/>
    <mergeCell ref="I124:M124"/>
    <mergeCell ref="N124:O124"/>
    <mergeCell ref="E125:H125"/>
    <mergeCell ref="I125:M125"/>
    <mergeCell ref="N125:O125"/>
    <mergeCell ref="E122:H122"/>
    <mergeCell ref="I122:M122"/>
    <mergeCell ref="N122:O122"/>
    <mergeCell ref="E123:H123"/>
    <mergeCell ref="I123:M123"/>
    <mergeCell ref="N123:O123"/>
    <mergeCell ref="E120:H120"/>
    <mergeCell ref="I120:M120"/>
    <mergeCell ref="N120:O120"/>
    <mergeCell ref="E121:H121"/>
    <mergeCell ref="I121:M121"/>
    <mergeCell ref="N121:O121"/>
    <mergeCell ref="E118:H118"/>
    <mergeCell ref="I118:M118"/>
    <mergeCell ref="N118:O118"/>
    <mergeCell ref="E119:H119"/>
    <mergeCell ref="I119:M119"/>
    <mergeCell ref="N119:O119"/>
    <mergeCell ref="D113:O114"/>
    <mergeCell ref="N115:O115"/>
    <mergeCell ref="D116:D117"/>
    <mergeCell ref="E116:H117"/>
    <mergeCell ref="I116:M117"/>
    <mergeCell ref="N116:O117"/>
    <mergeCell ref="E109:H109"/>
    <mergeCell ref="I109:M109"/>
    <mergeCell ref="N109:O109"/>
    <mergeCell ref="N102:O102"/>
    <mergeCell ref="E107:H107"/>
    <mergeCell ref="I107:M107"/>
    <mergeCell ref="N107:O107"/>
    <mergeCell ref="E108:H108"/>
    <mergeCell ref="I108:M108"/>
    <mergeCell ref="N108:O108"/>
    <mergeCell ref="E105:H105"/>
    <mergeCell ref="I105:M105"/>
    <mergeCell ref="N105:O105"/>
    <mergeCell ref="E106:H106"/>
    <mergeCell ref="I106:M106"/>
    <mergeCell ref="N106:O106"/>
    <mergeCell ref="E103:H103"/>
    <mergeCell ref="I103:M103"/>
    <mergeCell ref="N103:O103"/>
    <mergeCell ref="E104:H104"/>
    <mergeCell ref="I104:M104"/>
    <mergeCell ref="N104:O104"/>
    <mergeCell ref="E102:H102"/>
    <mergeCell ref="I102:M102"/>
    <mergeCell ref="E215:H215"/>
    <mergeCell ref="I215:M215"/>
    <mergeCell ref="N215:O215"/>
    <mergeCell ref="N209:O209"/>
    <mergeCell ref="N211:O211"/>
    <mergeCell ref="E210:H210"/>
    <mergeCell ref="I210:M210"/>
    <mergeCell ref="N210:O210"/>
    <mergeCell ref="E211:H211"/>
    <mergeCell ref="I211:M211"/>
    <mergeCell ref="E212:H212"/>
    <mergeCell ref="I212:M212"/>
    <mergeCell ref="N212:O212"/>
    <mergeCell ref="E213:H213"/>
    <mergeCell ref="E209:H209"/>
    <mergeCell ref="I209:M209"/>
    <mergeCell ref="I213:M213"/>
    <mergeCell ref="N213:O213"/>
    <mergeCell ref="E214:H214"/>
    <mergeCell ref="I214:M214"/>
    <mergeCell ref="N214:O214"/>
    <mergeCell ref="C22:N24"/>
    <mergeCell ref="D59:N60"/>
    <mergeCell ref="D63:N64"/>
    <mergeCell ref="O63:O64"/>
    <mergeCell ref="D65:N66"/>
    <mergeCell ref="O65:O66"/>
    <mergeCell ref="O57:O58"/>
    <mergeCell ref="E99:H99"/>
    <mergeCell ref="I99:M99"/>
    <mergeCell ref="N99:O99"/>
    <mergeCell ref="M26:N27"/>
    <mergeCell ref="D56:F56"/>
    <mergeCell ref="D57:N58"/>
    <mergeCell ref="D67:N68"/>
    <mergeCell ref="O67:O68"/>
    <mergeCell ref="O59:O60"/>
    <mergeCell ref="O61:O62"/>
    <mergeCell ref="D61:N62"/>
    <mergeCell ref="D92:O93"/>
    <mergeCell ref="N94:O94"/>
    <mergeCell ref="D95:D96"/>
    <mergeCell ref="E95:H96"/>
    <mergeCell ref="I95:M96"/>
    <mergeCell ref="N95:O96"/>
    <mergeCell ref="E101:H101"/>
    <mergeCell ref="I101:M101"/>
    <mergeCell ref="N101:O101"/>
    <mergeCell ref="N97:O97"/>
    <mergeCell ref="E98:H98"/>
    <mergeCell ref="I98:M98"/>
    <mergeCell ref="N98:O98"/>
    <mergeCell ref="E100:H100"/>
    <mergeCell ref="I100:M100"/>
    <mergeCell ref="N100:O100"/>
    <mergeCell ref="E97:H97"/>
    <mergeCell ref="I97:M97"/>
  </mergeCells>
  <pageMargins left="0.25" right="0.25" top="0.75" bottom="0.75" header="0.3" footer="0.3"/>
  <pageSetup scale="7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2609-223E-4328-82BF-777EE28194D0}">
  <sheetPr>
    <tabColor rgb="FF003300"/>
    <pageSetUpPr fitToPage="1"/>
  </sheetPr>
  <dimension ref="A1:XFB743"/>
  <sheetViews>
    <sheetView rightToLeft="1" tabSelected="1" view="pageBreakPreview" topLeftCell="A728" zoomScale="40" zoomScaleNormal="85" zoomScaleSheetLayoutView="40" workbookViewId="0">
      <selection activeCell="E2" sqref="E2"/>
    </sheetView>
  </sheetViews>
  <sheetFormatPr defaultColWidth="9" defaultRowHeight="49.5" customHeight="1"/>
  <cols>
    <col min="1" max="1" width="10.42578125" bestFit="1" customWidth="1"/>
    <col min="2" max="2" width="32.28515625" bestFit="1" customWidth="1"/>
    <col min="3" max="3" width="129.28515625" customWidth="1"/>
    <col min="4" max="4" width="24.42578125" hidden="1" customWidth="1"/>
    <col min="5" max="5" width="27.85546875" customWidth="1"/>
    <col min="6" max="6" width="70.5703125" hidden="1" customWidth="1"/>
    <col min="7" max="7" width="23.7109375" customWidth="1"/>
    <col min="8" max="8" width="59.85546875" customWidth="1"/>
    <col min="9" max="9" width="59.85546875" hidden="1" customWidth="1"/>
    <col min="10" max="10" width="59.85546875" customWidth="1"/>
    <col min="11" max="11" width="36.140625" customWidth="1"/>
    <col min="12" max="12" width="255.7109375" bestFit="1" customWidth="1"/>
    <col min="13" max="13" width="20.28515625" bestFit="1" customWidth="1"/>
    <col min="255" max="255" width="5.28515625" customWidth="1"/>
    <col min="256" max="256" width="27.7109375" customWidth="1"/>
    <col min="257" max="257" width="65.85546875" customWidth="1"/>
    <col min="258" max="258" width="21.7109375" bestFit="1" customWidth="1"/>
    <col min="259" max="259" width="18.140625" bestFit="1" customWidth="1"/>
    <col min="260" max="260" width="17.85546875" bestFit="1" customWidth="1"/>
    <col min="511" max="511" width="5.28515625" customWidth="1"/>
    <col min="512" max="512" width="27.7109375" customWidth="1"/>
    <col min="513" max="513" width="65.85546875" customWidth="1"/>
    <col min="514" max="514" width="21.7109375" bestFit="1" customWidth="1"/>
    <col min="515" max="515" width="18.140625" bestFit="1" customWidth="1"/>
    <col min="516" max="516" width="17.85546875" bestFit="1" customWidth="1"/>
    <col min="767" max="767" width="5.28515625" customWidth="1"/>
    <col min="768" max="768" width="27.7109375" customWidth="1"/>
    <col min="769" max="769" width="65.85546875" customWidth="1"/>
    <col min="770" max="770" width="21.7109375" bestFit="1" customWidth="1"/>
    <col min="771" max="771" width="18.140625" bestFit="1" customWidth="1"/>
    <col min="772" max="772" width="17.85546875" bestFit="1" customWidth="1"/>
    <col min="1023" max="1023" width="5.28515625" customWidth="1"/>
    <col min="1024" max="1024" width="27.7109375" customWidth="1"/>
    <col min="1025" max="1025" width="65.85546875" customWidth="1"/>
    <col min="1026" max="1026" width="21.7109375" bestFit="1" customWidth="1"/>
    <col min="1027" max="1027" width="18.140625" bestFit="1" customWidth="1"/>
    <col min="1028" max="1028" width="17.85546875" bestFit="1" customWidth="1"/>
    <col min="1279" max="1279" width="5.28515625" customWidth="1"/>
    <col min="1280" max="1280" width="27.7109375" customWidth="1"/>
    <col min="1281" max="1281" width="65.85546875" customWidth="1"/>
    <col min="1282" max="1282" width="21.7109375" bestFit="1" customWidth="1"/>
    <col min="1283" max="1283" width="18.140625" bestFit="1" customWidth="1"/>
    <col min="1284" max="1284" width="17.85546875" bestFit="1" customWidth="1"/>
    <col min="1535" max="1535" width="5.28515625" customWidth="1"/>
    <col min="1536" max="1536" width="27.7109375" customWidth="1"/>
    <col min="1537" max="1537" width="65.85546875" customWidth="1"/>
    <col min="1538" max="1538" width="21.7109375" bestFit="1" customWidth="1"/>
    <col min="1539" max="1539" width="18.140625" bestFit="1" customWidth="1"/>
    <col min="1540" max="1540" width="17.85546875" bestFit="1" customWidth="1"/>
    <col min="1791" max="1791" width="5.28515625" customWidth="1"/>
    <col min="1792" max="1792" width="27.7109375" customWidth="1"/>
    <col min="1793" max="1793" width="65.85546875" customWidth="1"/>
    <col min="1794" max="1794" width="21.7109375" bestFit="1" customWidth="1"/>
    <col min="1795" max="1795" width="18.140625" bestFit="1" customWidth="1"/>
    <col min="1796" max="1796" width="17.85546875" bestFit="1" customWidth="1"/>
    <col min="2047" max="2047" width="5.28515625" customWidth="1"/>
    <col min="2048" max="2048" width="27.7109375" customWidth="1"/>
    <col min="2049" max="2049" width="65.85546875" customWidth="1"/>
    <col min="2050" max="2050" width="21.7109375" bestFit="1" customWidth="1"/>
    <col min="2051" max="2051" width="18.140625" bestFit="1" customWidth="1"/>
    <col min="2052" max="2052" width="17.85546875" bestFit="1" customWidth="1"/>
    <col min="2303" max="2303" width="5.28515625" customWidth="1"/>
    <col min="2304" max="2304" width="27.7109375" customWidth="1"/>
    <col min="2305" max="2305" width="65.85546875" customWidth="1"/>
    <col min="2306" max="2306" width="21.7109375" bestFit="1" customWidth="1"/>
    <col min="2307" max="2307" width="18.140625" bestFit="1" customWidth="1"/>
    <col min="2308" max="2308" width="17.85546875" bestFit="1" customWidth="1"/>
    <col min="2559" max="2559" width="5.28515625" customWidth="1"/>
    <col min="2560" max="2560" width="27.7109375" customWidth="1"/>
    <col min="2561" max="2561" width="65.85546875" customWidth="1"/>
    <col min="2562" max="2562" width="21.7109375" bestFit="1" customWidth="1"/>
    <col min="2563" max="2563" width="18.140625" bestFit="1" customWidth="1"/>
    <col min="2564" max="2564" width="17.85546875" bestFit="1" customWidth="1"/>
    <col min="2815" max="2815" width="5.28515625" customWidth="1"/>
    <col min="2816" max="2816" width="27.7109375" customWidth="1"/>
    <col min="2817" max="2817" width="65.85546875" customWidth="1"/>
    <col min="2818" max="2818" width="21.7109375" bestFit="1" customWidth="1"/>
    <col min="2819" max="2819" width="18.140625" bestFit="1" customWidth="1"/>
    <col min="2820" max="2820" width="17.85546875" bestFit="1" customWidth="1"/>
    <col min="3071" max="3071" width="5.28515625" customWidth="1"/>
    <col min="3072" max="3072" width="27.7109375" customWidth="1"/>
    <col min="3073" max="3073" width="65.85546875" customWidth="1"/>
    <col min="3074" max="3074" width="21.7109375" bestFit="1" customWidth="1"/>
    <col min="3075" max="3075" width="18.140625" bestFit="1" customWidth="1"/>
    <col min="3076" max="3076" width="17.85546875" bestFit="1" customWidth="1"/>
    <col min="3327" max="3327" width="5.28515625" customWidth="1"/>
    <col min="3328" max="3328" width="27.7109375" customWidth="1"/>
    <col min="3329" max="3329" width="65.85546875" customWidth="1"/>
    <col min="3330" max="3330" width="21.7109375" bestFit="1" customWidth="1"/>
    <col min="3331" max="3331" width="18.140625" bestFit="1" customWidth="1"/>
    <col min="3332" max="3332" width="17.85546875" bestFit="1" customWidth="1"/>
    <col min="3583" max="3583" width="5.28515625" customWidth="1"/>
    <col min="3584" max="3584" width="27.7109375" customWidth="1"/>
    <col min="3585" max="3585" width="65.85546875" customWidth="1"/>
    <col min="3586" max="3586" width="21.7109375" bestFit="1" customWidth="1"/>
    <col min="3587" max="3587" width="18.140625" bestFit="1" customWidth="1"/>
    <col min="3588" max="3588" width="17.85546875" bestFit="1" customWidth="1"/>
    <col min="3839" max="3839" width="5.28515625" customWidth="1"/>
    <col min="3840" max="3840" width="27.7109375" customWidth="1"/>
    <col min="3841" max="3841" width="65.85546875" customWidth="1"/>
    <col min="3842" max="3842" width="21.7109375" bestFit="1" customWidth="1"/>
    <col min="3843" max="3843" width="18.140625" bestFit="1" customWidth="1"/>
    <col min="3844" max="3844" width="17.85546875" bestFit="1" customWidth="1"/>
    <col min="4095" max="4095" width="5.28515625" customWidth="1"/>
    <col min="4096" max="4096" width="27.7109375" customWidth="1"/>
    <col min="4097" max="4097" width="65.85546875" customWidth="1"/>
    <col min="4098" max="4098" width="21.7109375" bestFit="1" customWidth="1"/>
    <col min="4099" max="4099" width="18.140625" bestFit="1" customWidth="1"/>
    <col min="4100" max="4100" width="17.85546875" bestFit="1" customWidth="1"/>
    <col min="4351" max="4351" width="5.28515625" customWidth="1"/>
    <col min="4352" max="4352" width="27.7109375" customWidth="1"/>
    <col min="4353" max="4353" width="65.85546875" customWidth="1"/>
    <col min="4354" max="4354" width="21.7109375" bestFit="1" customWidth="1"/>
    <col min="4355" max="4355" width="18.140625" bestFit="1" customWidth="1"/>
    <col min="4356" max="4356" width="17.85546875" bestFit="1" customWidth="1"/>
    <col min="4607" max="4607" width="5.28515625" customWidth="1"/>
    <col min="4608" max="4608" width="27.7109375" customWidth="1"/>
    <col min="4609" max="4609" width="65.85546875" customWidth="1"/>
    <col min="4610" max="4610" width="21.7109375" bestFit="1" customWidth="1"/>
    <col min="4611" max="4611" width="18.140625" bestFit="1" customWidth="1"/>
    <col min="4612" max="4612" width="17.85546875" bestFit="1" customWidth="1"/>
    <col min="4863" max="4863" width="5.28515625" customWidth="1"/>
    <col min="4864" max="4864" width="27.7109375" customWidth="1"/>
    <col min="4865" max="4865" width="65.85546875" customWidth="1"/>
    <col min="4866" max="4866" width="21.7109375" bestFit="1" customWidth="1"/>
    <col min="4867" max="4867" width="18.140625" bestFit="1" customWidth="1"/>
    <col min="4868" max="4868" width="17.85546875" bestFit="1" customWidth="1"/>
    <col min="5119" max="5119" width="5.28515625" customWidth="1"/>
    <col min="5120" max="5120" width="27.7109375" customWidth="1"/>
    <col min="5121" max="5121" width="65.85546875" customWidth="1"/>
    <col min="5122" max="5122" width="21.7109375" bestFit="1" customWidth="1"/>
    <col min="5123" max="5123" width="18.140625" bestFit="1" customWidth="1"/>
    <col min="5124" max="5124" width="17.85546875" bestFit="1" customWidth="1"/>
    <col min="5375" max="5375" width="5.28515625" customWidth="1"/>
    <col min="5376" max="5376" width="27.7109375" customWidth="1"/>
    <col min="5377" max="5377" width="65.85546875" customWidth="1"/>
    <col min="5378" max="5378" width="21.7109375" bestFit="1" customWidth="1"/>
    <col min="5379" max="5379" width="18.140625" bestFit="1" customWidth="1"/>
    <col min="5380" max="5380" width="17.85546875" bestFit="1" customWidth="1"/>
    <col min="5631" max="5631" width="5.28515625" customWidth="1"/>
    <col min="5632" max="5632" width="27.7109375" customWidth="1"/>
    <col min="5633" max="5633" width="65.85546875" customWidth="1"/>
    <col min="5634" max="5634" width="21.7109375" bestFit="1" customWidth="1"/>
    <col min="5635" max="5635" width="18.140625" bestFit="1" customWidth="1"/>
    <col min="5636" max="5636" width="17.85546875" bestFit="1" customWidth="1"/>
    <col min="5887" max="5887" width="5.28515625" customWidth="1"/>
    <col min="5888" max="5888" width="27.7109375" customWidth="1"/>
    <col min="5889" max="5889" width="65.85546875" customWidth="1"/>
    <col min="5890" max="5890" width="21.7109375" bestFit="1" customWidth="1"/>
    <col min="5891" max="5891" width="18.140625" bestFit="1" customWidth="1"/>
    <col min="5892" max="5892" width="17.85546875" bestFit="1" customWidth="1"/>
    <col min="6143" max="6143" width="5.28515625" customWidth="1"/>
    <col min="6144" max="6144" width="27.7109375" customWidth="1"/>
    <col min="6145" max="6145" width="65.85546875" customWidth="1"/>
    <col min="6146" max="6146" width="21.7109375" bestFit="1" customWidth="1"/>
    <col min="6147" max="6147" width="18.140625" bestFit="1" customWidth="1"/>
    <col min="6148" max="6148" width="17.85546875" bestFit="1" customWidth="1"/>
    <col min="6399" max="6399" width="5.28515625" customWidth="1"/>
    <col min="6400" max="6400" width="27.7109375" customWidth="1"/>
    <col min="6401" max="6401" width="65.85546875" customWidth="1"/>
    <col min="6402" max="6402" width="21.7109375" bestFit="1" customWidth="1"/>
    <col min="6403" max="6403" width="18.140625" bestFit="1" customWidth="1"/>
    <col min="6404" max="6404" width="17.85546875" bestFit="1" customWidth="1"/>
    <col min="6655" max="6655" width="5.28515625" customWidth="1"/>
    <col min="6656" max="6656" width="27.7109375" customWidth="1"/>
    <col min="6657" max="6657" width="65.85546875" customWidth="1"/>
    <col min="6658" max="6658" width="21.7109375" bestFit="1" customWidth="1"/>
    <col min="6659" max="6659" width="18.140625" bestFit="1" customWidth="1"/>
    <col min="6660" max="6660" width="17.85546875" bestFit="1" customWidth="1"/>
    <col min="6911" max="6911" width="5.28515625" customWidth="1"/>
    <col min="6912" max="6912" width="27.7109375" customWidth="1"/>
    <col min="6913" max="6913" width="65.85546875" customWidth="1"/>
    <col min="6914" max="6914" width="21.7109375" bestFit="1" customWidth="1"/>
    <col min="6915" max="6915" width="18.140625" bestFit="1" customWidth="1"/>
    <col min="6916" max="6916" width="17.85546875" bestFit="1" customWidth="1"/>
    <col min="7167" max="7167" width="5.28515625" customWidth="1"/>
    <col min="7168" max="7168" width="27.7109375" customWidth="1"/>
    <col min="7169" max="7169" width="65.85546875" customWidth="1"/>
    <col min="7170" max="7170" width="21.7109375" bestFit="1" customWidth="1"/>
    <col min="7171" max="7171" width="18.140625" bestFit="1" customWidth="1"/>
    <col min="7172" max="7172" width="17.85546875" bestFit="1" customWidth="1"/>
    <col min="7423" max="7423" width="5.28515625" customWidth="1"/>
    <col min="7424" max="7424" width="27.7109375" customWidth="1"/>
    <col min="7425" max="7425" width="65.85546875" customWidth="1"/>
    <col min="7426" max="7426" width="21.7109375" bestFit="1" customWidth="1"/>
    <col min="7427" max="7427" width="18.140625" bestFit="1" customWidth="1"/>
    <col min="7428" max="7428" width="17.85546875" bestFit="1" customWidth="1"/>
    <col min="7679" max="7679" width="5.28515625" customWidth="1"/>
    <col min="7680" max="7680" width="27.7109375" customWidth="1"/>
    <col min="7681" max="7681" width="65.85546875" customWidth="1"/>
    <col min="7682" max="7682" width="21.7109375" bestFit="1" customWidth="1"/>
    <col min="7683" max="7683" width="18.140625" bestFit="1" customWidth="1"/>
    <col min="7684" max="7684" width="17.85546875" bestFit="1" customWidth="1"/>
    <col min="7935" max="7935" width="5.28515625" customWidth="1"/>
    <col min="7936" max="7936" width="27.7109375" customWidth="1"/>
    <col min="7937" max="7937" width="65.85546875" customWidth="1"/>
    <col min="7938" max="7938" width="21.7109375" bestFit="1" customWidth="1"/>
    <col min="7939" max="7939" width="18.140625" bestFit="1" customWidth="1"/>
    <col min="7940" max="7940" width="17.85546875" bestFit="1" customWidth="1"/>
    <col min="8191" max="8191" width="5.28515625" customWidth="1"/>
    <col min="8192" max="8192" width="27.7109375" customWidth="1"/>
    <col min="8193" max="8193" width="65.85546875" customWidth="1"/>
    <col min="8194" max="8194" width="21.7109375" bestFit="1" customWidth="1"/>
    <col min="8195" max="8195" width="18.140625" bestFit="1" customWidth="1"/>
    <col min="8196" max="8196" width="17.85546875" bestFit="1" customWidth="1"/>
    <col min="8447" max="8447" width="5.28515625" customWidth="1"/>
    <col min="8448" max="8448" width="27.7109375" customWidth="1"/>
    <col min="8449" max="8449" width="65.85546875" customWidth="1"/>
    <col min="8450" max="8450" width="21.7109375" bestFit="1" customWidth="1"/>
    <col min="8451" max="8451" width="18.140625" bestFit="1" customWidth="1"/>
    <col min="8452" max="8452" width="17.85546875" bestFit="1" customWidth="1"/>
    <col min="8703" max="8703" width="5.28515625" customWidth="1"/>
    <col min="8704" max="8704" width="27.7109375" customWidth="1"/>
    <col min="8705" max="8705" width="65.85546875" customWidth="1"/>
    <col min="8706" max="8706" width="21.7109375" bestFit="1" customWidth="1"/>
    <col min="8707" max="8707" width="18.140625" bestFit="1" customWidth="1"/>
    <col min="8708" max="8708" width="17.85546875" bestFit="1" customWidth="1"/>
    <col min="8959" max="8959" width="5.28515625" customWidth="1"/>
    <col min="8960" max="8960" width="27.7109375" customWidth="1"/>
    <col min="8961" max="8961" width="65.85546875" customWidth="1"/>
    <col min="8962" max="8962" width="21.7109375" bestFit="1" customWidth="1"/>
    <col min="8963" max="8963" width="18.140625" bestFit="1" customWidth="1"/>
    <col min="8964" max="8964" width="17.85546875" bestFit="1" customWidth="1"/>
    <col min="9215" max="9215" width="5.28515625" customWidth="1"/>
    <col min="9216" max="9216" width="27.7109375" customWidth="1"/>
    <col min="9217" max="9217" width="65.85546875" customWidth="1"/>
    <col min="9218" max="9218" width="21.7109375" bestFit="1" customWidth="1"/>
    <col min="9219" max="9219" width="18.140625" bestFit="1" customWidth="1"/>
    <col min="9220" max="9220" width="17.85546875" bestFit="1" customWidth="1"/>
    <col min="9471" max="9471" width="5.28515625" customWidth="1"/>
    <col min="9472" max="9472" width="27.7109375" customWidth="1"/>
    <col min="9473" max="9473" width="65.85546875" customWidth="1"/>
    <col min="9474" max="9474" width="21.7109375" bestFit="1" customWidth="1"/>
    <col min="9475" max="9475" width="18.140625" bestFit="1" customWidth="1"/>
    <col min="9476" max="9476" width="17.85546875" bestFit="1" customWidth="1"/>
    <col min="9727" max="9727" width="5.28515625" customWidth="1"/>
    <col min="9728" max="9728" width="27.7109375" customWidth="1"/>
    <col min="9729" max="9729" width="65.85546875" customWidth="1"/>
    <col min="9730" max="9730" width="21.7109375" bestFit="1" customWidth="1"/>
    <col min="9731" max="9731" width="18.140625" bestFit="1" customWidth="1"/>
    <col min="9732" max="9732" width="17.85546875" bestFit="1" customWidth="1"/>
    <col min="9983" max="9983" width="5.28515625" customWidth="1"/>
    <col min="9984" max="9984" width="27.7109375" customWidth="1"/>
    <col min="9985" max="9985" width="65.85546875" customWidth="1"/>
    <col min="9986" max="9986" width="21.7109375" bestFit="1" customWidth="1"/>
    <col min="9987" max="9987" width="18.140625" bestFit="1" customWidth="1"/>
    <col min="9988" max="9988" width="17.85546875" bestFit="1" customWidth="1"/>
    <col min="10239" max="10239" width="5.28515625" customWidth="1"/>
    <col min="10240" max="10240" width="27.7109375" customWidth="1"/>
    <col min="10241" max="10241" width="65.85546875" customWidth="1"/>
    <col min="10242" max="10242" width="21.7109375" bestFit="1" customWidth="1"/>
    <col min="10243" max="10243" width="18.140625" bestFit="1" customWidth="1"/>
    <col min="10244" max="10244" width="17.85546875" bestFit="1" customWidth="1"/>
    <col min="10495" max="10495" width="5.28515625" customWidth="1"/>
    <col min="10496" max="10496" width="27.7109375" customWidth="1"/>
    <col min="10497" max="10497" width="65.85546875" customWidth="1"/>
    <col min="10498" max="10498" width="21.7109375" bestFit="1" customWidth="1"/>
    <col min="10499" max="10499" width="18.140625" bestFit="1" customWidth="1"/>
    <col min="10500" max="10500" width="17.85546875" bestFit="1" customWidth="1"/>
    <col min="10751" max="10751" width="5.28515625" customWidth="1"/>
    <col min="10752" max="10752" width="27.7109375" customWidth="1"/>
    <col min="10753" max="10753" width="65.85546875" customWidth="1"/>
    <col min="10754" max="10754" width="21.7109375" bestFit="1" customWidth="1"/>
    <col min="10755" max="10755" width="18.140625" bestFit="1" customWidth="1"/>
    <col min="10756" max="10756" width="17.85546875" bestFit="1" customWidth="1"/>
    <col min="11007" max="11007" width="5.28515625" customWidth="1"/>
    <col min="11008" max="11008" width="27.7109375" customWidth="1"/>
    <col min="11009" max="11009" width="65.85546875" customWidth="1"/>
    <col min="11010" max="11010" width="21.7109375" bestFit="1" customWidth="1"/>
    <col min="11011" max="11011" width="18.140625" bestFit="1" customWidth="1"/>
    <col min="11012" max="11012" width="17.85546875" bestFit="1" customWidth="1"/>
    <col min="11263" max="11263" width="5.28515625" customWidth="1"/>
    <col min="11264" max="11264" width="27.7109375" customWidth="1"/>
    <col min="11265" max="11265" width="65.85546875" customWidth="1"/>
    <col min="11266" max="11266" width="21.7109375" bestFit="1" customWidth="1"/>
    <col min="11267" max="11267" width="18.140625" bestFit="1" customWidth="1"/>
    <col min="11268" max="11268" width="17.85546875" bestFit="1" customWidth="1"/>
    <col min="11519" max="11519" width="5.28515625" customWidth="1"/>
    <col min="11520" max="11520" width="27.7109375" customWidth="1"/>
    <col min="11521" max="11521" width="65.85546875" customWidth="1"/>
    <col min="11522" max="11522" width="21.7109375" bestFit="1" customWidth="1"/>
    <col min="11523" max="11523" width="18.140625" bestFit="1" customWidth="1"/>
    <col min="11524" max="11524" width="17.85546875" bestFit="1" customWidth="1"/>
    <col min="11775" max="11775" width="5.28515625" customWidth="1"/>
    <col min="11776" max="11776" width="27.7109375" customWidth="1"/>
    <col min="11777" max="11777" width="65.85546875" customWidth="1"/>
    <col min="11778" max="11778" width="21.7109375" bestFit="1" customWidth="1"/>
    <col min="11779" max="11779" width="18.140625" bestFit="1" customWidth="1"/>
    <col min="11780" max="11780" width="17.85546875" bestFit="1" customWidth="1"/>
    <col min="12031" max="12031" width="5.28515625" customWidth="1"/>
    <col min="12032" max="12032" width="27.7109375" customWidth="1"/>
    <col min="12033" max="12033" width="65.85546875" customWidth="1"/>
    <col min="12034" max="12034" width="21.7109375" bestFit="1" customWidth="1"/>
    <col min="12035" max="12035" width="18.140625" bestFit="1" customWidth="1"/>
    <col min="12036" max="12036" width="17.85546875" bestFit="1" customWidth="1"/>
    <col min="12287" max="12287" width="5.28515625" customWidth="1"/>
    <col min="12288" max="12288" width="27.7109375" customWidth="1"/>
    <col min="12289" max="12289" width="65.85546875" customWidth="1"/>
    <col min="12290" max="12290" width="21.7109375" bestFit="1" customWidth="1"/>
    <col min="12291" max="12291" width="18.140625" bestFit="1" customWidth="1"/>
    <col min="12292" max="12292" width="17.85546875" bestFit="1" customWidth="1"/>
    <col min="12543" max="12543" width="5.28515625" customWidth="1"/>
    <col min="12544" max="12544" width="27.7109375" customWidth="1"/>
    <col min="12545" max="12545" width="65.85546875" customWidth="1"/>
    <col min="12546" max="12546" width="21.7109375" bestFit="1" customWidth="1"/>
    <col min="12547" max="12547" width="18.140625" bestFit="1" customWidth="1"/>
    <col min="12548" max="12548" width="17.85546875" bestFit="1" customWidth="1"/>
    <col min="12799" max="12799" width="5.28515625" customWidth="1"/>
    <col min="12800" max="12800" width="27.7109375" customWidth="1"/>
    <col min="12801" max="12801" width="65.85546875" customWidth="1"/>
    <col min="12802" max="12802" width="21.7109375" bestFit="1" customWidth="1"/>
    <col min="12803" max="12803" width="18.140625" bestFit="1" customWidth="1"/>
    <col min="12804" max="12804" width="17.85546875" bestFit="1" customWidth="1"/>
    <col min="13055" max="13055" width="5.28515625" customWidth="1"/>
    <col min="13056" max="13056" width="27.7109375" customWidth="1"/>
    <col min="13057" max="13057" width="65.85546875" customWidth="1"/>
    <col min="13058" max="13058" width="21.7109375" bestFit="1" customWidth="1"/>
    <col min="13059" max="13059" width="18.140625" bestFit="1" customWidth="1"/>
    <col min="13060" max="13060" width="17.85546875" bestFit="1" customWidth="1"/>
    <col min="13311" max="13311" width="5.28515625" customWidth="1"/>
    <col min="13312" max="13312" width="27.7109375" customWidth="1"/>
    <col min="13313" max="13313" width="65.85546875" customWidth="1"/>
    <col min="13314" max="13314" width="21.7109375" bestFit="1" customWidth="1"/>
    <col min="13315" max="13315" width="18.140625" bestFit="1" customWidth="1"/>
    <col min="13316" max="13316" width="17.85546875" bestFit="1" customWidth="1"/>
    <col min="13567" max="13567" width="5.28515625" customWidth="1"/>
    <col min="13568" max="13568" width="27.7109375" customWidth="1"/>
    <col min="13569" max="13569" width="65.85546875" customWidth="1"/>
    <col min="13570" max="13570" width="21.7109375" bestFit="1" customWidth="1"/>
    <col min="13571" max="13571" width="18.140625" bestFit="1" customWidth="1"/>
    <col min="13572" max="13572" width="17.85546875" bestFit="1" customWidth="1"/>
    <col min="13823" max="13823" width="5.28515625" customWidth="1"/>
    <col min="13824" max="13824" width="27.7109375" customWidth="1"/>
    <col min="13825" max="13825" width="65.85546875" customWidth="1"/>
    <col min="13826" max="13826" width="21.7109375" bestFit="1" customWidth="1"/>
    <col min="13827" max="13827" width="18.140625" bestFit="1" customWidth="1"/>
    <col min="13828" max="13828" width="17.85546875" bestFit="1" customWidth="1"/>
    <col min="14079" max="14079" width="5.28515625" customWidth="1"/>
    <col min="14080" max="14080" width="27.7109375" customWidth="1"/>
    <col min="14081" max="14081" width="65.85546875" customWidth="1"/>
    <col min="14082" max="14082" width="21.7109375" bestFit="1" customWidth="1"/>
    <col min="14083" max="14083" width="18.140625" bestFit="1" customWidth="1"/>
    <col min="14084" max="14084" width="17.85546875" bestFit="1" customWidth="1"/>
    <col min="14335" max="14335" width="5.28515625" customWidth="1"/>
    <col min="14336" max="14336" width="27.7109375" customWidth="1"/>
    <col min="14337" max="14337" width="65.85546875" customWidth="1"/>
    <col min="14338" max="14338" width="21.7109375" bestFit="1" customWidth="1"/>
    <col min="14339" max="14339" width="18.140625" bestFit="1" customWidth="1"/>
    <col min="14340" max="14340" width="17.85546875" bestFit="1" customWidth="1"/>
    <col min="14591" max="14591" width="5.28515625" customWidth="1"/>
    <col min="14592" max="14592" width="27.7109375" customWidth="1"/>
    <col min="14593" max="14593" width="65.85546875" customWidth="1"/>
    <col min="14594" max="14594" width="21.7109375" bestFit="1" customWidth="1"/>
    <col min="14595" max="14595" width="18.140625" bestFit="1" customWidth="1"/>
    <col min="14596" max="14596" width="17.85546875" bestFit="1" customWidth="1"/>
    <col min="14847" max="14847" width="5.28515625" customWidth="1"/>
    <col min="14848" max="14848" width="27.7109375" customWidth="1"/>
    <col min="14849" max="14849" width="65.85546875" customWidth="1"/>
    <col min="14850" max="14850" width="21.7109375" bestFit="1" customWidth="1"/>
    <col min="14851" max="14851" width="18.140625" bestFit="1" customWidth="1"/>
    <col min="14852" max="14852" width="17.85546875" bestFit="1" customWidth="1"/>
    <col min="15103" max="15103" width="5.28515625" customWidth="1"/>
    <col min="15104" max="15104" width="27.7109375" customWidth="1"/>
    <col min="15105" max="15105" width="65.85546875" customWidth="1"/>
    <col min="15106" max="15106" width="21.7109375" bestFit="1" customWidth="1"/>
    <col min="15107" max="15107" width="18.140625" bestFit="1" customWidth="1"/>
    <col min="15108" max="15108" width="17.85546875" bestFit="1" customWidth="1"/>
    <col min="15359" max="15359" width="5.28515625" customWidth="1"/>
    <col min="15360" max="15360" width="27.7109375" customWidth="1"/>
    <col min="15361" max="15361" width="65.85546875" customWidth="1"/>
    <col min="15362" max="15362" width="21.7109375" bestFit="1" customWidth="1"/>
    <col min="15363" max="15363" width="18.140625" bestFit="1" customWidth="1"/>
    <col min="15364" max="15364" width="17.85546875" bestFit="1" customWidth="1"/>
    <col min="15615" max="15615" width="5.28515625" customWidth="1"/>
    <col min="15616" max="15616" width="27.7109375" customWidth="1"/>
    <col min="15617" max="15617" width="65.85546875" customWidth="1"/>
    <col min="15618" max="15618" width="21.7109375" bestFit="1" customWidth="1"/>
    <col min="15619" max="15619" width="18.140625" bestFit="1" customWidth="1"/>
    <col min="15620" max="15620" width="17.85546875" bestFit="1" customWidth="1"/>
    <col min="15871" max="15871" width="5.28515625" customWidth="1"/>
    <col min="15872" max="15872" width="27.7109375" customWidth="1"/>
    <col min="15873" max="15873" width="65.85546875" customWidth="1"/>
    <col min="15874" max="15874" width="21.7109375" bestFit="1" customWidth="1"/>
    <col min="15875" max="15875" width="18.140625" bestFit="1" customWidth="1"/>
    <col min="15876" max="15876" width="17.85546875" bestFit="1" customWidth="1"/>
    <col min="16127" max="16127" width="5.28515625" customWidth="1"/>
    <col min="16128" max="16128" width="27.7109375" customWidth="1"/>
    <col min="16129" max="16129" width="65.85546875" customWidth="1"/>
    <col min="16130" max="16130" width="21.7109375" bestFit="1" customWidth="1"/>
    <col min="16131" max="16131" width="18.140625" bestFit="1" customWidth="1"/>
    <col min="16132" max="16132" width="17.85546875" bestFit="1" customWidth="1"/>
  </cols>
  <sheetData>
    <row r="1" spans="1:14" s="11" customFormat="1" ht="49.5" customHeight="1">
      <c r="A1" s="253" t="s">
        <v>743</v>
      </c>
      <c r="B1" s="253"/>
      <c r="C1" s="253"/>
      <c r="D1" s="253"/>
      <c r="E1" s="278" t="s">
        <v>1642</v>
      </c>
      <c r="F1" s="32"/>
      <c r="G1" s="33"/>
      <c r="H1" s="29"/>
      <c r="J1"/>
      <c r="K1"/>
      <c r="L1"/>
      <c r="M1"/>
      <c r="N1"/>
    </row>
    <row r="2" spans="1:14" s="11" customFormat="1" ht="49.5" customHeight="1">
      <c r="A2" s="253" t="s">
        <v>432</v>
      </c>
      <c r="B2" s="253"/>
      <c r="C2" s="253"/>
      <c r="D2" s="253"/>
      <c r="E2" s="31"/>
      <c r="F2" s="32"/>
      <c r="G2" s="33"/>
      <c r="H2" s="29"/>
      <c r="I2"/>
      <c r="J2"/>
      <c r="K2"/>
      <c r="L2"/>
      <c r="M2"/>
      <c r="N2"/>
    </row>
    <row r="3" spans="1:14" s="11" customFormat="1" ht="49.5" customHeight="1">
      <c r="A3" s="13" t="s">
        <v>0</v>
      </c>
      <c r="B3" s="14" t="s">
        <v>1</v>
      </c>
      <c r="C3" s="34" t="s">
        <v>2</v>
      </c>
      <c r="D3" s="23" t="s">
        <v>251</v>
      </c>
      <c r="E3" s="23" t="s">
        <v>464</v>
      </c>
      <c r="F3" s="35" t="s">
        <v>716</v>
      </c>
      <c r="G3" s="33"/>
      <c r="H3" s="29"/>
      <c r="I3" s="33" t="s">
        <v>1101</v>
      </c>
      <c r="J3"/>
      <c r="K3"/>
      <c r="L3"/>
      <c r="M3"/>
      <c r="N3"/>
    </row>
    <row r="4" spans="1:14" s="11" customFormat="1" ht="49.5" customHeight="1">
      <c r="A4" s="15">
        <v>1</v>
      </c>
      <c r="B4" s="16">
        <v>2110010000</v>
      </c>
      <c r="C4" s="36" t="s">
        <v>433</v>
      </c>
      <c r="D4" s="24">
        <v>4831700000</v>
      </c>
      <c r="E4" s="26">
        <f>E5+E6+E7+E7</f>
        <v>5751000000</v>
      </c>
      <c r="F4" s="37"/>
      <c r="G4" s="33"/>
      <c r="H4" s="49"/>
      <c r="I4" s="80">
        <v>1</v>
      </c>
      <c r="J4"/>
      <c r="K4" s="125"/>
      <c r="L4"/>
      <c r="M4"/>
      <c r="N4"/>
    </row>
    <row r="5" spans="1:14" s="11" customFormat="1" ht="49.5" customHeight="1">
      <c r="A5" s="15">
        <f t="shared" ref="A5:A12" si="0">A4+1</f>
        <v>2</v>
      </c>
      <c r="B5" s="16">
        <v>2110010300</v>
      </c>
      <c r="C5" s="36" t="s">
        <v>434</v>
      </c>
      <c r="D5" s="24">
        <v>1584600000</v>
      </c>
      <c r="E5" s="26">
        <f>E16+(10*$H$12)</f>
        <v>1886000000</v>
      </c>
      <c r="F5" s="37" t="str">
        <f t="shared" ref="F5:F7" si="1">LEFT(B5,8)&amp;"00"</f>
        <v>2110010300</v>
      </c>
      <c r="G5" s="33"/>
      <c r="H5" s="29"/>
      <c r="I5" s="80">
        <v>2</v>
      </c>
      <c r="J5"/>
      <c r="K5" s="125"/>
      <c r="L5"/>
      <c r="M5"/>
      <c r="N5"/>
    </row>
    <row r="6" spans="1:14" s="11" customFormat="1" ht="49.5" customHeight="1">
      <c r="A6" s="15">
        <f t="shared" si="0"/>
        <v>3</v>
      </c>
      <c r="B6" s="16">
        <v>2110010200</v>
      </c>
      <c r="C6" s="36" t="s">
        <v>435</v>
      </c>
      <c r="D6" s="24">
        <v>1198300000</v>
      </c>
      <c r="E6" s="26">
        <f>E17+(8*$H$12)</f>
        <v>1425000000</v>
      </c>
      <c r="F6" s="37" t="str">
        <f t="shared" si="1"/>
        <v>2110010200</v>
      </c>
      <c r="G6" s="33"/>
      <c r="H6" s="29"/>
      <c r="I6" s="80">
        <v>3</v>
      </c>
      <c r="J6"/>
      <c r="K6" s="125"/>
      <c r="L6"/>
      <c r="M6"/>
      <c r="N6"/>
    </row>
    <row r="7" spans="1:14" s="11" customFormat="1" ht="49.5" customHeight="1">
      <c r="A7" s="15">
        <f t="shared" si="0"/>
        <v>4</v>
      </c>
      <c r="B7" s="16">
        <v>2110010100</v>
      </c>
      <c r="C7" s="36" t="s">
        <v>436</v>
      </c>
      <c r="D7" s="24">
        <v>1024400000</v>
      </c>
      <c r="E7" s="26">
        <f>E18+(6*$H$12)</f>
        <v>1220000000</v>
      </c>
      <c r="F7" s="37" t="str">
        <f t="shared" si="1"/>
        <v>2110010100</v>
      </c>
      <c r="G7" s="33"/>
      <c r="H7" s="29"/>
      <c r="I7" s="80">
        <v>4</v>
      </c>
      <c r="J7"/>
      <c r="K7" s="125"/>
      <c r="L7"/>
      <c r="M7"/>
      <c r="N7"/>
    </row>
    <row r="8" spans="1:14" s="11" customFormat="1" ht="49.5" customHeight="1">
      <c r="A8" s="15">
        <f>A7+1</f>
        <v>5</v>
      </c>
      <c r="B8" s="16" t="s">
        <v>261</v>
      </c>
      <c r="C8" s="36" t="s">
        <v>437</v>
      </c>
      <c r="D8" s="24" t="s">
        <v>442</v>
      </c>
      <c r="E8" s="26" t="s">
        <v>442</v>
      </c>
      <c r="F8" s="37"/>
      <c r="G8" s="33"/>
      <c r="H8" s="29"/>
      <c r="I8" s="80">
        <v>5</v>
      </c>
      <c r="J8"/>
      <c r="K8" s="125"/>
      <c r="L8"/>
      <c r="M8"/>
      <c r="N8"/>
    </row>
    <row r="9" spans="1:14" s="11" customFormat="1" ht="49.5" customHeight="1">
      <c r="A9" s="15">
        <f t="shared" si="0"/>
        <v>6</v>
      </c>
      <c r="B9" s="16" t="s">
        <v>261</v>
      </c>
      <c r="C9" s="36" t="s">
        <v>438</v>
      </c>
      <c r="D9" s="24" t="s">
        <v>443</v>
      </c>
      <c r="E9" s="26" t="s">
        <v>443</v>
      </c>
      <c r="F9" s="37"/>
      <c r="G9" s="33"/>
      <c r="H9" s="29"/>
      <c r="I9" s="80">
        <v>6</v>
      </c>
      <c r="J9"/>
      <c r="K9" s="125"/>
      <c r="L9"/>
      <c r="M9"/>
      <c r="N9"/>
    </row>
    <row r="10" spans="1:14" s="11" customFormat="1" ht="49.5" customHeight="1">
      <c r="A10" s="15">
        <f t="shared" si="0"/>
        <v>7</v>
      </c>
      <c r="B10" s="16" t="s">
        <v>261</v>
      </c>
      <c r="C10" s="36" t="s">
        <v>439</v>
      </c>
      <c r="D10" s="24" t="s">
        <v>444</v>
      </c>
      <c r="E10" s="26" t="s">
        <v>444</v>
      </c>
      <c r="F10" s="37"/>
      <c r="G10" s="33"/>
      <c r="H10" s="29"/>
      <c r="I10" s="80">
        <v>7</v>
      </c>
      <c r="J10"/>
      <c r="K10" s="125"/>
      <c r="L10"/>
      <c r="M10"/>
      <c r="N10"/>
    </row>
    <row r="11" spans="1:14" s="11" customFormat="1" ht="49.5" customHeight="1">
      <c r="A11" s="15">
        <f t="shared" si="0"/>
        <v>8</v>
      </c>
      <c r="B11" s="16" t="s">
        <v>261</v>
      </c>
      <c r="C11" s="36" t="s">
        <v>440</v>
      </c>
      <c r="D11" s="24" t="s">
        <v>445</v>
      </c>
      <c r="E11" s="26" t="s">
        <v>445</v>
      </c>
      <c r="F11" s="37"/>
      <c r="G11" s="33"/>
      <c r="H11" s="29"/>
      <c r="I11" s="80">
        <v>8</v>
      </c>
      <c r="J11"/>
      <c r="K11" s="125"/>
      <c r="L11"/>
      <c r="M11"/>
      <c r="N11"/>
    </row>
    <row r="12" spans="1:14" s="11" customFormat="1" ht="49.5" customHeight="1">
      <c r="A12" s="15">
        <f t="shared" si="0"/>
        <v>9</v>
      </c>
      <c r="B12" s="16" t="s">
        <v>261</v>
      </c>
      <c r="C12" s="36" t="s">
        <v>441</v>
      </c>
      <c r="D12" s="24" t="s">
        <v>446</v>
      </c>
      <c r="E12" s="26" t="s">
        <v>446</v>
      </c>
      <c r="F12" s="111"/>
      <c r="G12" s="112" t="s">
        <v>698</v>
      </c>
      <c r="H12" s="113">
        <v>20000000</v>
      </c>
      <c r="I12" s="80">
        <v>9</v>
      </c>
      <c r="J12"/>
      <c r="K12" s="125"/>
      <c r="L12"/>
      <c r="M12"/>
      <c r="N12"/>
    </row>
    <row r="13" spans="1:14" s="11" customFormat="1" ht="49.5" customHeight="1">
      <c r="A13" s="253" t="s">
        <v>447</v>
      </c>
      <c r="B13" s="253"/>
      <c r="C13" s="253"/>
      <c r="D13" s="253"/>
      <c r="E13" s="31"/>
      <c r="F13" s="32"/>
      <c r="G13" s="112" t="s">
        <v>696</v>
      </c>
      <c r="H13" s="114">
        <v>0.2</v>
      </c>
      <c r="I13"/>
      <c r="J13"/>
      <c r="K13" s="125"/>
      <c r="L13"/>
      <c r="M13"/>
      <c r="N13"/>
    </row>
    <row r="14" spans="1:14" s="11" customFormat="1" ht="49.5" customHeight="1">
      <c r="A14" s="13" t="s">
        <v>0</v>
      </c>
      <c r="B14" s="14" t="s">
        <v>1</v>
      </c>
      <c r="C14" s="34" t="s">
        <v>448</v>
      </c>
      <c r="D14" s="23" t="s">
        <v>251</v>
      </c>
      <c r="E14" s="23" t="s">
        <v>464</v>
      </c>
      <c r="F14" s="35" t="s">
        <v>716</v>
      </c>
      <c r="G14" s="112" t="s">
        <v>697</v>
      </c>
      <c r="H14" s="114">
        <v>0</v>
      </c>
      <c r="I14"/>
      <c r="J14"/>
      <c r="K14" s="125"/>
      <c r="L14"/>
      <c r="M14"/>
      <c r="N14"/>
    </row>
    <row r="15" spans="1:14" s="11" customFormat="1" ht="49.5" customHeight="1">
      <c r="A15" s="15">
        <v>1</v>
      </c>
      <c r="B15" s="16">
        <v>2110010000</v>
      </c>
      <c r="C15" s="36" t="s">
        <v>433</v>
      </c>
      <c r="D15" s="24">
        <v>4291700000</v>
      </c>
      <c r="E15" s="26">
        <f>E16+E17+E18+E18</f>
        <v>5151000000</v>
      </c>
      <c r="F15" s="37"/>
      <c r="G15" s="33"/>
      <c r="H15" s="29"/>
      <c r="I15" s="80">
        <v>10</v>
      </c>
      <c r="J15"/>
      <c r="K15" s="125"/>
      <c r="L15"/>
      <c r="M15"/>
      <c r="N15"/>
    </row>
    <row r="16" spans="1:14" s="11" customFormat="1" ht="49.5" customHeight="1">
      <c r="A16" s="15">
        <f t="shared" ref="A16:A23" si="2">A15+1</f>
        <v>2</v>
      </c>
      <c r="B16" s="16">
        <v>2110010300</v>
      </c>
      <c r="C16" s="36" t="s">
        <v>434</v>
      </c>
      <c r="D16" s="24">
        <v>1404600000</v>
      </c>
      <c r="E16" s="24">
        <f>ROUND(((100%+$H$13)*D16)*(100%+$H$14),-6)</f>
        <v>1686000000</v>
      </c>
      <c r="F16" s="37" t="str">
        <f>LEFT(B16,8)&amp;"00"</f>
        <v>2110010300</v>
      </c>
      <c r="G16" s="33"/>
      <c r="H16" s="29"/>
      <c r="I16" s="80">
        <v>11</v>
      </c>
      <c r="J16"/>
      <c r="K16" s="125"/>
      <c r="L16"/>
      <c r="M16"/>
      <c r="N16"/>
    </row>
    <row r="17" spans="1:16382" s="11" customFormat="1" ht="49.5" customHeight="1">
      <c r="A17" s="15">
        <f t="shared" si="2"/>
        <v>3</v>
      </c>
      <c r="B17" s="16">
        <v>2110010200</v>
      </c>
      <c r="C17" s="36" t="s">
        <v>435</v>
      </c>
      <c r="D17" s="24">
        <v>1054300000</v>
      </c>
      <c r="E17" s="24">
        <f>ROUND(((100%+$H$13)*D17)*(100%+$H$14),-6)</f>
        <v>1265000000</v>
      </c>
      <c r="F17" s="37" t="str">
        <f t="shared" ref="F17:F18" si="3">LEFT(B17,8)&amp;"00"</f>
        <v>2110010200</v>
      </c>
      <c r="G17" s="33"/>
      <c r="H17" s="29"/>
      <c r="I17" s="80">
        <v>12</v>
      </c>
      <c r="J17"/>
      <c r="K17" s="125"/>
      <c r="L17"/>
      <c r="M17"/>
      <c r="N17"/>
    </row>
    <row r="18" spans="1:16382" s="11" customFormat="1" ht="49.5" customHeight="1">
      <c r="A18" s="15">
        <f t="shared" si="2"/>
        <v>4</v>
      </c>
      <c r="B18" s="16">
        <v>2110010100</v>
      </c>
      <c r="C18" s="36" t="s">
        <v>436</v>
      </c>
      <c r="D18" s="24">
        <v>916400000</v>
      </c>
      <c r="E18" s="24">
        <f>ROUND(((100%+$H$13)*D18)*(100%+$H$14),-6)</f>
        <v>1100000000</v>
      </c>
      <c r="F18" s="37" t="str">
        <f t="shared" si="3"/>
        <v>2110010100</v>
      </c>
      <c r="G18" s="33"/>
      <c r="H18" s="29"/>
      <c r="I18" s="80">
        <v>13</v>
      </c>
      <c r="J18"/>
      <c r="K18" s="125"/>
      <c r="L18"/>
      <c r="M18"/>
      <c r="N18"/>
    </row>
    <row r="19" spans="1:16382" s="11" customFormat="1" ht="49.5" customHeight="1">
      <c r="A19" s="15">
        <f>A18+1</f>
        <v>5</v>
      </c>
      <c r="B19" s="16" t="s">
        <v>261</v>
      </c>
      <c r="C19" s="36" t="s">
        <v>437</v>
      </c>
      <c r="D19" s="24" t="s">
        <v>442</v>
      </c>
      <c r="E19" s="24" t="s">
        <v>442</v>
      </c>
      <c r="F19" s="37"/>
      <c r="G19" s="33"/>
      <c r="H19" s="29"/>
      <c r="I19" s="80">
        <v>14</v>
      </c>
      <c r="J19"/>
      <c r="K19" s="125"/>
      <c r="L19"/>
      <c r="M19"/>
      <c r="N19"/>
    </row>
    <row r="20" spans="1:16382" s="11" customFormat="1" ht="49.5" customHeight="1">
      <c r="A20" s="15">
        <f t="shared" si="2"/>
        <v>6</v>
      </c>
      <c r="B20" s="16" t="s">
        <v>261</v>
      </c>
      <c r="C20" s="36" t="s">
        <v>438</v>
      </c>
      <c r="D20" s="24" t="s">
        <v>443</v>
      </c>
      <c r="E20" s="24" t="s">
        <v>443</v>
      </c>
      <c r="F20" s="37"/>
      <c r="G20" s="33"/>
      <c r="H20" s="29"/>
      <c r="I20" s="80">
        <v>15</v>
      </c>
      <c r="J20"/>
      <c r="K20" s="125"/>
      <c r="L20"/>
      <c r="M20"/>
      <c r="N20"/>
    </row>
    <row r="21" spans="1:16382" s="11" customFormat="1" ht="49.5" customHeight="1">
      <c r="A21" s="15">
        <f t="shared" si="2"/>
        <v>7</v>
      </c>
      <c r="B21" s="16" t="s">
        <v>261</v>
      </c>
      <c r="C21" s="36" t="s">
        <v>439</v>
      </c>
      <c r="D21" s="24" t="s">
        <v>444</v>
      </c>
      <c r="E21" s="24" t="s">
        <v>444</v>
      </c>
      <c r="F21" s="37"/>
      <c r="G21" s="33"/>
      <c r="H21" s="29"/>
      <c r="I21" s="80">
        <v>16</v>
      </c>
      <c r="J21"/>
      <c r="K21" s="125"/>
      <c r="L21"/>
      <c r="M21"/>
      <c r="N21"/>
    </row>
    <row r="22" spans="1:16382" s="11" customFormat="1" ht="49.5" customHeight="1">
      <c r="A22" s="15">
        <f t="shared" si="2"/>
        <v>8</v>
      </c>
      <c r="B22" s="16" t="s">
        <v>261</v>
      </c>
      <c r="C22" s="36" t="s">
        <v>440</v>
      </c>
      <c r="D22" s="24" t="s">
        <v>445</v>
      </c>
      <c r="E22" s="24" t="s">
        <v>445</v>
      </c>
      <c r="F22" s="37"/>
      <c r="G22" s="33"/>
      <c r="H22" s="29"/>
      <c r="I22" s="80">
        <v>17</v>
      </c>
      <c r="J22"/>
      <c r="K22" s="125"/>
      <c r="L22"/>
      <c r="M22"/>
      <c r="N22"/>
    </row>
    <row r="23" spans="1:16382" s="11" customFormat="1" ht="49.5" customHeight="1">
      <c r="A23" s="15">
        <f t="shared" si="2"/>
        <v>9</v>
      </c>
      <c r="B23" s="16" t="s">
        <v>261</v>
      </c>
      <c r="C23" s="36" t="s">
        <v>441</v>
      </c>
      <c r="D23" s="24" t="s">
        <v>446</v>
      </c>
      <c r="E23" s="24" t="s">
        <v>446</v>
      </c>
      <c r="F23" s="37"/>
      <c r="G23" s="33"/>
      <c r="H23" s="29"/>
      <c r="I23" s="80">
        <v>18</v>
      </c>
      <c r="J23"/>
      <c r="K23" s="125"/>
      <c r="L23"/>
      <c r="M23"/>
      <c r="N23"/>
    </row>
    <row r="24" spans="1:16382" s="11" customFormat="1" ht="49.5" customHeight="1">
      <c r="A24" s="253" t="s">
        <v>258</v>
      </c>
      <c r="B24" s="253"/>
      <c r="C24" s="253"/>
      <c r="D24" s="253"/>
      <c r="E24" s="31"/>
      <c r="F24" s="32"/>
      <c r="G24" s="33"/>
      <c r="H24" s="29"/>
      <c r="I24"/>
      <c r="J24"/>
      <c r="K24" s="125"/>
      <c r="L24"/>
      <c r="M24"/>
      <c r="N24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2"/>
      <c r="BK24" s="252"/>
      <c r="BL24" s="252"/>
      <c r="BM24" s="252"/>
      <c r="BN24" s="252"/>
      <c r="BO24" s="252"/>
      <c r="BP24" s="252"/>
      <c r="BQ24" s="252"/>
      <c r="BR24" s="252"/>
      <c r="BS24" s="252"/>
      <c r="BT24" s="252"/>
      <c r="BU24" s="252"/>
      <c r="BV24" s="252"/>
      <c r="BW24" s="252"/>
      <c r="BX24" s="252"/>
      <c r="BY24" s="252"/>
      <c r="BZ24" s="252"/>
      <c r="CA24" s="252"/>
      <c r="CB24" s="252"/>
      <c r="CC24" s="252"/>
      <c r="CD24" s="252"/>
      <c r="CE24" s="252"/>
      <c r="CF24" s="252"/>
      <c r="CG24" s="252"/>
      <c r="CH24" s="252"/>
      <c r="CI24" s="252"/>
      <c r="CJ24" s="252"/>
      <c r="CK24" s="252"/>
      <c r="CL24" s="252"/>
      <c r="CM24" s="252"/>
      <c r="CN24" s="252"/>
      <c r="CO24" s="252"/>
      <c r="CP24" s="252"/>
      <c r="CQ24" s="252"/>
      <c r="CR24" s="252"/>
      <c r="CS24" s="252"/>
      <c r="CT24" s="252"/>
      <c r="CU24" s="252"/>
      <c r="CV24" s="252"/>
      <c r="CW24" s="252"/>
      <c r="CX24" s="252"/>
      <c r="CY24" s="252"/>
      <c r="CZ24" s="252"/>
      <c r="DA24" s="252"/>
      <c r="DB24" s="252"/>
      <c r="DC24" s="252"/>
      <c r="DD24" s="252"/>
      <c r="DE24" s="252"/>
      <c r="DF24" s="252"/>
      <c r="DG24" s="252"/>
      <c r="DH24" s="252"/>
      <c r="DI24" s="252"/>
      <c r="DJ24" s="252"/>
      <c r="DK24" s="252"/>
      <c r="DL24" s="252"/>
      <c r="DM24" s="252"/>
      <c r="DN24" s="252"/>
      <c r="DO24" s="252"/>
      <c r="DP24" s="252"/>
      <c r="DQ24" s="252"/>
      <c r="DR24" s="252"/>
      <c r="DS24" s="252"/>
      <c r="DT24" s="252"/>
      <c r="DU24" s="252"/>
      <c r="DV24" s="252"/>
      <c r="DW24" s="252"/>
      <c r="DX24" s="252"/>
      <c r="DY24" s="252"/>
      <c r="DZ24" s="252"/>
      <c r="EA24" s="252"/>
      <c r="EB24" s="252"/>
      <c r="EC24" s="252"/>
      <c r="ED24" s="252"/>
      <c r="EE24" s="252"/>
      <c r="EF24" s="252"/>
      <c r="EG24" s="252"/>
      <c r="EH24" s="252"/>
      <c r="EI24" s="252"/>
      <c r="EJ24" s="252"/>
      <c r="EK24" s="252"/>
      <c r="EL24" s="252"/>
      <c r="EM24" s="252"/>
      <c r="EN24" s="252"/>
      <c r="EO24" s="252"/>
      <c r="EP24" s="252"/>
      <c r="EQ24" s="252"/>
      <c r="ER24" s="252"/>
      <c r="ES24" s="252"/>
      <c r="ET24" s="252"/>
      <c r="EU24" s="252"/>
      <c r="EV24" s="252"/>
      <c r="EW24" s="252"/>
      <c r="EX24" s="252"/>
      <c r="EY24" s="252"/>
      <c r="EZ24" s="252"/>
      <c r="FA24" s="252"/>
      <c r="FB24" s="252"/>
      <c r="FC24" s="252"/>
      <c r="FD24" s="252"/>
      <c r="FE24" s="252"/>
      <c r="FF24" s="252"/>
      <c r="FG24" s="252"/>
      <c r="FH24" s="252"/>
      <c r="FI24" s="252"/>
      <c r="FJ24" s="252"/>
      <c r="FK24" s="252"/>
      <c r="FL24" s="252"/>
      <c r="FM24" s="252"/>
      <c r="FN24" s="252"/>
      <c r="FO24" s="252"/>
      <c r="FP24" s="252"/>
      <c r="FQ24" s="252"/>
      <c r="FR24" s="252"/>
      <c r="FS24" s="252"/>
      <c r="FT24" s="252"/>
      <c r="FU24" s="252"/>
      <c r="FV24" s="252"/>
      <c r="FW24" s="252"/>
      <c r="FX24" s="252"/>
      <c r="FY24" s="252"/>
      <c r="FZ24" s="252"/>
      <c r="GA24" s="252"/>
      <c r="GB24" s="252"/>
      <c r="GC24" s="252"/>
      <c r="GD24" s="252"/>
      <c r="GE24" s="252"/>
      <c r="GF24" s="252"/>
      <c r="GG24" s="252"/>
      <c r="GH24" s="252"/>
      <c r="GI24" s="252"/>
      <c r="GJ24" s="252"/>
      <c r="GK24" s="252"/>
      <c r="GL24" s="252"/>
      <c r="GM24" s="252"/>
      <c r="GN24" s="252"/>
      <c r="GO24" s="252"/>
      <c r="GP24" s="252"/>
      <c r="GQ24" s="252"/>
      <c r="GR24" s="252"/>
      <c r="GS24" s="252"/>
      <c r="GT24" s="252"/>
      <c r="GU24" s="252"/>
      <c r="GV24" s="252"/>
      <c r="GW24" s="252"/>
      <c r="GX24" s="252"/>
      <c r="GY24" s="252"/>
      <c r="GZ24" s="252"/>
      <c r="HA24" s="252"/>
      <c r="HB24" s="252"/>
      <c r="HC24" s="252"/>
      <c r="HD24" s="252"/>
      <c r="HE24" s="252"/>
      <c r="HF24" s="252"/>
      <c r="HG24" s="252"/>
      <c r="HH24" s="252"/>
      <c r="HI24" s="252"/>
      <c r="HJ24" s="252"/>
      <c r="HK24" s="252"/>
      <c r="HL24" s="252"/>
      <c r="HM24" s="252"/>
      <c r="HN24" s="252"/>
      <c r="HO24" s="252"/>
      <c r="HP24" s="252"/>
      <c r="HQ24" s="252"/>
      <c r="HR24" s="252"/>
      <c r="HS24" s="252"/>
      <c r="HT24" s="252"/>
      <c r="HU24" s="252"/>
      <c r="HV24" s="252"/>
      <c r="HW24" s="252"/>
      <c r="HX24" s="252"/>
      <c r="HY24" s="252"/>
      <c r="HZ24" s="252"/>
      <c r="IA24" s="252"/>
      <c r="IB24" s="252"/>
      <c r="IC24" s="252"/>
      <c r="ID24" s="252"/>
      <c r="IE24" s="252"/>
      <c r="IF24" s="252"/>
      <c r="IG24" s="252"/>
      <c r="IH24" s="252"/>
      <c r="II24" s="252"/>
      <c r="IJ24" s="252"/>
      <c r="IK24" s="252"/>
      <c r="IL24" s="252"/>
      <c r="IM24" s="252"/>
      <c r="IN24" s="252"/>
      <c r="IO24" s="252"/>
      <c r="IP24" s="252"/>
      <c r="IQ24" s="252"/>
      <c r="IR24" s="252"/>
      <c r="IS24" s="252"/>
      <c r="IT24" s="252"/>
      <c r="IU24" s="252"/>
      <c r="IV24" s="252"/>
      <c r="IW24" s="252"/>
      <c r="IX24" s="252"/>
      <c r="IY24" s="252"/>
      <c r="IZ24" s="252"/>
      <c r="JA24" s="252"/>
      <c r="JB24" s="252"/>
      <c r="JC24" s="252"/>
      <c r="JD24" s="252"/>
      <c r="JE24" s="252"/>
      <c r="JF24" s="252"/>
      <c r="JG24" s="252"/>
      <c r="JH24" s="252"/>
      <c r="JI24" s="252"/>
      <c r="JJ24" s="252"/>
      <c r="JK24" s="252"/>
      <c r="JL24" s="252"/>
      <c r="JM24" s="252"/>
      <c r="JN24" s="252"/>
      <c r="JO24" s="252"/>
      <c r="JP24" s="252"/>
      <c r="JQ24" s="252"/>
      <c r="JR24" s="252"/>
      <c r="JS24" s="252"/>
      <c r="JT24" s="252"/>
      <c r="JU24" s="252"/>
      <c r="JV24" s="252"/>
      <c r="JW24" s="252"/>
      <c r="JX24" s="252"/>
      <c r="JY24" s="252"/>
      <c r="JZ24" s="252"/>
      <c r="KA24" s="252"/>
      <c r="KB24" s="252"/>
      <c r="KC24" s="252"/>
      <c r="KD24" s="252"/>
      <c r="KE24" s="252"/>
      <c r="KF24" s="252"/>
      <c r="KG24" s="252"/>
      <c r="KH24" s="252"/>
      <c r="KI24" s="252"/>
      <c r="KJ24" s="252"/>
      <c r="KK24" s="252"/>
      <c r="KL24" s="252"/>
      <c r="KM24" s="252"/>
      <c r="KN24" s="252"/>
      <c r="KO24" s="252"/>
      <c r="KP24" s="252"/>
      <c r="KQ24" s="252"/>
      <c r="KR24" s="252"/>
      <c r="KS24" s="252"/>
      <c r="KT24" s="252"/>
      <c r="KU24" s="252"/>
      <c r="KV24" s="252"/>
      <c r="KW24" s="252"/>
      <c r="KX24" s="252"/>
      <c r="KY24" s="252"/>
      <c r="KZ24" s="252"/>
      <c r="LA24" s="252"/>
      <c r="LB24" s="252"/>
      <c r="LC24" s="252"/>
      <c r="LD24" s="252"/>
      <c r="LE24" s="252"/>
      <c r="LF24" s="252"/>
      <c r="LG24" s="252"/>
      <c r="LH24" s="252"/>
      <c r="LI24" s="252"/>
      <c r="LJ24" s="252"/>
      <c r="LK24" s="252"/>
      <c r="LL24" s="252"/>
      <c r="LM24" s="252"/>
      <c r="LN24" s="252"/>
      <c r="LO24" s="252"/>
      <c r="LP24" s="252"/>
      <c r="LQ24" s="252"/>
      <c r="LR24" s="252"/>
      <c r="LS24" s="252"/>
      <c r="LT24" s="252"/>
      <c r="LU24" s="252"/>
      <c r="LV24" s="252"/>
      <c r="LW24" s="252"/>
      <c r="LX24" s="252"/>
      <c r="LY24" s="252"/>
      <c r="LZ24" s="252"/>
      <c r="MA24" s="252"/>
      <c r="MB24" s="252"/>
      <c r="MC24" s="252"/>
      <c r="MD24" s="252"/>
      <c r="ME24" s="252"/>
      <c r="MF24" s="252"/>
      <c r="MG24" s="252"/>
      <c r="MH24" s="252"/>
      <c r="MI24" s="252"/>
      <c r="MJ24" s="252"/>
      <c r="MK24" s="252"/>
      <c r="ML24" s="252"/>
      <c r="MM24" s="252"/>
      <c r="MN24" s="252"/>
      <c r="MO24" s="252"/>
      <c r="MP24" s="252"/>
      <c r="MQ24" s="252"/>
      <c r="MR24" s="252"/>
      <c r="MS24" s="252"/>
      <c r="MT24" s="252"/>
      <c r="MU24" s="252"/>
      <c r="MV24" s="252"/>
      <c r="MW24" s="252"/>
      <c r="MX24" s="252"/>
      <c r="MY24" s="252"/>
      <c r="MZ24" s="252"/>
      <c r="NA24" s="252"/>
      <c r="NB24" s="252"/>
      <c r="NC24" s="252"/>
      <c r="ND24" s="252"/>
      <c r="NE24" s="252"/>
      <c r="NF24" s="252"/>
      <c r="NG24" s="252"/>
      <c r="NH24" s="252"/>
      <c r="NI24" s="252"/>
      <c r="NJ24" s="252"/>
      <c r="NK24" s="252"/>
      <c r="NL24" s="252"/>
      <c r="NM24" s="252"/>
      <c r="NN24" s="252"/>
      <c r="NO24" s="252"/>
      <c r="NP24" s="252"/>
      <c r="NQ24" s="252"/>
      <c r="NR24" s="252"/>
      <c r="NS24" s="252"/>
      <c r="NT24" s="252"/>
      <c r="NU24" s="252"/>
      <c r="NV24" s="252"/>
      <c r="NW24" s="252"/>
      <c r="NX24" s="252"/>
      <c r="NY24" s="252"/>
      <c r="NZ24" s="252"/>
      <c r="OA24" s="252"/>
      <c r="OB24" s="252"/>
      <c r="OC24" s="252"/>
      <c r="OD24" s="252"/>
      <c r="OE24" s="252"/>
      <c r="OF24" s="252"/>
      <c r="OG24" s="252"/>
      <c r="OH24" s="252"/>
      <c r="OI24" s="252"/>
      <c r="OJ24" s="252"/>
      <c r="OK24" s="252"/>
      <c r="OL24" s="252"/>
      <c r="OM24" s="252"/>
      <c r="ON24" s="252"/>
      <c r="OO24" s="252"/>
      <c r="OP24" s="252"/>
      <c r="OQ24" s="252"/>
      <c r="OR24" s="252"/>
      <c r="OS24" s="252"/>
      <c r="OT24" s="252"/>
      <c r="OU24" s="252"/>
      <c r="OV24" s="252"/>
      <c r="OW24" s="252"/>
      <c r="OX24" s="252"/>
      <c r="OY24" s="252"/>
      <c r="OZ24" s="252"/>
      <c r="PA24" s="252"/>
      <c r="PB24" s="252"/>
      <c r="PC24" s="252"/>
      <c r="PD24" s="252"/>
      <c r="PE24" s="252"/>
      <c r="PF24" s="252"/>
      <c r="PG24" s="252"/>
      <c r="PH24" s="252"/>
      <c r="PI24" s="252"/>
      <c r="PJ24" s="252"/>
      <c r="PK24" s="252"/>
      <c r="PL24" s="252"/>
      <c r="PM24" s="252"/>
      <c r="PN24" s="252"/>
      <c r="PO24" s="252"/>
      <c r="PP24" s="252"/>
      <c r="PQ24" s="252"/>
      <c r="PR24" s="252"/>
      <c r="PS24" s="252"/>
      <c r="PT24" s="252"/>
      <c r="PU24" s="252"/>
      <c r="PV24" s="252"/>
      <c r="PW24" s="252"/>
      <c r="PX24" s="252"/>
      <c r="PY24" s="252"/>
      <c r="PZ24" s="252"/>
      <c r="QA24" s="252"/>
      <c r="QB24" s="252"/>
      <c r="QC24" s="252"/>
      <c r="QD24" s="252"/>
      <c r="QE24" s="252"/>
      <c r="QF24" s="252"/>
      <c r="QG24" s="252"/>
      <c r="QH24" s="252"/>
      <c r="QI24" s="252"/>
      <c r="QJ24" s="252"/>
      <c r="QK24" s="252"/>
      <c r="QL24" s="252"/>
      <c r="QM24" s="252"/>
      <c r="QN24" s="252"/>
      <c r="QO24" s="252"/>
      <c r="QP24" s="252"/>
      <c r="QQ24" s="252"/>
      <c r="QR24" s="252"/>
      <c r="QS24" s="252"/>
      <c r="QT24" s="252"/>
      <c r="QU24" s="252"/>
      <c r="QV24" s="252"/>
      <c r="QW24" s="252"/>
      <c r="QX24" s="252"/>
      <c r="QY24" s="252"/>
      <c r="QZ24" s="252"/>
      <c r="RA24" s="252"/>
      <c r="RB24" s="252"/>
      <c r="RC24" s="252"/>
      <c r="RD24" s="252"/>
      <c r="RE24" s="252"/>
      <c r="RF24" s="252"/>
      <c r="RG24" s="252"/>
      <c r="RH24" s="252"/>
      <c r="RI24" s="252"/>
      <c r="RJ24" s="252"/>
      <c r="RK24" s="252"/>
      <c r="RL24" s="252"/>
      <c r="RM24" s="252"/>
      <c r="RN24" s="252"/>
      <c r="RO24" s="252"/>
      <c r="RP24" s="252"/>
      <c r="RQ24" s="252"/>
      <c r="RR24" s="252"/>
      <c r="RS24" s="252"/>
      <c r="RT24" s="252"/>
      <c r="RU24" s="252"/>
      <c r="RV24" s="252"/>
      <c r="RW24" s="252"/>
      <c r="RX24" s="252"/>
      <c r="RY24" s="252"/>
      <c r="RZ24" s="252"/>
      <c r="SA24" s="252"/>
      <c r="SB24" s="252"/>
      <c r="SC24" s="252"/>
      <c r="SD24" s="252"/>
      <c r="SE24" s="252"/>
      <c r="SF24" s="252"/>
      <c r="SG24" s="252"/>
      <c r="SH24" s="252"/>
      <c r="SI24" s="252"/>
      <c r="SJ24" s="252"/>
      <c r="SK24" s="252"/>
      <c r="SL24" s="252"/>
      <c r="SM24" s="252"/>
      <c r="SN24" s="252"/>
      <c r="SO24" s="252"/>
      <c r="SP24" s="252"/>
      <c r="SQ24" s="252"/>
      <c r="SR24" s="252"/>
      <c r="SS24" s="252"/>
      <c r="ST24" s="252"/>
      <c r="SU24" s="252"/>
      <c r="SV24" s="252"/>
      <c r="SW24" s="252"/>
      <c r="SX24" s="252"/>
      <c r="SY24" s="252"/>
      <c r="SZ24" s="252"/>
      <c r="TA24" s="252"/>
      <c r="TB24" s="252"/>
      <c r="TC24" s="252"/>
      <c r="TD24" s="252"/>
      <c r="TE24" s="252"/>
      <c r="TF24" s="252"/>
      <c r="TG24" s="252"/>
      <c r="TH24" s="252"/>
      <c r="TI24" s="252"/>
      <c r="TJ24" s="252"/>
      <c r="TK24" s="252"/>
      <c r="TL24" s="252"/>
      <c r="TM24" s="252"/>
      <c r="TN24" s="252"/>
      <c r="TO24" s="252"/>
      <c r="TP24" s="252"/>
      <c r="TQ24" s="252"/>
      <c r="TR24" s="252"/>
      <c r="TS24" s="252"/>
      <c r="TT24" s="252"/>
      <c r="TU24" s="252"/>
      <c r="TV24" s="252"/>
      <c r="TW24" s="252"/>
      <c r="TX24" s="252"/>
      <c r="TY24" s="252"/>
      <c r="TZ24" s="252"/>
      <c r="UA24" s="252"/>
      <c r="UB24" s="252"/>
      <c r="UC24" s="252"/>
      <c r="UD24" s="252"/>
      <c r="UE24" s="252"/>
      <c r="UF24" s="252"/>
      <c r="UG24" s="252"/>
      <c r="UH24" s="252"/>
      <c r="UI24" s="252"/>
      <c r="UJ24" s="252"/>
      <c r="UK24" s="252"/>
      <c r="UL24" s="252"/>
      <c r="UM24" s="252"/>
      <c r="UN24" s="252"/>
      <c r="UO24" s="252"/>
      <c r="UP24" s="252"/>
      <c r="UQ24" s="252"/>
      <c r="UR24" s="252"/>
      <c r="US24" s="252"/>
      <c r="UT24" s="252"/>
      <c r="UU24" s="252"/>
      <c r="UV24" s="252"/>
      <c r="UW24" s="252"/>
      <c r="UX24" s="252"/>
      <c r="UY24" s="252"/>
      <c r="UZ24" s="252"/>
      <c r="VA24" s="252"/>
      <c r="VB24" s="252"/>
      <c r="VC24" s="252"/>
      <c r="VD24" s="252"/>
      <c r="VE24" s="252"/>
      <c r="VF24" s="252"/>
      <c r="VG24" s="252"/>
      <c r="VH24" s="252"/>
      <c r="VI24" s="252"/>
      <c r="VJ24" s="252"/>
      <c r="VK24" s="252"/>
      <c r="VL24" s="252"/>
      <c r="VM24" s="252"/>
      <c r="VN24" s="252"/>
      <c r="VO24" s="252"/>
      <c r="VP24" s="252"/>
      <c r="VQ24" s="252"/>
      <c r="VR24" s="252"/>
      <c r="VS24" s="252"/>
      <c r="VT24" s="252"/>
      <c r="VU24" s="252"/>
      <c r="VV24" s="252"/>
      <c r="VW24" s="252"/>
      <c r="VX24" s="252"/>
      <c r="VY24" s="252"/>
      <c r="VZ24" s="252"/>
      <c r="WA24" s="252"/>
      <c r="WB24" s="252"/>
      <c r="WC24" s="252"/>
      <c r="WD24" s="252"/>
      <c r="WE24" s="252"/>
      <c r="WF24" s="252"/>
      <c r="WG24" s="252"/>
      <c r="WH24" s="252"/>
      <c r="WI24" s="252"/>
      <c r="WJ24" s="252"/>
      <c r="WK24" s="252"/>
      <c r="WL24" s="252"/>
      <c r="WM24" s="252"/>
      <c r="WN24" s="252"/>
      <c r="WO24" s="252"/>
      <c r="WP24" s="252"/>
      <c r="WQ24" s="252"/>
      <c r="WR24" s="252"/>
      <c r="WS24" s="252"/>
      <c r="WT24" s="252"/>
      <c r="WU24" s="252"/>
      <c r="WV24" s="252"/>
      <c r="WW24" s="252"/>
      <c r="WX24" s="252"/>
      <c r="WY24" s="252"/>
      <c r="WZ24" s="252"/>
      <c r="XA24" s="252"/>
      <c r="XB24" s="252"/>
      <c r="XC24" s="252"/>
      <c r="XD24" s="252"/>
      <c r="XE24" s="252"/>
      <c r="XF24" s="252"/>
      <c r="XG24" s="252"/>
      <c r="XH24" s="252"/>
      <c r="XI24" s="252"/>
      <c r="XJ24" s="252"/>
      <c r="XK24" s="252"/>
      <c r="XL24" s="252"/>
      <c r="XM24" s="252"/>
      <c r="XN24" s="252"/>
      <c r="XO24" s="252"/>
      <c r="XP24" s="252"/>
      <c r="XQ24" s="252"/>
      <c r="XR24" s="252"/>
      <c r="XS24" s="252"/>
      <c r="XT24" s="252"/>
      <c r="XU24" s="252"/>
      <c r="XV24" s="252"/>
      <c r="XW24" s="252"/>
      <c r="XX24" s="252"/>
      <c r="XY24" s="252"/>
      <c r="XZ24" s="252"/>
      <c r="YA24" s="252"/>
      <c r="YB24" s="252"/>
      <c r="YC24" s="252"/>
      <c r="YD24" s="252"/>
      <c r="YE24" s="252"/>
      <c r="YF24" s="252"/>
      <c r="YG24" s="252"/>
      <c r="YH24" s="252"/>
      <c r="YI24" s="252"/>
      <c r="YJ24" s="252"/>
      <c r="YK24" s="252"/>
      <c r="YL24" s="252"/>
      <c r="YM24" s="252"/>
      <c r="YN24" s="252"/>
      <c r="YO24" s="252"/>
      <c r="YP24" s="252"/>
      <c r="YQ24" s="252"/>
      <c r="YR24" s="252"/>
      <c r="YS24" s="252"/>
      <c r="YT24" s="252"/>
      <c r="YU24" s="252"/>
      <c r="YV24" s="252"/>
      <c r="YW24" s="252"/>
      <c r="YX24" s="252"/>
      <c r="YY24" s="252"/>
      <c r="YZ24" s="252"/>
      <c r="ZA24" s="252"/>
      <c r="ZB24" s="252"/>
      <c r="ZC24" s="252"/>
      <c r="ZD24" s="252"/>
      <c r="ZE24" s="252"/>
      <c r="ZF24" s="252"/>
      <c r="ZG24" s="252"/>
      <c r="ZH24" s="252"/>
      <c r="ZI24" s="252"/>
      <c r="ZJ24" s="252"/>
      <c r="ZK24" s="252"/>
      <c r="ZL24" s="252"/>
      <c r="ZM24" s="252"/>
      <c r="ZN24" s="252"/>
      <c r="ZO24" s="252"/>
      <c r="ZP24" s="252"/>
      <c r="ZQ24" s="252"/>
      <c r="ZR24" s="252"/>
      <c r="ZS24" s="252"/>
      <c r="ZT24" s="252"/>
      <c r="ZU24" s="252"/>
      <c r="ZV24" s="252"/>
      <c r="ZW24" s="252"/>
      <c r="ZX24" s="252"/>
      <c r="ZY24" s="252"/>
      <c r="ZZ24" s="252"/>
      <c r="AAA24" s="252"/>
      <c r="AAB24" s="252"/>
      <c r="AAC24" s="252"/>
      <c r="AAD24" s="252"/>
      <c r="AAE24" s="252"/>
      <c r="AAF24" s="252"/>
      <c r="AAG24" s="252"/>
      <c r="AAH24" s="252"/>
      <c r="AAI24" s="252"/>
      <c r="AAJ24" s="252"/>
      <c r="AAK24" s="252"/>
      <c r="AAL24" s="252"/>
      <c r="AAM24" s="252"/>
      <c r="AAN24" s="252"/>
      <c r="AAO24" s="252"/>
      <c r="AAP24" s="252"/>
      <c r="AAQ24" s="252"/>
      <c r="AAR24" s="252"/>
      <c r="AAS24" s="252"/>
      <c r="AAT24" s="252"/>
      <c r="AAU24" s="252"/>
      <c r="AAV24" s="252"/>
      <c r="AAW24" s="252"/>
      <c r="AAX24" s="252"/>
      <c r="AAY24" s="252"/>
      <c r="AAZ24" s="252"/>
      <c r="ABA24" s="252"/>
      <c r="ABB24" s="252"/>
      <c r="ABC24" s="252"/>
      <c r="ABD24" s="252"/>
      <c r="ABE24" s="252"/>
      <c r="ABF24" s="252"/>
      <c r="ABG24" s="252"/>
      <c r="ABH24" s="252"/>
      <c r="ABI24" s="252"/>
      <c r="ABJ24" s="252"/>
      <c r="ABK24" s="252"/>
      <c r="ABL24" s="252"/>
      <c r="ABM24" s="252"/>
      <c r="ABN24" s="252"/>
      <c r="ABO24" s="252"/>
      <c r="ABP24" s="252"/>
      <c r="ABQ24" s="252"/>
      <c r="ABR24" s="252"/>
      <c r="ABS24" s="252"/>
      <c r="ABT24" s="252"/>
      <c r="ABU24" s="252"/>
      <c r="ABV24" s="252"/>
      <c r="ABW24" s="252"/>
      <c r="ABX24" s="252"/>
      <c r="ABY24" s="252"/>
      <c r="ABZ24" s="252"/>
      <c r="ACA24" s="252"/>
      <c r="ACB24" s="252"/>
      <c r="ACC24" s="252"/>
      <c r="ACD24" s="252"/>
      <c r="ACE24" s="252"/>
      <c r="ACF24" s="252"/>
      <c r="ACG24" s="252"/>
      <c r="ACH24" s="252"/>
      <c r="ACI24" s="252"/>
      <c r="ACJ24" s="252"/>
      <c r="ACK24" s="252"/>
      <c r="ACL24" s="252"/>
      <c r="ACM24" s="252"/>
      <c r="ACN24" s="252"/>
      <c r="ACO24" s="252"/>
      <c r="ACP24" s="252"/>
      <c r="ACQ24" s="252"/>
      <c r="ACR24" s="252"/>
      <c r="ACS24" s="252"/>
      <c r="ACT24" s="252"/>
      <c r="ACU24" s="252"/>
      <c r="ACV24" s="252"/>
      <c r="ACW24" s="252"/>
      <c r="ACX24" s="252"/>
      <c r="ACY24" s="252"/>
      <c r="ACZ24" s="252"/>
      <c r="ADA24" s="252"/>
      <c r="ADB24" s="252"/>
      <c r="ADC24" s="252"/>
      <c r="ADD24" s="252"/>
      <c r="ADE24" s="252"/>
      <c r="ADF24" s="252"/>
      <c r="ADG24" s="252"/>
      <c r="ADH24" s="252"/>
      <c r="ADI24" s="252"/>
      <c r="ADJ24" s="252"/>
      <c r="ADK24" s="252"/>
      <c r="ADL24" s="252"/>
      <c r="ADM24" s="252"/>
      <c r="ADN24" s="252"/>
      <c r="ADO24" s="252"/>
      <c r="ADP24" s="252"/>
      <c r="ADQ24" s="252"/>
      <c r="ADR24" s="252"/>
      <c r="ADS24" s="252"/>
      <c r="ADT24" s="252"/>
      <c r="ADU24" s="252"/>
      <c r="ADV24" s="252"/>
      <c r="ADW24" s="252"/>
      <c r="ADX24" s="252"/>
      <c r="ADY24" s="252"/>
      <c r="ADZ24" s="252"/>
      <c r="AEA24" s="252"/>
      <c r="AEB24" s="252"/>
      <c r="AEC24" s="252"/>
      <c r="AED24" s="252"/>
      <c r="AEE24" s="252"/>
      <c r="AEF24" s="252"/>
      <c r="AEG24" s="252"/>
      <c r="AEH24" s="252"/>
      <c r="AEI24" s="252"/>
      <c r="AEJ24" s="252"/>
      <c r="AEK24" s="252"/>
      <c r="AEL24" s="252"/>
      <c r="AEM24" s="252"/>
      <c r="AEN24" s="252"/>
      <c r="AEO24" s="252"/>
      <c r="AEP24" s="252"/>
      <c r="AEQ24" s="252"/>
      <c r="AER24" s="252"/>
      <c r="AES24" s="252"/>
      <c r="AET24" s="252"/>
      <c r="AEU24" s="252"/>
      <c r="AEV24" s="252"/>
      <c r="AEW24" s="252"/>
      <c r="AEX24" s="252"/>
      <c r="AEY24" s="252"/>
      <c r="AEZ24" s="252"/>
      <c r="AFA24" s="252"/>
      <c r="AFB24" s="252"/>
      <c r="AFC24" s="252"/>
      <c r="AFD24" s="252"/>
      <c r="AFE24" s="252"/>
      <c r="AFF24" s="252"/>
      <c r="AFG24" s="252"/>
      <c r="AFH24" s="252"/>
      <c r="AFI24" s="252"/>
      <c r="AFJ24" s="252"/>
      <c r="AFK24" s="252"/>
      <c r="AFL24" s="252"/>
      <c r="AFM24" s="252"/>
      <c r="AFN24" s="252"/>
      <c r="AFO24" s="252"/>
      <c r="AFP24" s="252"/>
      <c r="AFQ24" s="252"/>
      <c r="AFR24" s="252"/>
      <c r="AFS24" s="252"/>
      <c r="AFT24" s="252"/>
      <c r="AFU24" s="252"/>
      <c r="AFV24" s="252"/>
      <c r="AFW24" s="252"/>
      <c r="AFX24" s="252"/>
      <c r="AFY24" s="252"/>
      <c r="AFZ24" s="252"/>
      <c r="AGA24" s="252"/>
      <c r="AGB24" s="252"/>
      <c r="AGC24" s="252"/>
      <c r="AGD24" s="252"/>
      <c r="AGE24" s="252"/>
      <c r="AGF24" s="252"/>
      <c r="AGG24" s="252"/>
      <c r="AGH24" s="252"/>
      <c r="AGI24" s="252"/>
      <c r="AGJ24" s="252"/>
      <c r="AGK24" s="252"/>
      <c r="AGL24" s="252"/>
      <c r="AGM24" s="252"/>
      <c r="AGN24" s="252"/>
      <c r="AGO24" s="252"/>
      <c r="AGP24" s="252"/>
      <c r="AGQ24" s="252"/>
      <c r="AGR24" s="252"/>
      <c r="AGS24" s="252"/>
      <c r="AGT24" s="252"/>
      <c r="AGU24" s="252"/>
      <c r="AGV24" s="252"/>
      <c r="AGW24" s="252"/>
      <c r="AGX24" s="252"/>
      <c r="AGY24" s="252"/>
      <c r="AGZ24" s="252"/>
      <c r="AHA24" s="252"/>
      <c r="AHB24" s="252"/>
      <c r="AHC24" s="252"/>
      <c r="AHD24" s="252"/>
      <c r="AHE24" s="252"/>
      <c r="AHF24" s="252"/>
      <c r="AHG24" s="252"/>
      <c r="AHH24" s="252"/>
      <c r="AHI24" s="252"/>
      <c r="AHJ24" s="252"/>
      <c r="AHK24" s="252"/>
      <c r="AHL24" s="252"/>
      <c r="AHM24" s="252"/>
      <c r="AHN24" s="252"/>
      <c r="AHO24" s="252"/>
      <c r="AHP24" s="252"/>
      <c r="AHQ24" s="252"/>
      <c r="AHR24" s="252"/>
      <c r="AHS24" s="252"/>
      <c r="AHT24" s="252"/>
      <c r="AHU24" s="252"/>
      <c r="AHV24" s="252"/>
      <c r="AHW24" s="252"/>
      <c r="AHX24" s="252"/>
      <c r="AHY24" s="252"/>
      <c r="AHZ24" s="252"/>
      <c r="AIA24" s="252"/>
      <c r="AIB24" s="252"/>
      <c r="AIC24" s="252"/>
      <c r="AID24" s="252"/>
      <c r="AIE24" s="252"/>
      <c r="AIF24" s="252"/>
      <c r="AIG24" s="252"/>
      <c r="AIH24" s="252"/>
      <c r="AII24" s="252"/>
      <c r="AIJ24" s="252"/>
      <c r="AIK24" s="252"/>
      <c r="AIL24" s="252"/>
      <c r="AIM24" s="252"/>
      <c r="AIN24" s="252"/>
      <c r="AIO24" s="252"/>
      <c r="AIP24" s="252"/>
      <c r="AIQ24" s="252"/>
      <c r="AIR24" s="252"/>
      <c r="AIS24" s="252"/>
      <c r="AIT24" s="252"/>
      <c r="AIU24" s="252"/>
      <c r="AIV24" s="252"/>
      <c r="AIW24" s="252"/>
      <c r="AIX24" s="252"/>
      <c r="AIY24" s="252"/>
      <c r="AIZ24" s="252"/>
      <c r="AJA24" s="252"/>
      <c r="AJB24" s="252"/>
      <c r="AJC24" s="252"/>
      <c r="AJD24" s="252"/>
      <c r="AJE24" s="252"/>
      <c r="AJF24" s="252"/>
      <c r="AJG24" s="252"/>
      <c r="AJH24" s="252"/>
      <c r="AJI24" s="252"/>
      <c r="AJJ24" s="252"/>
      <c r="AJK24" s="252"/>
      <c r="AJL24" s="252"/>
      <c r="AJM24" s="252"/>
      <c r="AJN24" s="252"/>
      <c r="AJO24" s="252"/>
      <c r="AJP24" s="252"/>
      <c r="AJQ24" s="252"/>
      <c r="AJR24" s="252"/>
      <c r="AJS24" s="252"/>
      <c r="AJT24" s="252"/>
      <c r="AJU24" s="252"/>
      <c r="AJV24" s="252"/>
      <c r="AJW24" s="252"/>
      <c r="AJX24" s="252"/>
      <c r="AJY24" s="252"/>
      <c r="AJZ24" s="252"/>
      <c r="AKA24" s="252"/>
      <c r="AKB24" s="252"/>
      <c r="AKC24" s="252"/>
      <c r="AKD24" s="252"/>
      <c r="AKE24" s="252"/>
      <c r="AKF24" s="252"/>
      <c r="AKG24" s="252"/>
      <c r="AKH24" s="252"/>
      <c r="AKI24" s="252"/>
      <c r="AKJ24" s="252"/>
      <c r="AKK24" s="252"/>
      <c r="AKL24" s="252"/>
      <c r="AKM24" s="252"/>
      <c r="AKN24" s="252"/>
      <c r="AKO24" s="252"/>
      <c r="AKP24" s="252"/>
      <c r="AKQ24" s="252"/>
      <c r="AKR24" s="252"/>
      <c r="AKS24" s="252"/>
      <c r="AKT24" s="252"/>
      <c r="AKU24" s="252"/>
      <c r="AKV24" s="252"/>
      <c r="AKW24" s="252"/>
      <c r="AKX24" s="252"/>
      <c r="AKY24" s="252"/>
      <c r="AKZ24" s="252"/>
      <c r="ALA24" s="252"/>
      <c r="ALB24" s="252"/>
      <c r="ALC24" s="252"/>
      <c r="ALD24" s="252"/>
      <c r="ALE24" s="252"/>
      <c r="ALF24" s="252"/>
      <c r="ALG24" s="252"/>
      <c r="ALH24" s="252"/>
      <c r="ALI24" s="252"/>
      <c r="ALJ24" s="252"/>
      <c r="ALK24" s="252"/>
      <c r="ALL24" s="252"/>
      <c r="ALM24" s="252"/>
      <c r="ALN24" s="252"/>
      <c r="ALO24" s="252"/>
      <c r="ALP24" s="252"/>
      <c r="ALQ24" s="252"/>
      <c r="ALR24" s="252"/>
      <c r="ALS24" s="252"/>
      <c r="ALT24" s="252"/>
      <c r="ALU24" s="252"/>
      <c r="ALV24" s="252"/>
      <c r="ALW24" s="252"/>
      <c r="ALX24" s="252"/>
      <c r="ALY24" s="252"/>
      <c r="ALZ24" s="252"/>
      <c r="AMA24" s="252"/>
      <c r="AMB24" s="252"/>
      <c r="AMC24" s="252"/>
      <c r="AMD24" s="252"/>
      <c r="AME24" s="252"/>
      <c r="AMF24" s="252"/>
      <c r="AMG24" s="252"/>
      <c r="AMH24" s="252"/>
      <c r="AMI24" s="252"/>
      <c r="AMJ24" s="252"/>
      <c r="AMK24" s="252"/>
      <c r="AML24" s="252"/>
      <c r="AMM24" s="252"/>
      <c r="AMN24" s="252"/>
      <c r="AMO24" s="252"/>
      <c r="AMP24" s="252"/>
      <c r="AMQ24" s="252"/>
      <c r="AMR24" s="252"/>
      <c r="AMS24" s="252"/>
      <c r="AMT24" s="252"/>
      <c r="AMU24" s="252"/>
      <c r="AMV24" s="252"/>
      <c r="AMW24" s="252"/>
      <c r="AMX24" s="252"/>
      <c r="AMY24" s="252"/>
      <c r="AMZ24" s="252"/>
      <c r="ANA24" s="252"/>
      <c r="ANB24" s="252"/>
      <c r="ANC24" s="252"/>
      <c r="AND24" s="252"/>
      <c r="ANE24" s="252"/>
      <c r="ANF24" s="252"/>
      <c r="ANG24" s="252"/>
      <c r="ANH24" s="252"/>
      <c r="ANI24" s="252"/>
      <c r="ANJ24" s="252"/>
      <c r="ANK24" s="252"/>
      <c r="ANL24" s="252"/>
      <c r="ANM24" s="252"/>
      <c r="ANN24" s="252"/>
      <c r="ANO24" s="252"/>
      <c r="ANP24" s="252"/>
      <c r="ANQ24" s="252"/>
      <c r="ANR24" s="252"/>
      <c r="ANS24" s="252"/>
      <c r="ANT24" s="252"/>
      <c r="ANU24" s="252"/>
      <c r="ANV24" s="252"/>
      <c r="ANW24" s="252"/>
      <c r="ANX24" s="252"/>
      <c r="ANY24" s="252"/>
      <c r="ANZ24" s="252"/>
      <c r="AOA24" s="252"/>
      <c r="AOB24" s="252"/>
      <c r="AOC24" s="252"/>
      <c r="AOD24" s="252"/>
      <c r="AOE24" s="252"/>
      <c r="AOF24" s="252"/>
      <c r="AOG24" s="252"/>
      <c r="AOH24" s="252"/>
      <c r="AOI24" s="252"/>
      <c r="AOJ24" s="252"/>
      <c r="AOK24" s="252"/>
      <c r="AOL24" s="252"/>
      <c r="AOM24" s="252"/>
      <c r="AON24" s="252"/>
      <c r="AOO24" s="252"/>
      <c r="AOP24" s="252"/>
      <c r="AOQ24" s="252"/>
      <c r="AOR24" s="252"/>
      <c r="AOS24" s="252"/>
      <c r="AOT24" s="252"/>
      <c r="AOU24" s="252"/>
      <c r="AOV24" s="252"/>
      <c r="AOW24" s="252"/>
      <c r="AOX24" s="252"/>
      <c r="AOY24" s="252"/>
      <c r="AOZ24" s="252"/>
      <c r="APA24" s="252"/>
      <c r="APB24" s="252"/>
      <c r="APC24" s="252"/>
      <c r="APD24" s="252"/>
      <c r="APE24" s="252"/>
      <c r="APF24" s="252"/>
      <c r="APG24" s="252"/>
      <c r="APH24" s="252"/>
      <c r="API24" s="252"/>
      <c r="APJ24" s="252"/>
      <c r="APK24" s="252"/>
      <c r="APL24" s="252"/>
      <c r="APM24" s="252"/>
      <c r="APN24" s="252"/>
      <c r="APO24" s="252"/>
      <c r="APP24" s="252"/>
      <c r="APQ24" s="252"/>
      <c r="APR24" s="252"/>
      <c r="APS24" s="252"/>
      <c r="APT24" s="252"/>
      <c r="APU24" s="252"/>
      <c r="APV24" s="252"/>
      <c r="APW24" s="252"/>
      <c r="APX24" s="252"/>
      <c r="APY24" s="252"/>
      <c r="APZ24" s="252"/>
      <c r="AQA24" s="252"/>
      <c r="AQB24" s="252"/>
      <c r="AQC24" s="252"/>
      <c r="AQD24" s="252"/>
      <c r="AQE24" s="252"/>
      <c r="AQF24" s="252"/>
      <c r="AQG24" s="252"/>
      <c r="AQH24" s="252"/>
      <c r="AQI24" s="252"/>
      <c r="AQJ24" s="252"/>
      <c r="AQK24" s="252"/>
      <c r="AQL24" s="252"/>
      <c r="AQM24" s="252"/>
      <c r="AQN24" s="252"/>
      <c r="AQO24" s="252"/>
      <c r="AQP24" s="252"/>
      <c r="AQQ24" s="252"/>
      <c r="AQR24" s="252"/>
      <c r="AQS24" s="252"/>
      <c r="AQT24" s="252"/>
      <c r="AQU24" s="252"/>
      <c r="AQV24" s="252"/>
      <c r="AQW24" s="252"/>
      <c r="AQX24" s="252"/>
      <c r="AQY24" s="252"/>
      <c r="AQZ24" s="252"/>
      <c r="ARA24" s="252"/>
      <c r="ARB24" s="252"/>
      <c r="ARC24" s="252"/>
      <c r="ARD24" s="252"/>
      <c r="ARE24" s="252"/>
      <c r="ARF24" s="252"/>
      <c r="ARG24" s="252"/>
      <c r="ARH24" s="252"/>
      <c r="ARI24" s="252"/>
      <c r="ARJ24" s="252"/>
      <c r="ARK24" s="252"/>
      <c r="ARL24" s="252"/>
      <c r="ARM24" s="252"/>
      <c r="ARN24" s="252"/>
      <c r="ARO24" s="252"/>
      <c r="ARP24" s="252"/>
      <c r="ARQ24" s="252"/>
      <c r="ARR24" s="252"/>
      <c r="ARS24" s="252"/>
      <c r="ART24" s="252"/>
      <c r="ARU24" s="252"/>
      <c r="ARV24" s="252"/>
      <c r="ARW24" s="252"/>
      <c r="ARX24" s="252"/>
      <c r="ARY24" s="252"/>
      <c r="ARZ24" s="252"/>
      <c r="ASA24" s="252"/>
      <c r="ASB24" s="252"/>
      <c r="ASC24" s="252"/>
      <c r="ASD24" s="252"/>
      <c r="ASE24" s="252"/>
      <c r="ASF24" s="252"/>
      <c r="ASG24" s="252"/>
      <c r="ASH24" s="252"/>
      <c r="ASI24" s="252"/>
      <c r="ASJ24" s="252"/>
      <c r="ASK24" s="252"/>
      <c r="ASL24" s="252"/>
      <c r="ASM24" s="252"/>
      <c r="ASN24" s="252"/>
      <c r="ASO24" s="252"/>
      <c r="ASP24" s="252"/>
      <c r="ASQ24" s="252"/>
      <c r="ASR24" s="252"/>
      <c r="ASS24" s="252"/>
      <c r="AST24" s="252"/>
      <c r="ASU24" s="252"/>
      <c r="ASV24" s="252"/>
      <c r="ASW24" s="252"/>
      <c r="ASX24" s="252"/>
      <c r="ASY24" s="252"/>
      <c r="ASZ24" s="252"/>
      <c r="ATA24" s="252"/>
      <c r="ATB24" s="252"/>
      <c r="ATC24" s="252"/>
      <c r="ATD24" s="252"/>
      <c r="ATE24" s="252"/>
      <c r="ATF24" s="252"/>
      <c r="ATG24" s="252"/>
      <c r="ATH24" s="252"/>
      <c r="ATI24" s="252"/>
      <c r="ATJ24" s="252"/>
      <c r="ATK24" s="252"/>
      <c r="ATL24" s="252"/>
      <c r="ATM24" s="252"/>
      <c r="ATN24" s="252"/>
      <c r="ATO24" s="252"/>
      <c r="ATP24" s="252"/>
      <c r="ATQ24" s="252"/>
      <c r="ATR24" s="252"/>
      <c r="ATS24" s="252"/>
      <c r="ATT24" s="252"/>
      <c r="ATU24" s="252"/>
      <c r="ATV24" s="252"/>
      <c r="ATW24" s="252"/>
      <c r="ATX24" s="252"/>
      <c r="ATY24" s="252"/>
      <c r="ATZ24" s="252"/>
      <c r="AUA24" s="252"/>
      <c r="AUB24" s="252"/>
      <c r="AUC24" s="252"/>
      <c r="AUD24" s="252"/>
      <c r="AUE24" s="252"/>
      <c r="AUF24" s="252"/>
      <c r="AUG24" s="252"/>
      <c r="AUH24" s="252"/>
      <c r="AUI24" s="252"/>
      <c r="AUJ24" s="252"/>
      <c r="AUK24" s="252"/>
      <c r="AUL24" s="252"/>
      <c r="AUM24" s="252"/>
      <c r="AUN24" s="252"/>
      <c r="AUO24" s="252"/>
      <c r="AUP24" s="252"/>
      <c r="AUQ24" s="252"/>
      <c r="AUR24" s="252"/>
      <c r="AUS24" s="252"/>
      <c r="AUT24" s="252"/>
      <c r="AUU24" s="252"/>
      <c r="AUV24" s="252"/>
      <c r="AUW24" s="252"/>
      <c r="AUX24" s="252"/>
      <c r="AUY24" s="252"/>
      <c r="AUZ24" s="252"/>
      <c r="AVA24" s="252"/>
      <c r="AVB24" s="252"/>
      <c r="AVC24" s="252"/>
      <c r="AVD24" s="252"/>
      <c r="AVE24" s="252"/>
      <c r="AVF24" s="252"/>
      <c r="AVG24" s="252"/>
      <c r="AVH24" s="252"/>
      <c r="AVI24" s="252"/>
      <c r="AVJ24" s="252"/>
      <c r="AVK24" s="252"/>
      <c r="AVL24" s="252"/>
      <c r="AVM24" s="252"/>
      <c r="AVN24" s="252"/>
      <c r="AVO24" s="252"/>
      <c r="AVP24" s="252"/>
      <c r="AVQ24" s="252"/>
      <c r="AVR24" s="252"/>
      <c r="AVS24" s="252"/>
      <c r="AVT24" s="252"/>
      <c r="AVU24" s="252"/>
      <c r="AVV24" s="252"/>
      <c r="AVW24" s="252"/>
      <c r="AVX24" s="252"/>
      <c r="AVY24" s="252"/>
      <c r="AVZ24" s="252"/>
      <c r="AWA24" s="252"/>
      <c r="AWB24" s="252"/>
      <c r="AWC24" s="252"/>
      <c r="AWD24" s="252"/>
      <c r="AWE24" s="252"/>
      <c r="AWF24" s="252"/>
      <c r="AWG24" s="252"/>
      <c r="AWH24" s="252"/>
      <c r="AWI24" s="252"/>
      <c r="AWJ24" s="252"/>
      <c r="AWK24" s="252"/>
      <c r="AWL24" s="252"/>
      <c r="AWM24" s="252"/>
      <c r="AWN24" s="252"/>
      <c r="AWO24" s="252"/>
      <c r="AWP24" s="252"/>
      <c r="AWQ24" s="252"/>
      <c r="AWR24" s="252"/>
      <c r="AWS24" s="252"/>
      <c r="AWT24" s="252"/>
      <c r="AWU24" s="252"/>
      <c r="AWV24" s="252"/>
      <c r="AWW24" s="252"/>
      <c r="AWX24" s="252"/>
      <c r="AWY24" s="252"/>
      <c r="AWZ24" s="252"/>
      <c r="AXA24" s="252"/>
      <c r="AXB24" s="252"/>
      <c r="AXC24" s="252"/>
      <c r="AXD24" s="252"/>
      <c r="AXE24" s="252"/>
      <c r="AXF24" s="252"/>
      <c r="AXG24" s="252"/>
      <c r="AXH24" s="252"/>
      <c r="AXI24" s="252"/>
      <c r="AXJ24" s="252"/>
      <c r="AXK24" s="252"/>
      <c r="AXL24" s="252"/>
      <c r="AXM24" s="252"/>
      <c r="AXN24" s="252"/>
      <c r="AXO24" s="252"/>
      <c r="AXP24" s="252"/>
      <c r="AXQ24" s="252"/>
      <c r="AXR24" s="252"/>
      <c r="AXS24" s="252"/>
      <c r="AXT24" s="252"/>
      <c r="AXU24" s="252"/>
      <c r="AXV24" s="252"/>
      <c r="AXW24" s="252"/>
      <c r="AXX24" s="252"/>
      <c r="AXY24" s="252"/>
      <c r="AXZ24" s="252"/>
      <c r="AYA24" s="252"/>
      <c r="AYB24" s="252"/>
      <c r="AYC24" s="252"/>
      <c r="AYD24" s="252"/>
      <c r="AYE24" s="252"/>
      <c r="AYF24" s="252"/>
      <c r="AYG24" s="252"/>
      <c r="AYH24" s="252"/>
      <c r="AYI24" s="252"/>
      <c r="AYJ24" s="252"/>
      <c r="AYK24" s="252"/>
      <c r="AYL24" s="252"/>
      <c r="AYM24" s="252"/>
      <c r="AYN24" s="252"/>
      <c r="AYO24" s="252"/>
      <c r="AYP24" s="252"/>
      <c r="AYQ24" s="252"/>
      <c r="AYR24" s="252"/>
      <c r="AYS24" s="252"/>
      <c r="AYT24" s="252"/>
      <c r="AYU24" s="252"/>
      <c r="AYV24" s="252"/>
      <c r="AYW24" s="252"/>
      <c r="AYX24" s="252"/>
      <c r="AYY24" s="252"/>
      <c r="AYZ24" s="252"/>
      <c r="AZA24" s="252"/>
      <c r="AZB24" s="252"/>
      <c r="AZC24" s="252"/>
      <c r="AZD24" s="252"/>
      <c r="AZE24" s="252"/>
      <c r="AZF24" s="252"/>
      <c r="AZG24" s="252"/>
      <c r="AZH24" s="252"/>
      <c r="AZI24" s="252"/>
      <c r="AZJ24" s="252"/>
      <c r="AZK24" s="252"/>
      <c r="AZL24" s="252"/>
      <c r="AZM24" s="252"/>
      <c r="AZN24" s="252"/>
      <c r="AZO24" s="252"/>
      <c r="AZP24" s="252"/>
      <c r="AZQ24" s="252"/>
      <c r="AZR24" s="252"/>
      <c r="AZS24" s="252"/>
      <c r="AZT24" s="252"/>
      <c r="AZU24" s="252"/>
      <c r="AZV24" s="252"/>
      <c r="AZW24" s="252"/>
      <c r="AZX24" s="252"/>
      <c r="AZY24" s="252"/>
      <c r="AZZ24" s="252"/>
      <c r="BAA24" s="252"/>
      <c r="BAB24" s="252"/>
      <c r="BAC24" s="252"/>
      <c r="BAD24" s="252"/>
      <c r="BAE24" s="252"/>
      <c r="BAF24" s="252"/>
      <c r="BAG24" s="252"/>
      <c r="BAH24" s="252"/>
      <c r="BAI24" s="252"/>
      <c r="BAJ24" s="252"/>
      <c r="BAK24" s="252"/>
      <c r="BAL24" s="252"/>
      <c r="BAM24" s="252"/>
      <c r="BAN24" s="252"/>
      <c r="BAO24" s="252"/>
      <c r="BAP24" s="252"/>
      <c r="BAQ24" s="252"/>
      <c r="BAR24" s="252"/>
      <c r="BAS24" s="252"/>
      <c r="BAT24" s="252"/>
      <c r="BAU24" s="252"/>
      <c r="BAV24" s="252"/>
      <c r="BAW24" s="252"/>
      <c r="BAX24" s="252"/>
      <c r="BAY24" s="252"/>
      <c r="BAZ24" s="252"/>
      <c r="BBA24" s="252"/>
      <c r="BBB24" s="252"/>
      <c r="BBC24" s="252"/>
      <c r="BBD24" s="252"/>
      <c r="BBE24" s="252"/>
      <c r="BBF24" s="252"/>
      <c r="BBG24" s="252"/>
      <c r="BBH24" s="252"/>
      <c r="BBI24" s="252"/>
      <c r="BBJ24" s="252"/>
      <c r="BBK24" s="252"/>
      <c r="BBL24" s="252"/>
      <c r="BBM24" s="252"/>
      <c r="BBN24" s="252"/>
      <c r="BBO24" s="252"/>
      <c r="BBP24" s="252"/>
      <c r="BBQ24" s="252"/>
      <c r="BBR24" s="252"/>
      <c r="BBS24" s="252"/>
      <c r="BBT24" s="252"/>
      <c r="BBU24" s="252"/>
      <c r="BBV24" s="252"/>
      <c r="BBW24" s="252"/>
      <c r="BBX24" s="252"/>
      <c r="BBY24" s="252"/>
      <c r="BBZ24" s="252"/>
      <c r="BCA24" s="252"/>
      <c r="BCB24" s="252"/>
      <c r="BCC24" s="252"/>
      <c r="BCD24" s="252"/>
      <c r="BCE24" s="252"/>
      <c r="BCF24" s="252"/>
      <c r="BCG24" s="252"/>
      <c r="BCH24" s="252"/>
      <c r="BCI24" s="252"/>
      <c r="BCJ24" s="252"/>
      <c r="BCK24" s="252"/>
      <c r="BCL24" s="252"/>
      <c r="BCM24" s="252"/>
      <c r="BCN24" s="252"/>
      <c r="BCO24" s="252"/>
      <c r="BCP24" s="252"/>
      <c r="BCQ24" s="252"/>
      <c r="BCR24" s="252"/>
      <c r="BCS24" s="252"/>
      <c r="BCT24" s="252"/>
      <c r="BCU24" s="252"/>
      <c r="BCV24" s="252"/>
      <c r="BCW24" s="252"/>
      <c r="BCX24" s="252"/>
      <c r="BCY24" s="252"/>
      <c r="BCZ24" s="252"/>
      <c r="BDA24" s="252"/>
      <c r="BDB24" s="252"/>
      <c r="BDC24" s="252"/>
      <c r="BDD24" s="252"/>
      <c r="BDE24" s="252"/>
      <c r="BDF24" s="252"/>
      <c r="BDG24" s="252"/>
      <c r="BDH24" s="252"/>
      <c r="BDI24" s="252"/>
      <c r="BDJ24" s="252"/>
      <c r="BDK24" s="252"/>
      <c r="BDL24" s="252"/>
      <c r="BDM24" s="252"/>
      <c r="BDN24" s="252"/>
      <c r="BDO24" s="252"/>
      <c r="BDP24" s="252"/>
      <c r="BDQ24" s="252"/>
      <c r="BDR24" s="252"/>
      <c r="BDS24" s="252"/>
      <c r="BDT24" s="252"/>
      <c r="BDU24" s="252"/>
      <c r="BDV24" s="252"/>
      <c r="BDW24" s="252"/>
      <c r="BDX24" s="252"/>
      <c r="BDY24" s="252"/>
      <c r="BDZ24" s="252"/>
      <c r="BEA24" s="252"/>
      <c r="BEB24" s="252"/>
      <c r="BEC24" s="252"/>
      <c r="BED24" s="252"/>
      <c r="BEE24" s="252"/>
      <c r="BEF24" s="252"/>
      <c r="BEG24" s="252"/>
      <c r="BEH24" s="252"/>
      <c r="BEI24" s="252"/>
      <c r="BEJ24" s="252"/>
      <c r="BEK24" s="252"/>
      <c r="BEL24" s="252"/>
      <c r="BEM24" s="252"/>
      <c r="BEN24" s="252"/>
      <c r="BEO24" s="252"/>
      <c r="BEP24" s="252"/>
      <c r="BEQ24" s="252"/>
      <c r="BER24" s="252"/>
      <c r="BES24" s="252"/>
      <c r="BET24" s="252"/>
      <c r="BEU24" s="252"/>
      <c r="BEV24" s="252"/>
      <c r="BEW24" s="252"/>
      <c r="BEX24" s="252"/>
      <c r="BEY24" s="252"/>
      <c r="BEZ24" s="252"/>
      <c r="BFA24" s="252"/>
      <c r="BFB24" s="252"/>
      <c r="BFC24" s="252"/>
      <c r="BFD24" s="252"/>
      <c r="BFE24" s="252"/>
      <c r="BFF24" s="252"/>
      <c r="BFG24" s="252"/>
      <c r="BFH24" s="252"/>
      <c r="BFI24" s="252"/>
      <c r="BFJ24" s="252"/>
      <c r="BFK24" s="252"/>
      <c r="BFL24" s="252"/>
      <c r="BFM24" s="252"/>
      <c r="BFN24" s="252"/>
      <c r="BFO24" s="252"/>
      <c r="BFP24" s="252"/>
      <c r="BFQ24" s="252"/>
      <c r="BFR24" s="252"/>
      <c r="BFS24" s="252"/>
      <c r="BFT24" s="252"/>
      <c r="BFU24" s="252"/>
      <c r="BFV24" s="252"/>
      <c r="BFW24" s="252"/>
      <c r="BFX24" s="252"/>
      <c r="BFY24" s="252"/>
      <c r="BFZ24" s="252"/>
      <c r="BGA24" s="252"/>
      <c r="BGB24" s="252"/>
      <c r="BGC24" s="252"/>
      <c r="BGD24" s="252"/>
      <c r="BGE24" s="252"/>
      <c r="BGF24" s="252"/>
      <c r="BGG24" s="252"/>
      <c r="BGH24" s="252"/>
      <c r="BGI24" s="252"/>
      <c r="BGJ24" s="252"/>
      <c r="BGK24" s="252"/>
      <c r="BGL24" s="252"/>
      <c r="BGM24" s="252"/>
      <c r="BGN24" s="252"/>
      <c r="BGO24" s="252"/>
      <c r="BGP24" s="252"/>
      <c r="BGQ24" s="252"/>
      <c r="BGR24" s="252"/>
      <c r="BGS24" s="252"/>
      <c r="BGT24" s="252"/>
      <c r="BGU24" s="252"/>
      <c r="BGV24" s="252"/>
      <c r="BGW24" s="252"/>
      <c r="BGX24" s="252"/>
      <c r="BGY24" s="252"/>
      <c r="BGZ24" s="252"/>
      <c r="BHA24" s="252"/>
      <c r="BHB24" s="252"/>
      <c r="BHC24" s="252"/>
      <c r="BHD24" s="252"/>
      <c r="BHE24" s="252"/>
      <c r="BHF24" s="252"/>
      <c r="BHG24" s="252"/>
      <c r="BHH24" s="252"/>
      <c r="BHI24" s="252"/>
      <c r="BHJ24" s="252"/>
      <c r="BHK24" s="252"/>
      <c r="BHL24" s="252"/>
      <c r="BHM24" s="252"/>
      <c r="BHN24" s="252"/>
      <c r="BHO24" s="252"/>
      <c r="BHP24" s="252"/>
      <c r="BHQ24" s="252"/>
      <c r="BHR24" s="252"/>
      <c r="BHS24" s="252"/>
      <c r="BHT24" s="252"/>
      <c r="BHU24" s="252"/>
      <c r="BHV24" s="252"/>
      <c r="BHW24" s="252"/>
      <c r="BHX24" s="252"/>
      <c r="BHY24" s="252"/>
      <c r="BHZ24" s="252"/>
      <c r="BIA24" s="252"/>
      <c r="BIB24" s="252"/>
      <c r="BIC24" s="252"/>
      <c r="BID24" s="252"/>
      <c r="BIE24" s="252"/>
      <c r="BIF24" s="252"/>
      <c r="BIG24" s="252"/>
      <c r="BIH24" s="252"/>
      <c r="BII24" s="252"/>
      <c r="BIJ24" s="252"/>
      <c r="BIK24" s="252"/>
      <c r="BIL24" s="252"/>
      <c r="BIM24" s="252"/>
      <c r="BIN24" s="252"/>
      <c r="BIO24" s="252"/>
      <c r="BIP24" s="252"/>
      <c r="BIQ24" s="252"/>
      <c r="BIR24" s="252"/>
      <c r="BIS24" s="252"/>
      <c r="BIT24" s="252"/>
      <c r="BIU24" s="252"/>
      <c r="BIV24" s="252"/>
      <c r="BIW24" s="252"/>
      <c r="BIX24" s="252"/>
      <c r="BIY24" s="252"/>
      <c r="BIZ24" s="252"/>
      <c r="BJA24" s="252"/>
      <c r="BJB24" s="252"/>
      <c r="BJC24" s="252"/>
      <c r="BJD24" s="252"/>
      <c r="BJE24" s="252"/>
      <c r="BJF24" s="252"/>
      <c r="BJG24" s="252"/>
      <c r="BJH24" s="252"/>
      <c r="BJI24" s="252"/>
      <c r="BJJ24" s="252"/>
      <c r="BJK24" s="252"/>
      <c r="BJL24" s="252"/>
      <c r="BJM24" s="252"/>
      <c r="BJN24" s="252"/>
      <c r="BJO24" s="252"/>
      <c r="BJP24" s="252"/>
      <c r="BJQ24" s="252"/>
      <c r="BJR24" s="252"/>
      <c r="BJS24" s="252"/>
      <c r="BJT24" s="252"/>
      <c r="BJU24" s="252"/>
      <c r="BJV24" s="252"/>
      <c r="BJW24" s="252"/>
      <c r="BJX24" s="252"/>
      <c r="BJY24" s="252"/>
      <c r="BJZ24" s="252"/>
      <c r="BKA24" s="252"/>
      <c r="BKB24" s="252"/>
      <c r="BKC24" s="252"/>
      <c r="BKD24" s="252"/>
      <c r="BKE24" s="252"/>
      <c r="BKF24" s="252"/>
      <c r="BKG24" s="252"/>
      <c r="BKH24" s="252"/>
      <c r="BKI24" s="252"/>
      <c r="BKJ24" s="252"/>
      <c r="BKK24" s="252"/>
      <c r="BKL24" s="252"/>
      <c r="BKM24" s="252"/>
      <c r="BKN24" s="252"/>
      <c r="BKO24" s="252"/>
      <c r="BKP24" s="252"/>
      <c r="BKQ24" s="252"/>
      <c r="BKR24" s="252"/>
      <c r="BKS24" s="252"/>
      <c r="BKT24" s="252"/>
      <c r="BKU24" s="252"/>
      <c r="BKV24" s="252"/>
      <c r="BKW24" s="252"/>
      <c r="BKX24" s="252"/>
      <c r="BKY24" s="252"/>
      <c r="BKZ24" s="252"/>
      <c r="BLA24" s="252"/>
      <c r="BLB24" s="252"/>
      <c r="BLC24" s="252"/>
      <c r="BLD24" s="252"/>
      <c r="BLE24" s="252"/>
      <c r="BLF24" s="252"/>
      <c r="BLG24" s="252"/>
      <c r="BLH24" s="252"/>
      <c r="BLI24" s="252"/>
      <c r="BLJ24" s="252"/>
      <c r="BLK24" s="252"/>
      <c r="BLL24" s="252"/>
      <c r="BLM24" s="252"/>
      <c r="BLN24" s="252"/>
      <c r="BLO24" s="252"/>
      <c r="BLP24" s="252"/>
      <c r="BLQ24" s="252"/>
      <c r="BLR24" s="252"/>
      <c r="BLS24" s="252"/>
      <c r="BLT24" s="252"/>
      <c r="BLU24" s="252"/>
      <c r="BLV24" s="252"/>
      <c r="BLW24" s="252"/>
      <c r="BLX24" s="252"/>
      <c r="BLY24" s="252"/>
      <c r="BLZ24" s="252"/>
      <c r="BMA24" s="252"/>
      <c r="BMB24" s="252"/>
      <c r="BMC24" s="252"/>
      <c r="BMD24" s="252"/>
      <c r="BME24" s="252"/>
      <c r="BMF24" s="252"/>
      <c r="BMG24" s="252"/>
      <c r="BMH24" s="252"/>
      <c r="BMI24" s="252"/>
      <c r="BMJ24" s="252"/>
      <c r="BMK24" s="252"/>
      <c r="BML24" s="252"/>
      <c r="BMM24" s="252"/>
      <c r="BMN24" s="252"/>
      <c r="BMO24" s="252"/>
      <c r="BMP24" s="252"/>
      <c r="BMQ24" s="252"/>
      <c r="BMR24" s="252"/>
      <c r="BMS24" s="252"/>
      <c r="BMT24" s="252"/>
      <c r="BMU24" s="252"/>
      <c r="BMV24" s="252"/>
      <c r="BMW24" s="252"/>
      <c r="BMX24" s="252"/>
      <c r="BMY24" s="252"/>
      <c r="BMZ24" s="252"/>
      <c r="BNA24" s="252"/>
      <c r="BNB24" s="252"/>
      <c r="BNC24" s="252"/>
      <c r="BND24" s="252"/>
      <c r="BNE24" s="252"/>
      <c r="BNF24" s="252"/>
      <c r="BNG24" s="252"/>
      <c r="BNH24" s="252"/>
      <c r="BNI24" s="252"/>
      <c r="BNJ24" s="252"/>
      <c r="BNK24" s="252"/>
      <c r="BNL24" s="252"/>
      <c r="BNM24" s="252"/>
      <c r="BNN24" s="252"/>
      <c r="BNO24" s="252"/>
      <c r="BNP24" s="252"/>
      <c r="BNQ24" s="252"/>
      <c r="BNR24" s="252"/>
      <c r="BNS24" s="252"/>
      <c r="BNT24" s="252"/>
      <c r="BNU24" s="252"/>
      <c r="BNV24" s="252"/>
      <c r="BNW24" s="252"/>
      <c r="BNX24" s="252"/>
      <c r="BNY24" s="252"/>
      <c r="BNZ24" s="252"/>
      <c r="BOA24" s="252"/>
      <c r="BOB24" s="252"/>
      <c r="BOC24" s="252"/>
      <c r="BOD24" s="252"/>
      <c r="BOE24" s="252"/>
      <c r="BOF24" s="252"/>
      <c r="BOG24" s="252"/>
      <c r="BOH24" s="252"/>
      <c r="BOI24" s="252"/>
      <c r="BOJ24" s="252"/>
      <c r="BOK24" s="252"/>
      <c r="BOL24" s="252"/>
      <c r="BOM24" s="252"/>
      <c r="BON24" s="252"/>
      <c r="BOO24" s="252"/>
      <c r="BOP24" s="252"/>
      <c r="BOQ24" s="252"/>
      <c r="BOR24" s="252"/>
      <c r="BOS24" s="252"/>
      <c r="BOT24" s="252"/>
      <c r="BOU24" s="252"/>
      <c r="BOV24" s="252"/>
      <c r="BOW24" s="252"/>
      <c r="BOX24" s="252"/>
      <c r="BOY24" s="252"/>
      <c r="BOZ24" s="252"/>
      <c r="BPA24" s="252"/>
      <c r="BPB24" s="252"/>
      <c r="BPC24" s="252"/>
      <c r="BPD24" s="252"/>
      <c r="BPE24" s="252"/>
      <c r="BPF24" s="252"/>
      <c r="BPG24" s="252"/>
      <c r="BPH24" s="252"/>
      <c r="BPI24" s="252"/>
      <c r="BPJ24" s="252"/>
      <c r="BPK24" s="252"/>
      <c r="BPL24" s="252"/>
      <c r="BPM24" s="252"/>
      <c r="BPN24" s="252"/>
      <c r="BPO24" s="252"/>
      <c r="BPP24" s="252"/>
      <c r="BPQ24" s="252"/>
      <c r="BPR24" s="252"/>
      <c r="BPS24" s="252"/>
      <c r="BPT24" s="252"/>
      <c r="BPU24" s="252"/>
      <c r="BPV24" s="252"/>
      <c r="BPW24" s="252"/>
      <c r="BPX24" s="252"/>
      <c r="BPY24" s="252"/>
      <c r="BPZ24" s="252"/>
      <c r="BQA24" s="252"/>
      <c r="BQB24" s="252"/>
      <c r="BQC24" s="252"/>
      <c r="BQD24" s="252"/>
      <c r="BQE24" s="252"/>
      <c r="BQF24" s="252"/>
      <c r="BQG24" s="252"/>
      <c r="BQH24" s="252"/>
      <c r="BQI24" s="252"/>
      <c r="BQJ24" s="252"/>
      <c r="BQK24" s="252"/>
      <c r="BQL24" s="252"/>
      <c r="BQM24" s="252"/>
      <c r="BQN24" s="252"/>
      <c r="BQO24" s="252"/>
      <c r="BQP24" s="252"/>
      <c r="BQQ24" s="252"/>
      <c r="BQR24" s="252"/>
      <c r="BQS24" s="252"/>
      <c r="BQT24" s="252"/>
      <c r="BQU24" s="252"/>
      <c r="BQV24" s="252"/>
      <c r="BQW24" s="252"/>
      <c r="BQX24" s="252"/>
      <c r="BQY24" s="252"/>
      <c r="BQZ24" s="252"/>
      <c r="BRA24" s="252"/>
      <c r="BRB24" s="252"/>
      <c r="BRC24" s="252"/>
      <c r="BRD24" s="252"/>
      <c r="BRE24" s="252"/>
      <c r="BRF24" s="252"/>
      <c r="BRG24" s="252"/>
      <c r="BRH24" s="252"/>
      <c r="BRI24" s="252"/>
      <c r="BRJ24" s="252"/>
      <c r="BRK24" s="252"/>
      <c r="BRL24" s="252"/>
      <c r="BRM24" s="252"/>
      <c r="BRN24" s="252"/>
      <c r="BRO24" s="252"/>
      <c r="BRP24" s="252"/>
      <c r="BRQ24" s="252"/>
      <c r="BRR24" s="252"/>
      <c r="BRS24" s="252"/>
      <c r="BRT24" s="252"/>
      <c r="BRU24" s="252"/>
      <c r="BRV24" s="252"/>
      <c r="BRW24" s="252"/>
      <c r="BRX24" s="252"/>
      <c r="BRY24" s="252"/>
      <c r="BRZ24" s="252"/>
      <c r="BSA24" s="252"/>
      <c r="BSB24" s="252"/>
      <c r="BSC24" s="252"/>
      <c r="BSD24" s="252"/>
      <c r="BSE24" s="252"/>
      <c r="BSF24" s="252"/>
      <c r="BSG24" s="252"/>
      <c r="BSH24" s="252"/>
      <c r="BSI24" s="252"/>
      <c r="BSJ24" s="252"/>
      <c r="BSK24" s="252"/>
      <c r="BSL24" s="252"/>
      <c r="BSM24" s="252"/>
      <c r="BSN24" s="252"/>
      <c r="BSO24" s="252"/>
      <c r="BSP24" s="252"/>
      <c r="BSQ24" s="252"/>
      <c r="BSR24" s="252"/>
      <c r="BSS24" s="252"/>
      <c r="BST24" s="252"/>
      <c r="BSU24" s="252"/>
      <c r="BSV24" s="252"/>
      <c r="BSW24" s="252"/>
      <c r="BSX24" s="252"/>
      <c r="BSY24" s="252"/>
      <c r="BSZ24" s="252"/>
      <c r="BTA24" s="252"/>
      <c r="BTB24" s="252"/>
      <c r="BTC24" s="252"/>
      <c r="BTD24" s="252"/>
      <c r="BTE24" s="252"/>
      <c r="BTF24" s="252"/>
      <c r="BTG24" s="252"/>
      <c r="BTH24" s="252"/>
      <c r="BTI24" s="252"/>
      <c r="BTJ24" s="252"/>
      <c r="BTK24" s="252"/>
      <c r="BTL24" s="252"/>
      <c r="BTM24" s="252"/>
      <c r="BTN24" s="252"/>
      <c r="BTO24" s="252"/>
      <c r="BTP24" s="252"/>
      <c r="BTQ24" s="252"/>
      <c r="BTR24" s="252"/>
      <c r="BTS24" s="252"/>
      <c r="BTT24" s="252"/>
      <c r="BTU24" s="252"/>
      <c r="BTV24" s="252"/>
      <c r="BTW24" s="252"/>
      <c r="BTX24" s="252"/>
      <c r="BTY24" s="252"/>
      <c r="BTZ24" s="252"/>
      <c r="BUA24" s="252"/>
      <c r="BUB24" s="252"/>
      <c r="BUC24" s="252"/>
      <c r="BUD24" s="252"/>
      <c r="BUE24" s="252"/>
      <c r="BUF24" s="252"/>
      <c r="BUG24" s="252"/>
      <c r="BUH24" s="252"/>
      <c r="BUI24" s="252"/>
      <c r="BUJ24" s="252"/>
      <c r="BUK24" s="252"/>
      <c r="BUL24" s="252"/>
      <c r="BUM24" s="252"/>
      <c r="BUN24" s="252"/>
      <c r="BUO24" s="252"/>
      <c r="BUP24" s="252"/>
      <c r="BUQ24" s="252"/>
      <c r="BUR24" s="252"/>
      <c r="BUS24" s="252"/>
      <c r="BUT24" s="252"/>
      <c r="BUU24" s="252"/>
      <c r="BUV24" s="252"/>
      <c r="BUW24" s="252"/>
      <c r="BUX24" s="252"/>
      <c r="BUY24" s="252"/>
      <c r="BUZ24" s="252"/>
      <c r="BVA24" s="252"/>
      <c r="BVB24" s="252"/>
      <c r="BVC24" s="252"/>
      <c r="BVD24" s="252"/>
      <c r="BVE24" s="252"/>
      <c r="BVF24" s="252"/>
      <c r="BVG24" s="252"/>
      <c r="BVH24" s="252"/>
      <c r="BVI24" s="252"/>
      <c r="BVJ24" s="252"/>
      <c r="BVK24" s="252"/>
      <c r="BVL24" s="252"/>
      <c r="BVM24" s="252"/>
      <c r="BVN24" s="252"/>
      <c r="BVO24" s="252"/>
      <c r="BVP24" s="252"/>
      <c r="BVQ24" s="252"/>
      <c r="BVR24" s="252"/>
      <c r="BVS24" s="252"/>
      <c r="BVT24" s="252"/>
      <c r="BVU24" s="252"/>
      <c r="BVV24" s="252"/>
      <c r="BVW24" s="252"/>
      <c r="BVX24" s="252"/>
      <c r="BVY24" s="252"/>
      <c r="BVZ24" s="252"/>
      <c r="BWA24" s="252"/>
      <c r="BWB24" s="252"/>
      <c r="BWC24" s="252"/>
      <c r="BWD24" s="252"/>
      <c r="BWE24" s="252"/>
      <c r="BWF24" s="252"/>
      <c r="BWG24" s="252"/>
      <c r="BWH24" s="252"/>
      <c r="BWI24" s="252"/>
      <c r="BWJ24" s="252"/>
      <c r="BWK24" s="252"/>
      <c r="BWL24" s="252"/>
      <c r="BWM24" s="252"/>
      <c r="BWN24" s="252"/>
      <c r="BWO24" s="252"/>
      <c r="BWP24" s="252"/>
      <c r="BWQ24" s="252"/>
      <c r="BWR24" s="252"/>
      <c r="BWS24" s="252"/>
      <c r="BWT24" s="252"/>
      <c r="BWU24" s="252"/>
      <c r="BWV24" s="252"/>
      <c r="BWW24" s="252"/>
      <c r="BWX24" s="252"/>
      <c r="BWY24" s="252"/>
      <c r="BWZ24" s="252"/>
      <c r="BXA24" s="252"/>
      <c r="BXB24" s="252"/>
      <c r="BXC24" s="252"/>
      <c r="BXD24" s="252"/>
      <c r="BXE24" s="252"/>
      <c r="BXF24" s="252"/>
      <c r="BXG24" s="252"/>
      <c r="BXH24" s="252"/>
      <c r="BXI24" s="252"/>
      <c r="BXJ24" s="252"/>
      <c r="BXK24" s="252"/>
      <c r="BXL24" s="252"/>
      <c r="BXM24" s="252"/>
      <c r="BXN24" s="252"/>
      <c r="BXO24" s="252"/>
      <c r="BXP24" s="252"/>
      <c r="BXQ24" s="252"/>
      <c r="BXR24" s="252"/>
      <c r="BXS24" s="252"/>
      <c r="BXT24" s="252"/>
      <c r="BXU24" s="252"/>
      <c r="BXV24" s="252"/>
      <c r="BXW24" s="252"/>
      <c r="BXX24" s="252"/>
      <c r="BXY24" s="252"/>
      <c r="BXZ24" s="252"/>
      <c r="BYA24" s="252"/>
      <c r="BYB24" s="252"/>
      <c r="BYC24" s="252"/>
      <c r="BYD24" s="252"/>
      <c r="BYE24" s="252"/>
      <c r="BYF24" s="252"/>
      <c r="BYG24" s="252"/>
      <c r="BYH24" s="252"/>
      <c r="BYI24" s="252"/>
      <c r="BYJ24" s="252"/>
      <c r="BYK24" s="252"/>
      <c r="BYL24" s="252"/>
      <c r="BYM24" s="252"/>
      <c r="BYN24" s="252"/>
      <c r="BYO24" s="252"/>
      <c r="BYP24" s="252"/>
      <c r="BYQ24" s="252"/>
      <c r="BYR24" s="252"/>
      <c r="BYS24" s="252"/>
      <c r="BYT24" s="252"/>
      <c r="BYU24" s="252"/>
      <c r="BYV24" s="252"/>
      <c r="BYW24" s="252"/>
      <c r="BYX24" s="252"/>
      <c r="BYY24" s="252"/>
      <c r="BYZ24" s="252"/>
      <c r="BZA24" s="252"/>
      <c r="BZB24" s="252"/>
      <c r="BZC24" s="252"/>
      <c r="BZD24" s="252"/>
      <c r="BZE24" s="252"/>
      <c r="BZF24" s="252"/>
      <c r="BZG24" s="252"/>
      <c r="BZH24" s="252"/>
      <c r="BZI24" s="252"/>
      <c r="BZJ24" s="252"/>
      <c r="BZK24" s="252"/>
      <c r="BZL24" s="252"/>
      <c r="BZM24" s="252"/>
      <c r="BZN24" s="252"/>
      <c r="BZO24" s="252"/>
      <c r="BZP24" s="252"/>
      <c r="BZQ24" s="252"/>
      <c r="BZR24" s="252"/>
      <c r="BZS24" s="252"/>
      <c r="BZT24" s="252"/>
      <c r="BZU24" s="252"/>
      <c r="BZV24" s="252"/>
      <c r="BZW24" s="252"/>
      <c r="BZX24" s="252"/>
      <c r="BZY24" s="252"/>
      <c r="BZZ24" s="252"/>
      <c r="CAA24" s="252"/>
      <c r="CAB24" s="252"/>
      <c r="CAC24" s="252"/>
      <c r="CAD24" s="252"/>
      <c r="CAE24" s="252"/>
      <c r="CAF24" s="252"/>
      <c r="CAG24" s="252"/>
      <c r="CAH24" s="252"/>
      <c r="CAI24" s="252"/>
      <c r="CAJ24" s="252"/>
      <c r="CAK24" s="252"/>
      <c r="CAL24" s="252"/>
      <c r="CAM24" s="252"/>
      <c r="CAN24" s="252"/>
      <c r="CAO24" s="252"/>
      <c r="CAP24" s="252"/>
      <c r="CAQ24" s="252"/>
      <c r="CAR24" s="252"/>
      <c r="CAS24" s="252"/>
      <c r="CAT24" s="252"/>
      <c r="CAU24" s="252"/>
      <c r="CAV24" s="252"/>
      <c r="CAW24" s="252"/>
      <c r="CAX24" s="252"/>
      <c r="CAY24" s="252"/>
      <c r="CAZ24" s="252"/>
      <c r="CBA24" s="252"/>
      <c r="CBB24" s="252"/>
      <c r="CBC24" s="252"/>
      <c r="CBD24" s="252"/>
      <c r="CBE24" s="252"/>
      <c r="CBF24" s="252"/>
      <c r="CBG24" s="252"/>
      <c r="CBH24" s="252"/>
      <c r="CBI24" s="252"/>
      <c r="CBJ24" s="252"/>
      <c r="CBK24" s="252"/>
      <c r="CBL24" s="252"/>
      <c r="CBM24" s="252"/>
      <c r="CBN24" s="252"/>
      <c r="CBO24" s="252"/>
      <c r="CBP24" s="252"/>
      <c r="CBQ24" s="252"/>
      <c r="CBR24" s="252"/>
      <c r="CBS24" s="252"/>
      <c r="CBT24" s="252"/>
      <c r="CBU24" s="252"/>
      <c r="CBV24" s="252"/>
      <c r="CBW24" s="252"/>
      <c r="CBX24" s="252"/>
      <c r="CBY24" s="252"/>
      <c r="CBZ24" s="252"/>
      <c r="CCA24" s="252"/>
      <c r="CCB24" s="252"/>
      <c r="CCC24" s="252"/>
      <c r="CCD24" s="252"/>
      <c r="CCE24" s="252"/>
      <c r="CCF24" s="252"/>
      <c r="CCG24" s="252"/>
      <c r="CCH24" s="252"/>
      <c r="CCI24" s="252"/>
      <c r="CCJ24" s="252"/>
      <c r="CCK24" s="252"/>
      <c r="CCL24" s="252"/>
      <c r="CCM24" s="252"/>
      <c r="CCN24" s="252"/>
      <c r="CCO24" s="252"/>
      <c r="CCP24" s="252"/>
      <c r="CCQ24" s="252"/>
      <c r="CCR24" s="252"/>
      <c r="CCS24" s="252"/>
      <c r="CCT24" s="252"/>
      <c r="CCU24" s="252"/>
      <c r="CCV24" s="252"/>
      <c r="CCW24" s="252"/>
      <c r="CCX24" s="252"/>
      <c r="CCY24" s="252"/>
      <c r="CCZ24" s="252"/>
      <c r="CDA24" s="252"/>
      <c r="CDB24" s="252"/>
      <c r="CDC24" s="252"/>
      <c r="CDD24" s="252"/>
      <c r="CDE24" s="252"/>
      <c r="CDF24" s="252"/>
      <c r="CDG24" s="252"/>
      <c r="CDH24" s="252"/>
      <c r="CDI24" s="252"/>
      <c r="CDJ24" s="252"/>
      <c r="CDK24" s="252"/>
      <c r="CDL24" s="252"/>
      <c r="CDM24" s="252"/>
      <c r="CDN24" s="252"/>
      <c r="CDO24" s="252"/>
      <c r="CDP24" s="252"/>
      <c r="CDQ24" s="252"/>
      <c r="CDR24" s="252"/>
      <c r="CDS24" s="252"/>
      <c r="CDT24" s="252"/>
      <c r="CDU24" s="252"/>
      <c r="CDV24" s="252"/>
      <c r="CDW24" s="252"/>
      <c r="CDX24" s="252"/>
      <c r="CDY24" s="252"/>
      <c r="CDZ24" s="252"/>
      <c r="CEA24" s="252"/>
      <c r="CEB24" s="252"/>
      <c r="CEC24" s="252"/>
      <c r="CED24" s="252"/>
      <c r="CEE24" s="252"/>
      <c r="CEF24" s="252"/>
      <c r="CEG24" s="252"/>
      <c r="CEH24" s="252"/>
      <c r="CEI24" s="252"/>
      <c r="CEJ24" s="252"/>
      <c r="CEK24" s="252"/>
      <c r="CEL24" s="252"/>
      <c r="CEM24" s="252"/>
      <c r="CEN24" s="252"/>
      <c r="CEO24" s="252"/>
      <c r="CEP24" s="252"/>
      <c r="CEQ24" s="252"/>
      <c r="CER24" s="252"/>
      <c r="CES24" s="252"/>
      <c r="CET24" s="252"/>
      <c r="CEU24" s="252"/>
      <c r="CEV24" s="252"/>
      <c r="CEW24" s="252"/>
      <c r="CEX24" s="252"/>
      <c r="CEY24" s="252"/>
      <c r="CEZ24" s="252"/>
      <c r="CFA24" s="252"/>
      <c r="CFB24" s="252"/>
      <c r="CFC24" s="252"/>
      <c r="CFD24" s="252"/>
      <c r="CFE24" s="252"/>
      <c r="CFF24" s="252"/>
      <c r="CFG24" s="252"/>
      <c r="CFH24" s="252"/>
      <c r="CFI24" s="252"/>
      <c r="CFJ24" s="252"/>
      <c r="CFK24" s="252"/>
      <c r="CFL24" s="252"/>
      <c r="CFM24" s="252"/>
      <c r="CFN24" s="252"/>
      <c r="CFO24" s="252"/>
      <c r="CFP24" s="252"/>
      <c r="CFQ24" s="252"/>
      <c r="CFR24" s="252"/>
      <c r="CFS24" s="252"/>
      <c r="CFT24" s="252"/>
      <c r="CFU24" s="252"/>
      <c r="CFV24" s="252"/>
      <c r="CFW24" s="252"/>
      <c r="CFX24" s="252"/>
      <c r="CFY24" s="252"/>
      <c r="CFZ24" s="252"/>
      <c r="CGA24" s="252"/>
      <c r="CGB24" s="252"/>
      <c r="CGC24" s="252"/>
      <c r="CGD24" s="252"/>
      <c r="CGE24" s="252"/>
      <c r="CGF24" s="252"/>
      <c r="CGG24" s="252"/>
      <c r="CGH24" s="252"/>
      <c r="CGI24" s="252"/>
      <c r="CGJ24" s="252"/>
      <c r="CGK24" s="252"/>
      <c r="CGL24" s="252"/>
      <c r="CGM24" s="252"/>
      <c r="CGN24" s="252"/>
      <c r="CGO24" s="252"/>
      <c r="CGP24" s="252"/>
      <c r="CGQ24" s="252"/>
      <c r="CGR24" s="252"/>
      <c r="CGS24" s="252"/>
      <c r="CGT24" s="252"/>
      <c r="CGU24" s="252"/>
      <c r="CGV24" s="252"/>
      <c r="CGW24" s="252"/>
      <c r="CGX24" s="252"/>
      <c r="CGY24" s="252"/>
      <c r="CGZ24" s="252"/>
      <c r="CHA24" s="252"/>
      <c r="CHB24" s="252"/>
      <c r="CHC24" s="252"/>
      <c r="CHD24" s="252"/>
      <c r="CHE24" s="252"/>
      <c r="CHF24" s="252"/>
      <c r="CHG24" s="252"/>
      <c r="CHH24" s="252"/>
      <c r="CHI24" s="252"/>
      <c r="CHJ24" s="252"/>
      <c r="CHK24" s="252"/>
      <c r="CHL24" s="252"/>
      <c r="CHM24" s="252"/>
      <c r="CHN24" s="252"/>
      <c r="CHO24" s="252"/>
      <c r="CHP24" s="252"/>
      <c r="CHQ24" s="252"/>
      <c r="CHR24" s="252"/>
      <c r="CHS24" s="252"/>
      <c r="CHT24" s="252"/>
      <c r="CHU24" s="252"/>
      <c r="CHV24" s="252"/>
      <c r="CHW24" s="252"/>
      <c r="CHX24" s="252"/>
      <c r="CHY24" s="252"/>
      <c r="CHZ24" s="252"/>
      <c r="CIA24" s="252"/>
      <c r="CIB24" s="252"/>
      <c r="CIC24" s="252"/>
      <c r="CID24" s="252"/>
      <c r="CIE24" s="252"/>
      <c r="CIF24" s="252"/>
      <c r="CIG24" s="252"/>
      <c r="CIH24" s="252"/>
      <c r="CII24" s="252"/>
      <c r="CIJ24" s="252"/>
      <c r="CIK24" s="252"/>
      <c r="CIL24" s="252"/>
      <c r="CIM24" s="252"/>
      <c r="CIN24" s="252"/>
      <c r="CIO24" s="252"/>
      <c r="CIP24" s="252"/>
      <c r="CIQ24" s="252"/>
      <c r="CIR24" s="252"/>
      <c r="CIS24" s="252"/>
      <c r="CIT24" s="252"/>
      <c r="CIU24" s="252"/>
      <c r="CIV24" s="252"/>
      <c r="CIW24" s="252"/>
      <c r="CIX24" s="252"/>
      <c r="CIY24" s="252"/>
      <c r="CIZ24" s="252"/>
      <c r="CJA24" s="252"/>
      <c r="CJB24" s="252"/>
      <c r="CJC24" s="252"/>
      <c r="CJD24" s="252"/>
      <c r="CJE24" s="252"/>
      <c r="CJF24" s="252"/>
      <c r="CJG24" s="252"/>
      <c r="CJH24" s="252"/>
      <c r="CJI24" s="252"/>
      <c r="CJJ24" s="252"/>
      <c r="CJK24" s="252"/>
      <c r="CJL24" s="252"/>
      <c r="CJM24" s="252"/>
      <c r="CJN24" s="252"/>
      <c r="CJO24" s="252"/>
      <c r="CJP24" s="252"/>
      <c r="CJQ24" s="252"/>
      <c r="CJR24" s="252"/>
      <c r="CJS24" s="252"/>
      <c r="CJT24" s="252"/>
      <c r="CJU24" s="252"/>
      <c r="CJV24" s="252"/>
      <c r="CJW24" s="252"/>
      <c r="CJX24" s="252"/>
      <c r="CJY24" s="252"/>
      <c r="CJZ24" s="252"/>
      <c r="CKA24" s="252"/>
      <c r="CKB24" s="252"/>
      <c r="CKC24" s="252"/>
      <c r="CKD24" s="252"/>
      <c r="CKE24" s="252"/>
      <c r="CKF24" s="252"/>
      <c r="CKG24" s="252"/>
      <c r="CKH24" s="252"/>
      <c r="CKI24" s="252"/>
      <c r="CKJ24" s="252"/>
      <c r="CKK24" s="252"/>
      <c r="CKL24" s="252"/>
      <c r="CKM24" s="252"/>
      <c r="CKN24" s="252"/>
      <c r="CKO24" s="252"/>
      <c r="CKP24" s="252"/>
      <c r="CKQ24" s="252"/>
      <c r="CKR24" s="252"/>
      <c r="CKS24" s="252"/>
      <c r="CKT24" s="252"/>
      <c r="CKU24" s="252"/>
      <c r="CKV24" s="252"/>
      <c r="CKW24" s="252"/>
      <c r="CKX24" s="252"/>
      <c r="CKY24" s="252"/>
      <c r="CKZ24" s="252"/>
      <c r="CLA24" s="252"/>
      <c r="CLB24" s="252"/>
      <c r="CLC24" s="252"/>
      <c r="CLD24" s="252"/>
      <c r="CLE24" s="252"/>
      <c r="CLF24" s="252"/>
      <c r="CLG24" s="252"/>
      <c r="CLH24" s="252"/>
      <c r="CLI24" s="252"/>
      <c r="CLJ24" s="252"/>
      <c r="CLK24" s="252"/>
      <c r="CLL24" s="252"/>
      <c r="CLM24" s="252"/>
      <c r="CLN24" s="252"/>
      <c r="CLO24" s="252"/>
      <c r="CLP24" s="252"/>
      <c r="CLQ24" s="252"/>
      <c r="CLR24" s="252"/>
      <c r="CLS24" s="252"/>
      <c r="CLT24" s="252"/>
      <c r="CLU24" s="252"/>
      <c r="CLV24" s="252"/>
      <c r="CLW24" s="252"/>
      <c r="CLX24" s="252"/>
      <c r="CLY24" s="252"/>
      <c r="CLZ24" s="252"/>
      <c r="CMA24" s="252"/>
      <c r="CMB24" s="252"/>
      <c r="CMC24" s="252"/>
      <c r="CMD24" s="252"/>
      <c r="CME24" s="252"/>
      <c r="CMF24" s="252"/>
      <c r="CMG24" s="252"/>
      <c r="CMH24" s="252"/>
      <c r="CMI24" s="252"/>
      <c r="CMJ24" s="252"/>
      <c r="CMK24" s="252"/>
      <c r="CML24" s="252"/>
      <c r="CMM24" s="252"/>
      <c r="CMN24" s="252"/>
      <c r="CMO24" s="252"/>
      <c r="CMP24" s="252"/>
      <c r="CMQ24" s="252"/>
      <c r="CMR24" s="252"/>
      <c r="CMS24" s="252"/>
      <c r="CMT24" s="252"/>
      <c r="CMU24" s="252"/>
      <c r="CMV24" s="252"/>
      <c r="CMW24" s="252"/>
      <c r="CMX24" s="252"/>
      <c r="CMY24" s="252"/>
      <c r="CMZ24" s="252"/>
      <c r="CNA24" s="252"/>
      <c r="CNB24" s="252"/>
      <c r="CNC24" s="252"/>
      <c r="CND24" s="252"/>
      <c r="CNE24" s="252"/>
      <c r="CNF24" s="252"/>
      <c r="CNG24" s="252"/>
      <c r="CNH24" s="252"/>
      <c r="CNI24" s="252"/>
      <c r="CNJ24" s="252"/>
      <c r="CNK24" s="252"/>
      <c r="CNL24" s="252"/>
      <c r="CNM24" s="252"/>
      <c r="CNN24" s="252"/>
      <c r="CNO24" s="252"/>
      <c r="CNP24" s="252"/>
      <c r="CNQ24" s="252"/>
      <c r="CNR24" s="252"/>
      <c r="CNS24" s="252"/>
      <c r="CNT24" s="252"/>
      <c r="CNU24" s="252"/>
      <c r="CNV24" s="252"/>
      <c r="CNW24" s="252"/>
      <c r="CNX24" s="252"/>
      <c r="CNY24" s="252"/>
      <c r="CNZ24" s="252"/>
      <c r="COA24" s="252"/>
      <c r="COB24" s="252"/>
      <c r="COC24" s="252"/>
      <c r="COD24" s="252"/>
      <c r="COE24" s="252"/>
      <c r="COF24" s="252"/>
      <c r="COG24" s="252"/>
      <c r="COH24" s="252"/>
      <c r="COI24" s="252"/>
      <c r="COJ24" s="252"/>
      <c r="COK24" s="252"/>
      <c r="COL24" s="252"/>
      <c r="COM24" s="252"/>
      <c r="CON24" s="252"/>
      <c r="COO24" s="252"/>
      <c r="COP24" s="252"/>
      <c r="COQ24" s="252"/>
      <c r="COR24" s="252"/>
      <c r="COS24" s="252"/>
      <c r="COT24" s="252"/>
      <c r="COU24" s="252"/>
      <c r="COV24" s="252"/>
      <c r="COW24" s="252"/>
      <c r="COX24" s="252"/>
      <c r="COY24" s="252"/>
      <c r="COZ24" s="252"/>
      <c r="CPA24" s="252"/>
      <c r="CPB24" s="252"/>
      <c r="CPC24" s="252"/>
      <c r="CPD24" s="252"/>
      <c r="CPE24" s="252"/>
      <c r="CPF24" s="252"/>
      <c r="CPG24" s="252"/>
      <c r="CPH24" s="252"/>
      <c r="CPI24" s="252"/>
      <c r="CPJ24" s="252"/>
      <c r="CPK24" s="252"/>
      <c r="CPL24" s="252"/>
      <c r="CPM24" s="252"/>
      <c r="CPN24" s="252"/>
      <c r="CPO24" s="252"/>
      <c r="CPP24" s="252"/>
      <c r="CPQ24" s="252"/>
      <c r="CPR24" s="252"/>
      <c r="CPS24" s="252"/>
      <c r="CPT24" s="252"/>
      <c r="CPU24" s="252"/>
      <c r="CPV24" s="252"/>
      <c r="CPW24" s="252"/>
      <c r="CPX24" s="252"/>
      <c r="CPY24" s="252"/>
      <c r="CPZ24" s="252"/>
      <c r="CQA24" s="252"/>
      <c r="CQB24" s="252"/>
      <c r="CQC24" s="252"/>
      <c r="CQD24" s="252"/>
      <c r="CQE24" s="252"/>
      <c r="CQF24" s="252"/>
      <c r="CQG24" s="252"/>
      <c r="CQH24" s="252"/>
      <c r="CQI24" s="252"/>
      <c r="CQJ24" s="252"/>
      <c r="CQK24" s="252"/>
      <c r="CQL24" s="252"/>
      <c r="CQM24" s="252"/>
      <c r="CQN24" s="252"/>
      <c r="CQO24" s="252"/>
      <c r="CQP24" s="252"/>
      <c r="CQQ24" s="252"/>
      <c r="CQR24" s="252"/>
      <c r="CQS24" s="252"/>
      <c r="CQT24" s="252"/>
      <c r="CQU24" s="252"/>
      <c r="CQV24" s="252"/>
      <c r="CQW24" s="252"/>
      <c r="CQX24" s="252"/>
      <c r="CQY24" s="252"/>
      <c r="CQZ24" s="252"/>
      <c r="CRA24" s="252"/>
      <c r="CRB24" s="252"/>
      <c r="CRC24" s="252"/>
      <c r="CRD24" s="252"/>
      <c r="CRE24" s="252"/>
      <c r="CRF24" s="252"/>
      <c r="CRG24" s="252"/>
      <c r="CRH24" s="252"/>
      <c r="CRI24" s="252"/>
      <c r="CRJ24" s="252"/>
      <c r="CRK24" s="252"/>
      <c r="CRL24" s="252"/>
      <c r="CRM24" s="252"/>
      <c r="CRN24" s="252"/>
      <c r="CRO24" s="252"/>
      <c r="CRP24" s="252"/>
      <c r="CRQ24" s="252"/>
      <c r="CRR24" s="252"/>
      <c r="CRS24" s="252"/>
      <c r="CRT24" s="252"/>
      <c r="CRU24" s="252"/>
      <c r="CRV24" s="252"/>
      <c r="CRW24" s="252"/>
      <c r="CRX24" s="252"/>
      <c r="CRY24" s="252"/>
      <c r="CRZ24" s="252"/>
      <c r="CSA24" s="252"/>
      <c r="CSB24" s="252"/>
      <c r="CSC24" s="252"/>
      <c r="CSD24" s="252"/>
      <c r="CSE24" s="252"/>
      <c r="CSF24" s="252"/>
      <c r="CSG24" s="252"/>
      <c r="CSH24" s="252"/>
      <c r="CSI24" s="252"/>
      <c r="CSJ24" s="252"/>
      <c r="CSK24" s="252"/>
      <c r="CSL24" s="252"/>
      <c r="CSM24" s="252"/>
      <c r="CSN24" s="252"/>
      <c r="CSO24" s="252"/>
      <c r="CSP24" s="252"/>
      <c r="CSQ24" s="252"/>
      <c r="CSR24" s="252"/>
      <c r="CSS24" s="252"/>
      <c r="CST24" s="252"/>
      <c r="CSU24" s="252"/>
      <c r="CSV24" s="252"/>
      <c r="CSW24" s="252"/>
      <c r="CSX24" s="252"/>
      <c r="CSY24" s="252"/>
      <c r="CSZ24" s="252"/>
      <c r="CTA24" s="252"/>
      <c r="CTB24" s="252"/>
      <c r="CTC24" s="252"/>
      <c r="CTD24" s="252"/>
      <c r="CTE24" s="252"/>
      <c r="CTF24" s="252"/>
      <c r="CTG24" s="252"/>
      <c r="CTH24" s="252"/>
      <c r="CTI24" s="252"/>
      <c r="CTJ24" s="252"/>
      <c r="CTK24" s="252"/>
      <c r="CTL24" s="252"/>
      <c r="CTM24" s="252"/>
      <c r="CTN24" s="252"/>
      <c r="CTO24" s="252"/>
      <c r="CTP24" s="252"/>
      <c r="CTQ24" s="252"/>
      <c r="CTR24" s="252"/>
      <c r="CTS24" s="252"/>
      <c r="CTT24" s="252"/>
      <c r="CTU24" s="252"/>
      <c r="CTV24" s="252"/>
      <c r="CTW24" s="252"/>
      <c r="CTX24" s="252"/>
      <c r="CTY24" s="252"/>
      <c r="CTZ24" s="252"/>
      <c r="CUA24" s="252"/>
      <c r="CUB24" s="252"/>
      <c r="CUC24" s="252"/>
      <c r="CUD24" s="252"/>
      <c r="CUE24" s="252"/>
      <c r="CUF24" s="252"/>
      <c r="CUG24" s="252"/>
      <c r="CUH24" s="252"/>
      <c r="CUI24" s="252"/>
      <c r="CUJ24" s="252"/>
      <c r="CUK24" s="252"/>
      <c r="CUL24" s="252"/>
      <c r="CUM24" s="252"/>
      <c r="CUN24" s="252"/>
      <c r="CUO24" s="252"/>
      <c r="CUP24" s="252"/>
      <c r="CUQ24" s="252"/>
      <c r="CUR24" s="252"/>
      <c r="CUS24" s="252"/>
      <c r="CUT24" s="252"/>
      <c r="CUU24" s="252"/>
      <c r="CUV24" s="252"/>
      <c r="CUW24" s="252"/>
      <c r="CUX24" s="252"/>
      <c r="CUY24" s="252"/>
      <c r="CUZ24" s="252"/>
      <c r="CVA24" s="252"/>
      <c r="CVB24" s="252"/>
      <c r="CVC24" s="252"/>
      <c r="CVD24" s="252"/>
      <c r="CVE24" s="252"/>
      <c r="CVF24" s="252"/>
      <c r="CVG24" s="252"/>
      <c r="CVH24" s="252"/>
      <c r="CVI24" s="252"/>
      <c r="CVJ24" s="252"/>
      <c r="CVK24" s="252"/>
      <c r="CVL24" s="252"/>
      <c r="CVM24" s="252"/>
      <c r="CVN24" s="252"/>
      <c r="CVO24" s="252"/>
      <c r="CVP24" s="252"/>
      <c r="CVQ24" s="252"/>
      <c r="CVR24" s="252"/>
      <c r="CVS24" s="252"/>
      <c r="CVT24" s="252"/>
      <c r="CVU24" s="252"/>
      <c r="CVV24" s="252"/>
      <c r="CVW24" s="252"/>
      <c r="CVX24" s="252"/>
      <c r="CVY24" s="252"/>
      <c r="CVZ24" s="252"/>
      <c r="CWA24" s="252"/>
      <c r="CWB24" s="252"/>
      <c r="CWC24" s="252"/>
      <c r="CWD24" s="252"/>
      <c r="CWE24" s="252"/>
      <c r="CWF24" s="252"/>
      <c r="CWG24" s="252"/>
      <c r="CWH24" s="252"/>
      <c r="CWI24" s="252"/>
      <c r="CWJ24" s="252"/>
      <c r="CWK24" s="252"/>
      <c r="CWL24" s="252"/>
      <c r="CWM24" s="252"/>
      <c r="CWN24" s="252"/>
      <c r="CWO24" s="252"/>
      <c r="CWP24" s="252"/>
      <c r="CWQ24" s="252"/>
      <c r="CWR24" s="252"/>
      <c r="CWS24" s="252"/>
      <c r="CWT24" s="252"/>
      <c r="CWU24" s="252"/>
      <c r="CWV24" s="252"/>
      <c r="CWW24" s="252"/>
      <c r="CWX24" s="252"/>
      <c r="CWY24" s="252"/>
      <c r="CWZ24" s="252"/>
      <c r="CXA24" s="252"/>
      <c r="CXB24" s="252"/>
      <c r="CXC24" s="252"/>
      <c r="CXD24" s="252"/>
      <c r="CXE24" s="252"/>
      <c r="CXF24" s="252"/>
      <c r="CXG24" s="252"/>
      <c r="CXH24" s="252"/>
      <c r="CXI24" s="252"/>
      <c r="CXJ24" s="252"/>
      <c r="CXK24" s="252"/>
      <c r="CXL24" s="252"/>
      <c r="CXM24" s="252"/>
      <c r="CXN24" s="252"/>
      <c r="CXO24" s="252"/>
      <c r="CXP24" s="252"/>
      <c r="CXQ24" s="252"/>
      <c r="CXR24" s="252"/>
      <c r="CXS24" s="252"/>
      <c r="CXT24" s="252"/>
      <c r="CXU24" s="252"/>
      <c r="CXV24" s="252"/>
      <c r="CXW24" s="252"/>
      <c r="CXX24" s="252"/>
      <c r="CXY24" s="252"/>
      <c r="CXZ24" s="252"/>
      <c r="CYA24" s="252"/>
      <c r="CYB24" s="252"/>
      <c r="CYC24" s="252"/>
      <c r="CYD24" s="252"/>
      <c r="CYE24" s="252"/>
      <c r="CYF24" s="252"/>
      <c r="CYG24" s="252"/>
      <c r="CYH24" s="252"/>
      <c r="CYI24" s="252"/>
      <c r="CYJ24" s="252"/>
      <c r="CYK24" s="252"/>
      <c r="CYL24" s="252"/>
      <c r="CYM24" s="252"/>
      <c r="CYN24" s="252"/>
      <c r="CYO24" s="252"/>
      <c r="CYP24" s="252"/>
      <c r="CYQ24" s="252"/>
      <c r="CYR24" s="252"/>
      <c r="CYS24" s="252"/>
      <c r="CYT24" s="252"/>
      <c r="CYU24" s="252"/>
      <c r="CYV24" s="252"/>
      <c r="CYW24" s="252"/>
      <c r="CYX24" s="252"/>
      <c r="CYY24" s="252"/>
      <c r="CYZ24" s="252"/>
      <c r="CZA24" s="252"/>
      <c r="CZB24" s="252"/>
      <c r="CZC24" s="252"/>
      <c r="CZD24" s="252"/>
      <c r="CZE24" s="252"/>
      <c r="CZF24" s="252"/>
      <c r="CZG24" s="252"/>
      <c r="CZH24" s="252"/>
      <c r="CZI24" s="252"/>
      <c r="CZJ24" s="252"/>
      <c r="CZK24" s="252"/>
      <c r="CZL24" s="252"/>
      <c r="CZM24" s="252"/>
      <c r="CZN24" s="252"/>
      <c r="CZO24" s="252"/>
      <c r="CZP24" s="252"/>
      <c r="CZQ24" s="252"/>
      <c r="CZR24" s="252"/>
      <c r="CZS24" s="252"/>
      <c r="CZT24" s="252"/>
      <c r="CZU24" s="252"/>
      <c r="CZV24" s="252"/>
      <c r="CZW24" s="252"/>
      <c r="CZX24" s="252"/>
      <c r="CZY24" s="252"/>
      <c r="CZZ24" s="252"/>
      <c r="DAA24" s="252"/>
      <c r="DAB24" s="252"/>
      <c r="DAC24" s="252"/>
      <c r="DAD24" s="252"/>
      <c r="DAE24" s="252"/>
      <c r="DAF24" s="252"/>
      <c r="DAG24" s="252"/>
      <c r="DAH24" s="252"/>
      <c r="DAI24" s="252"/>
      <c r="DAJ24" s="252"/>
      <c r="DAK24" s="252"/>
      <c r="DAL24" s="252"/>
      <c r="DAM24" s="252"/>
      <c r="DAN24" s="252"/>
      <c r="DAO24" s="252"/>
      <c r="DAP24" s="252"/>
      <c r="DAQ24" s="252"/>
      <c r="DAR24" s="252"/>
      <c r="DAS24" s="252"/>
      <c r="DAT24" s="252"/>
      <c r="DAU24" s="252"/>
      <c r="DAV24" s="252"/>
      <c r="DAW24" s="252"/>
      <c r="DAX24" s="252"/>
      <c r="DAY24" s="252"/>
      <c r="DAZ24" s="252"/>
      <c r="DBA24" s="252"/>
      <c r="DBB24" s="252"/>
      <c r="DBC24" s="252"/>
      <c r="DBD24" s="252"/>
      <c r="DBE24" s="252"/>
      <c r="DBF24" s="252"/>
      <c r="DBG24" s="252"/>
      <c r="DBH24" s="252"/>
      <c r="DBI24" s="252"/>
      <c r="DBJ24" s="252"/>
      <c r="DBK24" s="252"/>
      <c r="DBL24" s="252"/>
      <c r="DBM24" s="252"/>
      <c r="DBN24" s="252"/>
      <c r="DBO24" s="252"/>
      <c r="DBP24" s="252"/>
      <c r="DBQ24" s="252"/>
      <c r="DBR24" s="252"/>
      <c r="DBS24" s="252"/>
      <c r="DBT24" s="252"/>
      <c r="DBU24" s="252"/>
      <c r="DBV24" s="252"/>
      <c r="DBW24" s="252"/>
      <c r="DBX24" s="252"/>
      <c r="DBY24" s="252"/>
      <c r="DBZ24" s="252"/>
      <c r="DCA24" s="252"/>
      <c r="DCB24" s="252"/>
      <c r="DCC24" s="252"/>
      <c r="DCD24" s="252"/>
      <c r="DCE24" s="252"/>
      <c r="DCF24" s="252"/>
      <c r="DCG24" s="252"/>
      <c r="DCH24" s="252"/>
      <c r="DCI24" s="252"/>
      <c r="DCJ24" s="252"/>
      <c r="DCK24" s="252"/>
      <c r="DCL24" s="252"/>
      <c r="DCM24" s="252"/>
      <c r="DCN24" s="252"/>
      <c r="DCO24" s="252"/>
      <c r="DCP24" s="252"/>
      <c r="DCQ24" s="252"/>
      <c r="DCR24" s="252"/>
      <c r="DCS24" s="252"/>
      <c r="DCT24" s="252"/>
      <c r="DCU24" s="252"/>
      <c r="DCV24" s="252"/>
      <c r="DCW24" s="252"/>
      <c r="DCX24" s="252"/>
      <c r="DCY24" s="252"/>
      <c r="DCZ24" s="252"/>
      <c r="DDA24" s="252"/>
      <c r="DDB24" s="252"/>
      <c r="DDC24" s="252"/>
      <c r="DDD24" s="252"/>
      <c r="DDE24" s="252"/>
      <c r="DDF24" s="252"/>
      <c r="DDG24" s="252"/>
      <c r="DDH24" s="252"/>
      <c r="DDI24" s="252"/>
      <c r="DDJ24" s="252"/>
      <c r="DDK24" s="252"/>
      <c r="DDL24" s="252"/>
      <c r="DDM24" s="252"/>
      <c r="DDN24" s="252"/>
      <c r="DDO24" s="252"/>
      <c r="DDP24" s="252"/>
      <c r="DDQ24" s="252"/>
      <c r="DDR24" s="252"/>
      <c r="DDS24" s="252"/>
      <c r="DDT24" s="252"/>
      <c r="DDU24" s="252"/>
      <c r="DDV24" s="252"/>
      <c r="DDW24" s="252"/>
      <c r="DDX24" s="252"/>
      <c r="DDY24" s="252"/>
      <c r="DDZ24" s="252"/>
      <c r="DEA24" s="252"/>
      <c r="DEB24" s="252"/>
      <c r="DEC24" s="252"/>
      <c r="DED24" s="252"/>
      <c r="DEE24" s="252"/>
      <c r="DEF24" s="252"/>
      <c r="DEG24" s="252"/>
      <c r="DEH24" s="252"/>
      <c r="DEI24" s="252"/>
      <c r="DEJ24" s="252"/>
      <c r="DEK24" s="252"/>
      <c r="DEL24" s="252"/>
      <c r="DEM24" s="252"/>
      <c r="DEN24" s="252"/>
      <c r="DEO24" s="252"/>
      <c r="DEP24" s="252"/>
      <c r="DEQ24" s="252"/>
      <c r="DER24" s="252"/>
      <c r="DES24" s="252"/>
      <c r="DET24" s="252"/>
      <c r="DEU24" s="252"/>
      <c r="DEV24" s="252"/>
      <c r="DEW24" s="252"/>
      <c r="DEX24" s="252"/>
      <c r="DEY24" s="252"/>
      <c r="DEZ24" s="252"/>
      <c r="DFA24" s="252"/>
      <c r="DFB24" s="252"/>
      <c r="DFC24" s="252"/>
      <c r="DFD24" s="252"/>
      <c r="DFE24" s="252"/>
      <c r="DFF24" s="252"/>
      <c r="DFG24" s="252"/>
      <c r="DFH24" s="252"/>
      <c r="DFI24" s="252"/>
      <c r="DFJ24" s="252"/>
      <c r="DFK24" s="252"/>
      <c r="DFL24" s="252"/>
      <c r="DFM24" s="252"/>
      <c r="DFN24" s="252"/>
      <c r="DFO24" s="252"/>
      <c r="DFP24" s="252"/>
      <c r="DFQ24" s="252"/>
      <c r="DFR24" s="252"/>
      <c r="DFS24" s="252"/>
      <c r="DFT24" s="252"/>
      <c r="DFU24" s="252"/>
      <c r="DFV24" s="252"/>
      <c r="DFW24" s="252"/>
      <c r="DFX24" s="252"/>
      <c r="DFY24" s="252"/>
      <c r="DFZ24" s="252"/>
      <c r="DGA24" s="252"/>
      <c r="DGB24" s="252"/>
      <c r="DGC24" s="252"/>
      <c r="DGD24" s="252"/>
      <c r="DGE24" s="252"/>
      <c r="DGF24" s="252"/>
      <c r="DGG24" s="252"/>
      <c r="DGH24" s="252"/>
      <c r="DGI24" s="252"/>
      <c r="DGJ24" s="252"/>
      <c r="DGK24" s="252"/>
      <c r="DGL24" s="252"/>
      <c r="DGM24" s="252"/>
      <c r="DGN24" s="252"/>
      <c r="DGO24" s="252"/>
      <c r="DGP24" s="252"/>
      <c r="DGQ24" s="252"/>
      <c r="DGR24" s="252"/>
      <c r="DGS24" s="252"/>
      <c r="DGT24" s="252"/>
      <c r="DGU24" s="252"/>
      <c r="DGV24" s="252"/>
      <c r="DGW24" s="252"/>
      <c r="DGX24" s="252"/>
      <c r="DGY24" s="252"/>
      <c r="DGZ24" s="252"/>
      <c r="DHA24" s="252"/>
      <c r="DHB24" s="252"/>
      <c r="DHC24" s="252"/>
      <c r="DHD24" s="252"/>
      <c r="DHE24" s="252"/>
      <c r="DHF24" s="252"/>
      <c r="DHG24" s="252"/>
      <c r="DHH24" s="252"/>
      <c r="DHI24" s="252"/>
      <c r="DHJ24" s="252"/>
      <c r="DHK24" s="252"/>
      <c r="DHL24" s="252"/>
      <c r="DHM24" s="252"/>
      <c r="DHN24" s="252"/>
      <c r="DHO24" s="252"/>
      <c r="DHP24" s="252"/>
      <c r="DHQ24" s="252"/>
      <c r="DHR24" s="252"/>
      <c r="DHS24" s="252"/>
      <c r="DHT24" s="252"/>
      <c r="DHU24" s="252"/>
      <c r="DHV24" s="252"/>
      <c r="DHW24" s="252"/>
      <c r="DHX24" s="252"/>
      <c r="DHY24" s="252"/>
      <c r="DHZ24" s="252"/>
      <c r="DIA24" s="252"/>
      <c r="DIB24" s="252"/>
      <c r="DIC24" s="252"/>
      <c r="DID24" s="252"/>
      <c r="DIE24" s="252"/>
      <c r="DIF24" s="252"/>
      <c r="DIG24" s="252"/>
      <c r="DIH24" s="252"/>
      <c r="DII24" s="252"/>
      <c r="DIJ24" s="252"/>
      <c r="DIK24" s="252"/>
      <c r="DIL24" s="252"/>
      <c r="DIM24" s="252"/>
      <c r="DIN24" s="252"/>
      <c r="DIO24" s="252"/>
      <c r="DIP24" s="252"/>
      <c r="DIQ24" s="252"/>
      <c r="DIR24" s="252"/>
      <c r="DIS24" s="252"/>
      <c r="DIT24" s="252"/>
      <c r="DIU24" s="252"/>
      <c r="DIV24" s="252"/>
      <c r="DIW24" s="252"/>
      <c r="DIX24" s="252"/>
      <c r="DIY24" s="252"/>
      <c r="DIZ24" s="252"/>
      <c r="DJA24" s="252"/>
      <c r="DJB24" s="252"/>
      <c r="DJC24" s="252"/>
      <c r="DJD24" s="252"/>
      <c r="DJE24" s="252"/>
      <c r="DJF24" s="252"/>
      <c r="DJG24" s="252"/>
      <c r="DJH24" s="252"/>
      <c r="DJI24" s="252"/>
      <c r="DJJ24" s="252"/>
      <c r="DJK24" s="252"/>
      <c r="DJL24" s="252"/>
      <c r="DJM24" s="252"/>
      <c r="DJN24" s="252"/>
      <c r="DJO24" s="252"/>
      <c r="DJP24" s="252"/>
      <c r="DJQ24" s="252"/>
      <c r="DJR24" s="252"/>
      <c r="DJS24" s="252"/>
      <c r="DJT24" s="252"/>
      <c r="DJU24" s="252"/>
      <c r="DJV24" s="252"/>
      <c r="DJW24" s="252"/>
      <c r="DJX24" s="252"/>
      <c r="DJY24" s="252"/>
      <c r="DJZ24" s="252"/>
      <c r="DKA24" s="252"/>
      <c r="DKB24" s="252"/>
      <c r="DKC24" s="252"/>
      <c r="DKD24" s="252"/>
      <c r="DKE24" s="252"/>
      <c r="DKF24" s="252"/>
      <c r="DKG24" s="252"/>
      <c r="DKH24" s="252"/>
      <c r="DKI24" s="252"/>
      <c r="DKJ24" s="252"/>
      <c r="DKK24" s="252"/>
      <c r="DKL24" s="252"/>
      <c r="DKM24" s="252"/>
      <c r="DKN24" s="252"/>
      <c r="DKO24" s="252"/>
      <c r="DKP24" s="252"/>
      <c r="DKQ24" s="252"/>
      <c r="DKR24" s="252"/>
      <c r="DKS24" s="252"/>
      <c r="DKT24" s="252"/>
      <c r="DKU24" s="252"/>
      <c r="DKV24" s="252"/>
      <c r="DKW24" s="252"/>
      <c r="DKX24" s="252"/>
      <c r="DKY24" s="252"/>
      <c r="DKZ24" s="252"/>
      <c r="DLA24" s="252"/>
      <c r="DLB24" s="252"/>
      <c r="DLC24" s="252"/>
      <c r="DLD24" s="252"/>
      <c r="DLE24" s="252"/>
      <c r="DLF24" s="252"/>
      <c r="DLG24" s="252"/>
      <c r="DLH24" s="252"/>
      <c r="DLI24" s="252"/>
      <c r="DLJ24" s="252"/>
      <c r="DLK24" s="252"/>
      <c r="DLL24" s="252"/>
      <c r="DLM24" s="252"/>
      <c r="DLN24" s="252"/>
      <c r="DLO24" s="252"/>
      <c r="DLP24" s="252"/>
      <c r="DLQ24" s="252"/>
      <c r="DLR24" s="252"/>
      <c r="DLS24" s="252"/>
      <c r="DLT24" s="252"/>
      <c r="DLU24" s="252"/>
      <c r="DLV24" s="252"/>
      <c r="DLW24" s="252"/>
      <c r="DLX24" s="252"/>
      <c r="DLY24" s="252"/>
      <c r="DLZ24" s="252"/>
      <c r="DMA24" s="252"/>
      <c r="DMB24" s="252"/>
      <c r="DMC24" s="252"/>
      <c r="DMD24" s="252"/>
      <c r="DME24" s="252"/>
      <c r="DMF24" s="252"/>
      <c r="DMG24" s="252"/>
      <c r="DMH24" s="252"/>
      <c r="DMI24" s="252"/>
      <c r="DMJ24" s="252"/>
      <c r="DMK24" s="252"/>
      <c r="DML24" s="252"/>
      <c r="DMM24" s="252"/>
      <c r="DMN24" s="252"/>
      <c r="DMO24" s="252"/>
      <c r="DMP24" s="252"/>
      <c r="DMQ24" s="252"/>
      <c r="DMR24" s="252"/>
      <c r="DMS24" s="252"/>
      <c r="DMT24" s="252"/>
      <c r="DMU24" s="252"/>
      <c r="DMV24" s="252"/>
      <c r="DMW24" s="252"/>
      <c r="DMX24" s="252"/>
      <c r="DMY24" s="252"/>
      <c r="DMZ24" s="252"/>
      <c r="DNA24" s="252"/>
      <c r="DNB24" s="252"/>
      <c r="DNC24" s="252"/>
      <c r="DND24" s="252"/>
      <c r="DNE24" s="252"/>
      <c r="DNF24" s="252"/>
      <c r="DNG24" s="252"/>
      <c r="DNH24" s="252"/>
      <c r="DNI24" s="252"/>
      <c r="DNJ24" s="252"/>
      <c r="DNK24" s="252"/>
      <c r="DNL24" s="252"/>
      <c r="DNM24" s="252"/>
      <c r="DNN24" s="252"/>
      <c r="DNO24" s="252"/>
      <c r="DNP24" s="252"/>
      <c r="DNQ24" s="252"/>
      <c r="DNR24" s="252"/>
      <c r="DNS24" s="252"/>
      <c r="DNT24" s="252"/>
      <c r="DNU24" s="252"/>
      <c r="DNV24" s="252"/>
      <c r="DNW24" s="252"/>
      <c r="DNX24" s="252"/>
      <c r="DNY24" s="252"/>
      <c r="DNZ24" s="252"/>
      <c r="DOA24" s="252"/>
      <c r="DOB24" s="252"/>
      <c r="DOC24" s="252"/>
      <c r="DOD24" s="252"/>
      <c r="DOE24" s="252"/>
      <c r="DOF24" s="252"/>
      <c r="DOG24" s="252"/>
      <c r="DOH24" s="252"/>
      <c r="DOI24" s="252"/>
      <c r="DOJ24" s="252"/>
      <c r="DOK24" s="252"/>
      <c r="DOL24" s="252"/>
      <c r="DOM24" s="252"/>
      <c r="DON24" s="252"/>
      <c r="DOO24" s="252"/>
      <c r="DOP24" s="252"/>
      <c r="DOQ24" s="252"/>
      <c r="DOR24" s="252"/>
      <c r="DOS24" s="252"/>
      <c r="DOT24" s="252"/>
      <c r="DOU24" s="252"/>
      <c r="DOV24" s="252"/>
      <c r="DOW24" s="252"/>
      <c r="DOX24" s="252"/>
      <c r="DOY24" s="252"/>
      <c r="DOZ24" s="252"/>
      <c r="DPA24" s="252"/>
      <c r="DPB24" s="252"/>
      <c r="DPC24" s="252"/>
      <c r="DPD24" s="252"/>
      <c r="DPE24" s="252"/>
      <c r="DPF24" s="252"/>
      <c r="DPG24" s="252"/>
      <c r="DPH24" s="252"/>
      <c r="DPI24" s="252"/>
      <c r="DPJ24" s="252"/>
      <c r="DPK24" s="252"/>
      <c r="DPL24" s="252"/>
      <c r="DPM24" s="252"/>
      <c r="DPN24" s="252"/>
      <c r="DPO24" s="252"/>
      <c r="DPP24" s="252"/>
      <c r="DPQ24" s="252"/>
      <c r="DPR24" s="252"/>
      <c r="DPS24" s="252"/>
      <c r="DPT24" s="252"/>
      <c r="DPU24" s="252"/>
      <c r="DPV24" s="252"/>
      <c r="DPW24" s="252"/>
      <c r="DPX24" s="252"/>
      <c r="DPY24" s="252"/>
      <c r="DPZ24" s="252"/>
      <c r="DQA24" s="252"/>
      <c r="DQB24" s="252"/>
      <c r="DQC24" s="252"/>
      <c r="DQD24" s="252"/>
      <c r="DQE24" s="252"/>
      <c r="DQF24" s="252"/>
      <c r="DQG24" s="252"/>
      <c r="DQH24" s="252"/>
      <c r="DQI24" s="252"/>
      <c r="DQJ24" s="252"/>
      <c r="DQK24" s="252"/>
      <c r="DQL24" s="252"/>
      <c r="DQM24" s="252"/>
      <c r="DQN24" s="252"/>
      <c r="DQO24" s="252"/>
      <c r="DQP24" s="252"/>
      <c r="DQQ24" s="252"/>
      <c r="DQR24" s="252"/>
      <c r="DQS24" s="252"/>
      <c r="DQT24" s="252"/>
      <c r="DQU24" s="252"/>
      <c r="DQV24" s="252"/>
      <c r="DQW24" s="252"/>
      <c r="DQX24" s="252"/>
      <c r="DQY24" s="252"/>
      <c r="DQZ24" s="252"/>
      <c r="DRA24" s="252"/>
      <c r="DRB24" s="252"/>
      <c r="DRC24" s="252"/>
      <c r="DRD24" s="252"/>
      <c r="DRE24" s="252"/>
      <c r="DRF24" s="252"/>
      <c r="DRG24" s="252"/>
      <c r="DRH24" s="252"/>
      <c r="DRI24" s="252"/>
      <c r="DRJ24" s="252"/>
      <c r="DRK24" s="252"/>
      <c r="DRL24" s="252"/>
      <c r="DRM24" s="252"/>
      <c r="DRN24" s="252"/>
      <c r="DRO24" s="252"/>
      <c r="DRP24" s="252"/>
      <c r="DRQ24" s="252"/>
      <c r="DRR24" s="252"/>
      <c r="DRS24" s="252"/>
      <c r="DRT24" s="252"/>
      <c r="DRU24" s="252"/>
      <c r="DRV24" s="252"/>
      <c r="DRW24" s="252"/>
      <c r="DRX24" s="252"/>
      <c r="DRY24" s="252"/>
      <c r="DRZ24" s="252"/>
      <c r="DSA24" s="252"/>
      <c r="DSB24" s="252"/>
      <c r="DSC24" s="252"/>
      <c r="DSD24" s="252"/>
      <c r="DSE24" s="252"/>
      <c r="DSF24" s="252"/>
      <c r="DSG24" s="252"/>
      <c r="DSH24" s="252"/>
      <c r="DSI24" s="252"/>
      <c r="DSJ24" s="252"/>
      <c r="DSK24" s="252"/>
      <c r="DSL24" s="252"/>
      <c r="DSM24" s="252"/>
      <c r="DSN24" s="252"/>
      <c r="DSO24" s="252"/>
      <c r="DSP24" s="252"/>
      <c r="DSQ24" s="252"/>
      <c r="DSR24" s="252"/>
      <c r="DSS24" s="252"/>
      <c r="DST24" s="252"/>
      <c r="DSU24" s="252"/>
      <c r="DSV24" s="252"/>
      <c r="DSW24" s="252"/>
      <c r="DSX24" s="252"/>
      <c r="DSY24" s="252"/>
      <c r="DSZ24" s="252"/>
      <c r="DTA24" s="252"/>
      <c r="DTB24" s="252"/>
      <c r="DTC24" s="252"/>
      <c r="DTD24" s="252"/>
      <c r="DTE24" s="252"/>
      <c r="DTF24" s="252"/>
      <c r="DTG24" s="252"/>
      <c r="DTH24" s="252"/>
      <c r="DTI24" s="252"/>
      <c r="DTJ24" s="252"/>
      <c r="DTK24" s="252"/>
      <c r="DTL24" s="252"/>
      <c r="DTM24" s="252"/>
      <c r="DTN24" s="252"/>
      <c r="DTO24" s="252"/>
      <c r="DTP24" s="252"/>
      <c r="DTQ24" s="252"/>
      <c r="DTR24" s="252"/>
      <c r="DTS24" s="252"/>
      <c r="DTT24" s="252"/>
      <c r="DTU24" s="252"/>
      <c r="DTV24" s="252"/>
      <c r="DTW24" s="252"/>
      <c r="DTX24" s="252"/>
      <c r="DTY24" s="252"/>
      <c r="DTZ24" s="252"/>
      <c r="DUA24" s="252"/>
      <c r="DUB24" s="252"/>
      <c r="DUC24" s="252"/>
      <c r="DUD24" s="252"/>
      <c r="DUE24" s="252"/>
      <c r="DUF24" s="252"/>
      <c r="DUG24" s="252"/>
      <c r="DUH24" s="252"/>
      <c r="DUI24" s="252"/>
      <c r="DUJ24" s="252"/>
      <c r="DUK24" s="252"/>
      <c r="DUL24" s="252"/>
      <c r="DUM24" s="252"/>
      <c r="DUN24" s="252"/>
      <c r="DUO24" s="252"/>
      <c r="DUP24" s="252"/>
      <c r="DUQ24" s="252"/>
      <c r="DUR24" s="252"/>
      <c r="DUS24" s="252"/>
      <c r="DUT24" s="252"/>
      <c r="DUU24" s="252"/>
      <c r="DUV24" s="252"/>
      <c r="DUW24" s="252"/>
      <c r="DUX24" s="252"/>
      <c r="DUY24" s="252"/>
      <c r="DUZ24" s="252"/>
      <c r="DVA24" s="252"/>
      <c r="DVB24" s="252"/>
      <c r="DVC24" s="252"/>
      <c r="DVD24" s="252"/>
      <c r="DVE24" s="252"/>
      <c r="DVF24" s="252"/>
      <c r="DVG24" s="252"/>
      <c r="DVH24" s="252"/>
      <c r="DVI24" s="252"/>
      <c r="DVJ24" s="252"/>
      <c r="DVK24" s="252"/>
      <c r="DVL24" s="252"/>
      <c r="DVM24" s="252"/>
      <c r="DVN24" s="252"/>
      <c r="DVO24" s="252"/>
      <c r="DVP24" s="252"/>
      <c r="DVQ24" s="252"/>
      <c r="DVR24" s="252"/>
      <c r="DVS24" s="252"/>
      <c r="DVT24" s="252"/>
      <c r="DVU24" s="252"/>
      <c r="DVV24" s="252"/>
      <c r="DVW24" s="252"/>
      <c r="DVX24" s="252"/>
      <c r="DVY24" s="252"/>
      <c r="DVZ24" s="252"/>
      <c r="DWA24" s="252"/>
      <c r="DWB24" s="252"/>
      <c r="DWC24" s="252"/>
      <c r="DWD24" s="252"/>
      <c r="DWE24" s="252"/>
      <c r="DWF24" s="252"/>
      <c r="DWG24" s="252"/>
      <c r="DWH24" s="252"/>
      <c r="DWI24" s="252"/>
      <c r="DWJ24" s="252"/>
      <c r="DWK24" s="252"/>
      <c r="DWL24" s="252"/>
      <c r="DWM24" s="252"/>
      <c r="DWN24" s="252"/>
      <c r="DWO24" s="252"/>
      <c r="DWP24" s="252"/>
      <c r="DWQ24" s="252"/>
      <c r="DWR24" s="252"/>
      <c r="DWS24" s="252"/>
      <c r="DWT24" s="252"/>
      <c r="DWU24" s="252"/>
      <c r="DWV24" s="252"/>
      <c r="DWW24" s="252"/>
      <c r="DWX24" s="252"/>
      <c r="DWY24" s="252"/>
      <c r="DWZ24" s="252"/>
      <c r="DXA24" s="252"/>
      <c r="DXB24" s="252"/>
      <c r="DXC24" s="252"/>
      <c r="DXD24" s="252"/>
      <c r="DXE24" s="252"/>
      <c r="DXF24" s="252"/>
      <c r="DXG24" s="252"/>
      <c r="DXH24" s="252"/>
      <c r="DXI24" s="252"/>
      <c r="DXJ24" s="252"/>
      <c r="DXK24" s="252"/>
      <c r="DXL24" s="252"/>
      <c r="DXM24" s="252"/>
      <c r="DXN24" s="252"/>
      <c r="DXO24" s="252"/>
      <c r="DXP24" s="252"/>
      <c r="DXQ24" s="252"/>
      <c r="DXR24" s="252"/>
      <c r="DXS24" s="252"/>
      <c r="DXT24" s="252"/>
      <c r="DXU24" s="252"/>
      <c r="DXV24" s="252"/>
      <c r="DXW24" s="252"/>
      <c r="DXX24" s="252"/>
      <c r="DXY24" s="252"/>
      <c r="DXZ24" s="252"/>
      <c r="DYA24" s="252"/>
      <c r="DYB24" s="252"/>
      <c r="DYC24" s="252"/>
      <c r="DYD24" s="252"/>
      <c r="DYE24" s="252"/>
      <c r="DYF24" s="252"/>
      <c r="DYG24" s="252"/>
      <c r="DYH24" s="252"/>
      <c r="DYI24" s="252"/>
      <c r="DYJ24" s="252"/>
      <c r="DYK24" s="252"/>
      <c r="DYL24" s="252"/>
      <c r="DYM24" s="252"/>
      <c r="DYN24" s="252"/>
      <c r="DYO24" s="252"/>
      <c r="DYP24" s="252"/>
      <c r="DYQ24" s="252"/>
      <c r="DYR24" s="252"/>
      <c r="DYS24" s="252"/>
      <c r="DYT24" s="252"/>
      <c r="DYU24" s="252"/>
      <c r="DYV24" s="252"/>
      <c r="DYW24" s="252"/>
      <c r="DYX24" s="252"/>
      <c r="DYY24" s="252"/>
      <c r="DYZ24" s="252"/>
      <c r="DZA24" s="252"/>
      <c r="DZB24" s="252"/>
      <c r="DZC24" s="252"/>
      <c r="DZD24" s="252"/>
      <c r="DZE24" s="252"/>
      <c r="DZF24" s="252"/>
      <c r="DZG24" s="252"/>
      <c r="DZH24" s="252"/>
      <c r="DZI24" s="252"/>
      <c r="DZJ24" s="252"/>
      <c r="DZK24" s="252"/>
      <c r="DZL24" s="252"/>
      <c r="DZM24" s="252"/>
      <c r="DZN24" s="252"/>
      <c r="DZO24" s="252"/>
      <c r="DZP24" s="252"/>
      <c r="DZQ24" s="252"/>
      <c r="DZR24" s="252"/>
      <c r="DZS24" s="252"/>
      <c r="DZT24" s="252"/>
      <c r="DZU24" s="252"/>
      <c r="DZV24" s="252"/>
      <c r="DZW24" s="252"/>
      <c r="DZX24" s="252"/>
      <c r="DZY24" s="252"/>
      <c r="DZZ24" s="252"/>
      <c r="EAA24" s="252"/>
      <c r="EAB24" s="252"/>
      <c r="EAC24" s="252"/>
      <c r="EAD24" s="252"/>
      <c r="EAE24" s="252"/>
      <c r="EAF24" s="252"/>
      <c r="EAG24" s="252"/>
      <c r="EAH24" s="252"/>
      <c r="EAI24" s="252"/>
      <c r="EAJ24" s="252"/>
      <c r="EAK24" s="252"/>
      <c r="EAL24" s="252"/>
      <c r="EAM24" s="252"/>
      <c r="EAN24" s="252"/>
      <c r="EAO24" s="252"/>
      <c r="EAP24" s="252"/>
      <c r="EAQ24" s="252"/>
      <c r="EAR24" s="252"/>
      <c r="EAS24" s="252"/>
      <c r="EAT24" s="252"/>
      <c r="EAU24" s="252"/>
      <c r="EAV24" s="252"/>
      <c r="EAW24" s="252"/>
      <c r="EAX24" s="252"/>
      <c r="EAY24" s="252"/>
      <c r="EAZ24" s="252"/>
      <c r="EBA24" s="252"/>
      <c r="EBB24" s="252"/>
      <c r="EBC24" s="252"/>
      <c r="EBD24" s="252"/>
      <c r="EBE24" s="252"/>
      <c r="EBF24" s="252"/>
      <c r="EBG24" s="252"/>
      <c r="EBH24" s="252"/>
      <c r="EBI24" s="252"/>
      <c r="EBJ24" s="252"/>
      <c r="EBK24" s="252"/>
      <c r="EBL24" s="252"/>
      <c r="EBM24" s="252"/>
      <c r="EBN24" s="252"/>
      <c r="EBO24" s="252"/>
      <c r="EBP24" s="252"/>
      <c r="EBQ24" s="252"/>
      <c r="EBR24" s="252"/>
      <c r="EBS24" s="252"/>
      <c r="EBT24" s="252"/>
      <c r="EBU24" s="252"/>
      <c r="EBV24" s="252"/>
      <c r="EBW24" s="252"/>
      <c r="EBX24" s="252"/>
      <c r="EBY24" s="252"/>
      <c r="EBZ24" s="252"/>
      <c r="ECA24" s="252"/>
      <c r="ECB24" s="252"/>
      <c r="ECC24" s="252"/>
      <c r="ECD24" s="252"/>
      <c r="ECE24" s="252"/>
      <c r="ECF24" s="252"/>
      <c r="ECG24" s="252"/>
      <c r="ECH24" s="252"/>
      <c r="ECI24" s="252"/>
      <c r="ECJ24" s="252"/>
      <c r="ECK24" s="252"/>
      <c r="ECL24" s="252"/>
      <c r="ECM24" s="252"/>
      <c r="ECN24" s="252"/>
      <c r="ECO24" s="252"/>
      <c r="ECP24" s="252"/>
      <c r="ECQ24" s="252"/>
      <c r="ECR24" s="252"/>
      <c r="ECS24" s="252"/>
      <c r="ECT24" s="252"/>
      <c r="ECU24" s="252"/>
      <c r="ECV24" s="252"/>
      <c r="ECW24" s="252"/>
      <c r="ECX24" s="252"/>
      <c r="ECY24" s="252"/>
      <c r="ECZ24" s="252"/>
      <c r="EDA24" s="252"/>
      <c r="EDB24" s="252"/>
      <c r="EDC24" s="252"/>
      <c r="EDD24" s="252"/>
      <c r="EDE24" s="252"/>
      <c r="EDF24" s="252"/>
      <c r="EDG24" s="252"/>
      <c r="EDH24" s="252"/>
      <c r="EDI24" s="252"/>
      <c r="EDJ24" s="252"/>
      <c r="EDK24" s="252"/>
      <c r="EDL24" s="252"/>
      <c r="EDM24" s="252"/>
      <c r="EDN24" s="252"/>
      <c r="EDO24" s="252"/>
      <c r="EDP24" s="252"/>
      <c r="EDQ24" s="252"/>
      <c r="EDR24" s="252"/>
      <c r="EDS24" s="252"/>
      <c r="EDT24" s="252"/>
      <c r="EDU24" s="252"/>
      <c r="EDV24" s="252"/>
      <c r="EDW24" s="252"/>
      <c r="EDX24" s="252"/>
      <c r="EDY24" s="252"/>
      <c r="EDZ24" s="252"/>
      <c r="EEA24" s="252"/>
      <c r="EEB24" s="252"/>
      <c r="EEC24" s="252"/>
      <c r="EED24" s="252"/>
      <c r="EEE24" s="252"/>
      <c r="EEF24" s="252"/>
      <c r="EEG24" s="252"/>
      <c r="EEH24" s="252"/>
      <c r="EEI24" s="252"/>
      <c r="EEJ24" s="252"/>
      <c r="EEK24" s="252"/>
      <c r="EEL24" s="252"/>
      <c r="EEM24" s="252"/>
      <c r="EEN24" s="252"/>
      <c r="EEO24" s="252"/>
      <c r="EEP24" s="252"/>
      <c r="EEQ24" s="252"/>
      <c r="EER24" s="252"/>
      <c r="EES24" s="252"/>
      <c r="EET24" s="252"/>
      <c r="EEU24" s="252"/>
      <c r="EEV24" s="252"/>
      <c r="EEW24" s="252"/>
      <c r="EEX24" s="252"/>
      <c r="EEY24" s="252"/>
      <c r="EEZ24" s="252"/>
      <c r="EFA24" s="252"/>
      <c r="EFB24" s="252"/>
      <c r="EFC24" s="252"/>
      <c r="EFD24" s="252"/>
      <c r="EFE24" s="252"/>
      <c r="EFF24" s="252"/>
      <c r="EFG24" s="252"/>
      <c r="EFH24" s="252"/>
      <c r="EFI24" s="252"/>
      <c r="EFJ24" s="252"/>
      <c r="EFK24" s="252"/>
      <c r="EFL24" s="252"/>
      <c r="EFM24" s="252"/>
      <c r="EFN24" s="252"/>
      <c r="EFO24" s="252"/>
      <c r="EFP24" s="252"/>
      <c r="EFQ24" s="252"/>
      <c r="EFR24" s="252"/>
      <c r="EFS24" s="252"/>
      <c r="EFT24" s="252"/>
      <c r="EFU24" s="252"/>
      <c r="EFV24" s="252"/>
      <c r="EFW24" s="252"/>
      <c r="EFX24" s="252"/>
      <c r="EFY24" s="252"/>
      <c r="EFZ24" s="252"/>
      <c r="EGA24" s="252"/>
      <c r="EGB24" s="252"/>
      <c r="EGC24" s="252"/>
      <c r="EGD24" s="252"/>
      <c r="EGE24" s="252"/>
      <c r="EGF24" s="252"/>
      <c r="EGG24" s="252"/>
      <c r="EGH24" s="252"/>
      <c r="EGI24" s="252"/>
      <c r="EGJ24" s="252"/>
      <c r="EGK24" s="252"/>
      <c r="EGL24" s="252"/>
      <c r="EGM24" s="252"/>
      <c r="EGN24" s="252"/>
      <c r="EGO24" s="252"/>
      <c r="EGP24" s="252"/>
      <c r="EGQ24" s="252"/>
      <c r="EGR24" s="252"/>
      <c r="EGS24" s="252"/>
      <c r="EGT24" s="252"/>
      <c r="EGU24" s="252"/>
      <c r="EGV24" s="252"/>
      <c r="EGW24" s="252"/>
      <c r="EGX24" s="252"/>
      <c r="EGY24" s="252"/>
      <c r="EGZ24" s="252"/>
      <c r="EHA24" s="252"/>
      <c r="EHB24" s="252"/>
      <c r="EHC24" s="252"/>
      <c r="EHD24" s="252"/>
      <c r="EHE24" s="252"/>
      <c r="EHF24" s="252"/>
      <c r="EHG24" s="252"/>
      <c r="EHH24" s="252"/>
      <c r="EHI24" s="252"/>
      <c r="EHJ24" s="252"/>
      <c r="EHK24" s="252"/>
      <c r="EHL24" s="252"/>
      <c r="EHM24" s="252"/>
      <c r="EHN24" s="252"/>
      <c r="EHO24" s="252"/>
      <c r="EHP24" s="252"/>
      <c r="EHQ24" s="252"/>
      <c r="EHR24" s="252"/>
      <c r="EHS24" s="252"/>
      <c r="EHT24" s="252"/>
      <c r="EHU24" s="252"/>
      <c r="EHV24" s="252"/>
      <c r="EHW24" s="252"/>
      <c r="EHX24" s="252"/>
      <c r="EHY24" s="252"/>
      <c r="EHZ24" s="252"/>
      <c r="EIA24" s="252"/>
      <c r="EIB24" s="252"/>
      <c r="EIC24" s="252"/>
      <c r="EID24" s="252"/>
      <c r="EIE24" s="252"/>
      <c r="EIF24" s="252"/>
      <c r="EIG24" s="252"/>
      <c r="EIH24" s="252"/>
      <c r="EII24" s="252"/>
      <c r="EIJ24" s="252"/>
      <c r="EIK24" s="252"/>
      <c r="EIL24" s="252"/>
      <c r="EIM24" s="252"/>
      <c r="EIN24" s="252"/>
      <c r="EIO24" s="252"/>
      <c r="EIP24" s="252"/>
      <c r="EIQ24" s="252"/>
      <c r="EIR24" s="252"/>
      <c r="EIS24" s="252"/>
      <c r="EIT24" s="252"/>
      <c r="EIU24" s="252"/>
      <c r="EIV24" s="252"/>
      <c r="EIW24" s="252"/>
      <c r="EIX24" s="252"/>
      <c r="EIY24" s="252"/>
      <c r="EIZ24" s="252"/>
      <c r="EJA24" s="252"/>
      <c r="EJB24" s="252"/>
      <c r="EJC24" s="252"/>
      <c r="EJD24" s="252"/>
      <c r="EJE24" s="252"/>
      <c r="EJF24" s="252"/>
      <c r="EJG24" s="252"/>
      <c r="EJH24" s="252"/>
      <c r="EJI24" s="252"/>
      <c r="EJJ24" s="252"/>
      <c r="EJK24" s="252"/>
      <c r="EJL24" s="252"/>
      <c r="EJM24" s="252"/>
      <c r="EJN24" s="252"/>
      <c r="EJO24" s="252"/>
      <c r="EJP24" s="252"/>
      <c r="EJQ24" s="252"/>
      <c r="EJR24" s="252"/>
      <c r="EJS24" s="252"/>
      <c r="EJT24" s="252"/>
      <c r="EJU24" s="252"/>
      <c r="EJV24" s="252"/>
      <c r="EJW24" s="252"/>
      <c r="EJX24" s="252"/>
      <c r="EJY24" s="252"/>
      <c r="EJZ24" s="252"/>
      <c r="EKA24" s="252"/>
      <c r="EKB24" s="252"/>
      <c r="EKC24" s="252"/>
      <c r="EKD24" s="252"/>
      <c r="EKE24" s="252"/>
      <c r="EKF24" s="252"/>
      <c r="EKG24" s="252"/>
      <c r="EKH24" s="252"/>
      <c r="EKI24" s="252"/>
      <c r="EKJ24" s="252"/>
      <c r="EKK24" s="252"/>
      <c r="EKL24" s="252"/>
      <c r="EKM24" s="252"/>
      <c r="EKN24" s="252"/>
      <c r="EKO24" s="252"/>
      <c r="EKP24" s="252"/>
      <c r="EKQ24" s="252"/>
      <c r="EKR24" s="252"/>
      <c r="EKS24" s="252"/>
      <c r="EKT24" s="252"/>
      <c r="EKU24" s="252"/>
      <c r="EKV24" s="252"/>
      <c r="EKW24" s="252"/>
      <c r="EKX24" s="252"/>
      <c r="EKY24" s="252"/>
      <c r="EKZ24" s="252"/>
      <c r="ELA24" s="252"/>
      <c r="ELB24" s="252"/>
      <c r="ELC24" s="252"/>
      <c r="ELD24" s="252"/>
      <c r="ELE24" s="252"/>
      <c r="ELF24" s="252"/>
      <c r="ELG24" s="252"/>
      <c r="ELH24" s="252"/>
      <c r="ELI24" s="252"/>
      <c r="ELJ24" s="252"/>
      <c r="ELK24" s="252"/>
      <c r="ELL24" s="252"/>
      <c r="ELM24" s="252"/>
      <c r="ELN24" s="252"/>
      <c r="ELO24" s="252"/>
      <c r="ELP24" s="252"/>
      <c r="ELQ24" s="252"/>
      <c r="ELR24" s="252"/>
      <c r="ELS24" s="252"/>
      <c r="ELT24" s="252"/>
      <c r="ELU24" s="252"/>
      <c r="ELV24" s="252"/>
      <c r="ELW24" s="252"/>
      <c r="ELX24" s="252"/>
      <c r="ELY24" s="252"/>
      <c r="ELZ24" s="252"/>
      <c r="EMA24" s="252"/>
      <c r="EMB24" s="252"/>
      <c r="EMC24" s="252"/>
      <c r="EMD24" s="252"/>
      <c r="EME24" s="252"/>
      <c r="EMF24" s="252"/>
      <c r="EMG24" s="252"/>
      <c r="EMH24" s="252"/>
      <c r="EMI24" s="252"/>
      <c r="EMJ24" s="252"/>
      <c r="EMK24" s="252"/>
      <c r="EML24" s="252"/>
      <c r="EMM24" s="252"/>
      <c r="EMN24" s="252"/>
      <c r="EMO24" s="252"/>
      <c r="EMP24" s="252"/>
      <c r="EMQ24" s="252"/>
      <c r="EMR24" s="252"/>
      <c r="EMS24" s="252"/>
      <c r="EMT24" s="252"/>
      <c r="EMU24" s="252"/>
      <c r="EMV24" s="252"/>
      <c r="EMW24" s="252"/>
      <c r="EMX24" s="252"/>
      <c r="EMY24" s="252"/>
      <c r="EMZ24" s="252"/>
      <c r="ENA24" s="252"/>
      <c r="ENB24" s="252"/>
      <c r="ENC24" s="252"/>
      <c r="END24" s="252"/>
      <c r="ENE24" s="252"/>
      <c r="ENF24" s="252"/>
      <c r="ENG24" s="252"/>
      <c r="ENH24" s="252"/>
      <c r="ENI24" s="252"/>
      <c r="ENJ24" s="252"/>
      <c r="ENK24" s="252"/>
      <c r="ENL24" s="252"/>
      <c r="ENM24" s="252"/>
      <c r="ENN24" s="252"/>
      <c r="ENO24" s="252"/>
      <c r="ENP24" s="252"/>
      <c r="ENQ24" s="252"/>
      <c r="ENR24" s="252"/>
      <c r="ENS24" s="252"/>
      <c r="ENT24" s="252"/>
      <c r="ENU24" s="252"/>
      <c r="ENV24" s="252"/>
      <c r="ENW24" s="252"/>
      <c r="ENX24" s="252"/>
      <c r="ENY24" s="252"/>
      <c r="ENZ24" s="252"/>
      <c r="EOA24" s="252"/>
      <c r="EOB24" s="252"/>
      <c r="EOC24" s="252"/>
      <c r="EOD24" s="252"/>
      <c r="EOE24" s="252"/>
      <c r="EOF24" s="252"/>
      <c r="EOG24" s="252"/>
      <c r="EOH24" s="252"/>
      <c r="EOI24" s="252"/>
      <c r="EOJ24" s="252"/>
      <c r="EOK24" s="252"/>
      <c r="EOL24" s="252"/>
      <c r="EOM24" s="252"/>
      <c r="EON24" s="252"/>
      <c r="EOO24" s="252"/>
      <c r="EOP24" s="252"/>
      <c r="EOQ24" s="252"/>
      <c r="EOR24" s="252"/>
      <c r="EOS24" s="252"/>
      <c r="EOT24" s="252"/>
      <c r="EOU24" s="252"/>
      <c r="EOV24" s="252"/>
      <c r="EOW24" s="252"/>
      <c r="EOX24" s="252"/>
      <c r="EOY24" s="252"/>
      <c r="EOZ24" s="252"/>
      <c r="EPA24" s="252"/>
      <c r="EPB24" s="252"/>
      <c r="EPC24" s="252"/>
      <c r="EPD24" s="252"/>
      <c r="EPE24" s="252"/>
      <c r="EPF24" s="252"/>
      <c r="EPG24" s="252"/>
      <c r="EPH24" s="252"/>
      <c r="EPI24" s="252"/>
      <c r="EPJ24" s="252"/>
      <c r="EPK24" s="252"/>
      <c r="EPL24" s="252"/>
      <c r="EPM24" s="252"/>
      <c r="EPN24" s="252"/>
      <c r="EPO24" s="252"/>
      <c r="EPP24" s="252"/>
      <c r="EPQ24" s="252"/>
      <c r="EPR24" s="252"/>
      <c r="EPS24" s="252"/>
      <c r="EPT24" s="252"/>
      <c r="EPU24" s="252"/>
      <c r="EPV24" s="252"/>
      <c r="EPW24" s="252"/>
      <c r="EPX24" s="252"/>
      <c r="EPY24" s="252"/>
      <c r="EPZ24" s="252"/>
      <c r="EQA24" s="252"/>
      <c r="EQB24" s="252"/>
      <c r="EQC24" s="252"/>
      <c r="EQD24" s="252"/>
      <c r="EQE24" s="252"/>
      <c r="EQF24" s="252"/>
      <c r="EQG24" s="252"/>
      <c r="EQH24" s="252"/>
      <c r="EQI24" s="252"/>
      <c r="EQJ24" s="252"/>
      <c r="EQK24" s="252"/>
      <c r="EQL24" s="252"/>
      <c r="EQM24" s="252"/>
      <c r="EQN24" s="252"/>
      <c r="EQO24" s="252"/>
      <c r="EQP24" s="252"/>
      <c r="EQQ24" s="252"/>
      <c r="EQR24" s="252"/>
      <c r="EQS24" s="252"/>
      <c r="EQT24" s="252"/>
      <c r="EQU24" s="252"/>
      <c r="EQV24" s="252"/>
      <c r="EQW24" s="252"/>
      <c r="EQX24" s="252"/>
      <c r="EQY24" s="252"/>
      <c r="EQZ24" s="252"/>
      <c r="ERA24" s="252"/>
      <c r="ERB24" s="252"/>
      <c r="ERC24" s="252"/>
      <c r="ERD24" s="252"/>
      <c r="ERE24" s="252"/>
      <c r="ERF24" s="252"/>
      <c r="ERG24" s="252"/>
      <c r="ERH24" s="252"/>
      <c r="ERI24" s="252"/>
      <c r="ERJ24" s="252"/>
      <c r="ERK24" s="252"/>
      <c r="ERL24" s="252"/>
      <c r="ERM24" s="252"/>
      <c r="ERN24" s="252"/>
      <c r="ERO24" s="252"/>
      <c r="ERP24" s="252"/>
      <c r="ERQ24" s="252"/>
      <c r="ERR24" s="252"/>
      <c r="ERS24" s="252"/>
      <c r="ERT24" s="252"/>
      <c r="ERU24" s="252"/>
      <c r="ERV24" s="252"/>
      <c r="ERW24" s="252"/>
      <c r="ERX24" s="252"/>
      <c r="ERY24" s="252"/>
      <c r="ERZ24" s="252"/>
      <c r="ESA24" s="252"/>
      <c r="ESB24" s="252"/>
      <c r="ESC24" s="252"/>
      <c r="ESD24" s="252"/>
      <c r="ESE24" s="252"/>
      <c r="ESF24" s="252"/>
      <c r="ESG24" s="252"/>
      <c r="ESH24" s="252"/>
      <c r="ESI24" s="252"/>
      <c r="ESJ24" s="252"/>
      <c r="ESK24" s="252"/>
      <c r="ESL24" s="252"/>
      <c r="ESM24" s="252"/>
      <c r="ESN24" s="252"/>
      <c r="ESO24" s="252"/>
      <c r="ESP24" s="252"/>
      <c r="ESQ24" s="252"/>
      <c r="ESR24" s="252"/>
      <c r="ESS24" s="252"/>
      <c r="EST24" s="252"/>
      <c r="ESU24" s="252"/>
      <c r="ESV24" s="252"/>
      <c r="ESW24" s="252"/>
      <c r="ESX24" s="252"/>
      <c r="ESY24" s="252"/>
      <c r="ESZ24" s="252"/>
      <c r="ETA24" s="252"/>
      <c r="ETB24" s="252"/>
      <c r="ETC24" s="252"/>
      <c r="ETD24" s="252"/>
      <c r="ETE24" s="252"/>
      <c r="ETF24" s="252"/>
      <c r="ETG24" s="252"/>
      <c r="ETH24" s="252"/>
      <c r="ETI24" s="252"/>
      <c r="ETJ24" s="252"/>
      <c r="ETK24" s="252"/>
      <c r="ETL24" s="252"/>
      <c r="ETM24" s="252"/>
      <c r="ETN24" s="252"/>
      <c r="ETO24" s="252"/>
      <c r="ETP24" s="252"/>
      <c r="ETQ24" s="252"/>
      <c r="ETR24" s="252"/>
      <c r="ETS24" s="252"/>
      <c r="ETT24" s="252"/>
      <c r="ETU24" s="252"/>
      <c r="ETV24" s="252"/>
      <c r="ETW24" s="252"/>
      <c r="ETX24" s="252"/>
      <c r="ETY24" s="252"/>
      <c r="ETZ24" s="252"/>
      <c r="EUA24" s="252"/>
      <c r="EUB24" s="252"/>
      <c r="EUC24" s="252"/>
      <c r="EUD24" s="252"/>
      <c r="EUE24" s="252"/>
      <c r="EUF24" s="252"/>
      <c r="EUG24" s="252"/>
      <c r="EUH24" s="252"/>
      <c r="EUI24" s="252"/>
      <c r="EUJ24" s="252"/>
      <c r="EUK24" s="252"/>
      <c r="EUL24" s="252"/>
      <c r="EUM24" s="252"/>
      <c r="EUN24" s="252"/>
      <c r="EUO24" s="252"/>
      <c r="EUP24" s="252"/>
      <c r="EUQ24" s="252"/>
      <c r="EUR24" s="252"/>
      <c r="EUS24" s="252"/>
      <c r="EUT24" s="252"/>
      <c r="EUU24" s="252"/>
      <c r="EUV24" s="252"/>
      <c r="EUW24" s="252"/>
      <c r="EUX24" s="252"/>
      <c r="EUY24" s="252"/>
      <c r="EUZ24" s="252"/>
      <c r="EVA24" s="252"/>
      <c r="EVB24" s="252"/>
      <c r="EVC24" s="252"/>
      <c r="EVD24" s="252"/>
      <c r="EVE24" s="252"/>
      <c r="EVF24" s="252"/>
      <c r="EVG24" s="252"/>
      <c r="EVH24" s="252"/>
      <c r="EVI24" s="252"/>
      <c r="EVJ24" s="252"/>
      <c r="EVK24" s="252"/>
      <c r="EVL24" s="252"/>
      <c r="EVM24" s="252"/>
      <c r="EVN24" s="252"/>
      <c r="EVO24" s="252"/>
      <c r="EVP24" s="252"/>
      <c r="EVQ24" s="252"/>
      <c r="EVR24" s="252"/>
      <c r="EVS24" s="252"/>
      <c r="EVT24" s="252"/>
      <c r="EVU24" s="252"/>
      <c r="EVV24" s="252"/>
      <c r="EVW24" s="252"/>
      <c r="EVX24" s="252"/>
      <c r="EVY24" s="252"/>
      <c r="EVZ24" s="252"/>
      <c r="EWA24" s="252"/>
      <c r="EWB24" s="252"/>
      <c r="EWC24" s="252"/>
      <c r="EWD24" s="252"/>
      <c r="EWE24" s="252"/>
      <c r="EWF24" s="252"/>
      <c r="EWG24" s="252"/>
      <c r="EWH24" s="252"/>
      <c r="EWI24" s="252"/>
      <c r="EWJ24" s="252"/>
      <c r="EWK24" s="252"/>
      <c r="EWL24" s="252"/>
      <c r="EWM24" s="252"/>
      <c r="EWN24" s="252"/>
      <c r="EWO24" s="252"/>
      <c r="EWP24" s="252"/>
      <c r="EWQ24" s="252"/>
      <c r="EWR24" s="252"/>
      <c r="EWS24" s="252"/>
      <c r="EWT24" s="252"/>
      <c r="EWU24" s="252"/>
      <c r="EWV24" s="252"/>
      <c r="EWW24" s="252"/>
      <c r="EWX24" s="252"/>
      <c r="EWY24" s="252"/>
      <c r="EWZ24" s="252"/>
      <c r="EXA24" s="252"/>
      <c r="EXB24" s="252"/>
      <c r="EXC24" s="252"/>
      <c r="EXD24" s="252"/>
      <c r="EXE24" s="252"/>
      <c r="EXF24" s="252"/>
      <c r="EXG24" s="252"/>
      <c r="EXH24" s="252"/>
      <c r="EXI24" s="252"/>
      <c r="EXJ24" s="252"/>
      <c r="EXK24" s="252"/>
      <c r="EXL24" s="252"/>
      <c r="EXM24" s="252"/>
      <c r="EXN24" s="252"/>
      <c r="EXO24" s="252"/>
      <c r="EXP24" s="252"/>
      <c r="EXQ24" s="252"/>
      <c r="EXR24" s="252"/>
      <c r="EXS24" s="252"/>
      <c r="EXT24" s="252"/>
      <c r="EXU24" s="252"/>
      <c r="EXV24" s="252"/>
      <c r="EXW24" s="252"/>
      <c r="EXX24" s="252"/>
      <c r="EXY24" s="252"/>
      <c r="EXZ24" s="252"/>
      <c r="EYA24" s="252"/>
      <c r="EYB24" s="252"/>
      <c r="EYC24" s="252"/>
      <c r="EYD24" s="252"/>
      <c r="EYE24" s="252"/>
      <c r="EYF24" s="252"/>
      <c r="EYG24" s="252"/>
      <c r="EYH24" s="252"/>
      <c r="EYI24" s="252"/>
      <c r="EYJ24" s="252"/>
      <c r="EYK24" s="252"/>
      <c r="EYL24" s="252"/>
      <c r="EYM24" s="252"/>
      <c r="EYN24" s="252"/>
      <c r="EYO24" s="252"/>
      <c r="EYP24" s="252"/>
      <c r="EYQ24" s="252"/>
      <c r="EYR24" s="252"/>
      <c r="EYS24" s="252"/>
      <c r="EYT24" s="252"/>
      <c r="EYU24" s="252"/>
      <c r="EYV24" s="252"/>
      <c r="EYW24" s="252"/>
      <c r="EYX24" s="252"/>
      <c r="EYY24" s="252"/>
      <c r="EYZ24" s="252"/>
      <c r="EZA24" s="252"/>
      <c r="EZB24" s="252"/>
      <c r="EZC24" s="252"/>
      <c r="EZD24" s="252"/>
      <c r="EZE24" s="252"/>
      <c r="EZF24" s="252"/>
      <c r="EZG24" s="252"/>
      <c r="EZH24" s="252"/>
      <c r="EZI24" s="252"/>
      <c r="EZJ24" s="252"/>
      <c r="EZK24" s="252"/>
      <c r="EZL24" s="252"/>
      <c r="EZM24" s="252"/>
      <c r="EZN24" s="252"/>
      <c r="EZO24" s="252"/>
      <c r="EZP24" s="252"/>
      <c r="EZQ24" s="252"/>
      <c r="EZR24" s="252"/>
      <c r="EZS24" s="252"/>
      <c r="EZT24" s="252"/>
      <c r="EZU24" s="252"/>
      <c r="EZV24" s="252"/>
      <c r="EZW24" s="252"/>
      <c r="EZX24" s="252"/>
      <c r="EZY24" s="252"/>
      <c r="EZZ24" s="252"/>
      <c r="FAA24" s="252"/>
      <c r="FAB24" s="252"/>
      <c r="FAC24" s="252"/>
      <c r="FAD24" s="252"/>
      <c r="FAE24" s="252"/>
      <c r="FAF24" s="252"/>
      <c r="FAG24" s="252"/>
      <c r="FAH24" s="252"/>
      <c r="FAI24" s="252"/>
      <c r="FAJ24" s="252"/>
      <c r="FAK24" s="252"/>
      <c r="FAL24" s="252"/>
      <c r="FAM24" s="252"/>
      <c r="FAN24" s="252"/>
      <c r="FAO24" s="252"/>
      <c r="FAP24" s="252"/>
      <c r="FAQ24" s="252"/>
      <c r="FAR24" s="252"/>
      <c r="FAS24" s="252"/>
      <c r="FAT24" s="252"/>
      <c r="FAU24" s="252"/>
      <c r="FAV24" s="252"/>
      <c r="FAW24" s="252"/>
      <c r="FAX24" s="252"/>
      <c r="FAY24" s="252"/>
      <c r="FAZ24" s="252"/>
      <c r="FBA24" s="252"/>
      <c r="FBB24" s="252"/>
      <c r="FBC24" s="252"/>
      <c r="FBD24" s="252"/>
      <c r="FBE24" s="252"/>
      <c r="FBF24" s="252"/>
      <c r="FBG24" s="252"/>
      <c r="FBH24" s="252"/>
      <c r="FBI24" s="252"/>
      <c r="FBJ24" s="252"/>
      <c r="FBK24" s="252"/>
      <c r="FBL24" s="252"/>
      <c r="FBM24" s="252"/>
      <c r="FBN24" s="252"/>
      <c r="FBO24" s="252"/>
      <c r="FBP24" s="252"/>
      <c r="FBQ24" s="252"/>
      <c r="FBR24" s="252"/>
      <c r="FBS24" s="252"/>
      <c r="FBT24" s="252"/>
      <c r="FBU24" s="252"/>
      <c r="FBV24" s="252"/>
      <c r="FBW24" s="252"/>
      <c r="FBX24" s="252"/>
      <c r="FBY24" s="252"/>
      <c r="FBZ24" s="252"/>
      <c r="FCA24" s="252"/>
      <c r="FCB24" s="252"/>
      <c r="FCC24" s="252"/>
      <c r="FCD24" s="252"/>
      <c r="FCE24" s="252"/>
      <c r="FCF24" s="252"/>
      <c r="FCG24" s="252"/>
      <c r="FCH24" s="252"/>
      <c r="FCI24" s="252"/>
      <c r="FCJ24" s="252"/>
      <c r="FCK24" s="252"/>
      <c r="FCL24" s="252"/>
      <c r="FCM24" s="252"/>
      <c r="FCN24" s="252"/>
      <c r="FCO24" s="252"/>
      <c r="FCP24" s="252"/>
      <c r="FCQ24" s="252"/>
      <c r="FCR24" s="252"/>
      <c r="FCS24" s="252"/>
      <c r="FCT24" s="252"/>
      <c r="FCU24" s="252"/>
      <c r="FCV24" s="252"/>
      <c r="FCW24" s="252"/>
      <c r="FCX24" s="252"/>
      <c r="FCY24" s="252"/>
      <c r="FCZ24" s="252"/>
      <c r="FDA24" s="252"/>
      <c r="FDB24" s="252"/>
      <c r="FDC24" s="252"/>
      <c r="FDD24" s="252"/>
      <c r="FDE24" s="252"/>
      <c r="FDF24" s="252"/>
      <c r="FDG24" s="252"/>
      <c r="FDH24" s="252"/>
      <c r="FDI24" s="252"/>
      <c r="FDJ24" s="252"/>
      <c r="FDK24" s="252"/>
      <c r="FDL24" s="252"/>
      <c r="FDM24" s="252"/>
      <c r="FDN24" s="252"/>
      <c r="FDO24" s="252"/>
      <c r="FDP24" s="252"/>
      <c r="FDQ24" s="252"/>
      <c r="FDR24" s="252"/>
      <c r="FDS24" s="252"/>
      <c r="FDT24" s="252"/>
      <c r="FDU24" s="252"/>
      <c r="FDV24" s="252"/>
      <c r="FDW24" s="252"/>
      <c r="FDX24" s="252"/>
      <c r="FDY24" s="252"/>
      <c r="FDZ24" s="252"/>
      <c r="FEA24" s="252"/>
      <c r="FEB24" s="252"/>
      <c r="FEC24" s="252"/>
      <c r="FED24" s="252"/>
      <c r="FEE24" s="252"/>
      <c r="FEF24" s="252"/>
      <c r="FEG24" s="252"/>
      <c r="FEH24" s="252"/>
      <c r="FEI24" s="252"/>
      <c r="FEJ24" s="252"/>
      <c r="FEK24" s="252"/>
      <c r="FEL24" s="252"/>
      <c r="FEM24" s="252"/>
      <c r="FEN24" s="252"/>
      <c r="FEO24" s="252"/>
      <c r="FEP24" s="252"/>
      <c r="FEQ24" s="252"/>
      <c r="FER24" s="252"/>
      <c r="FES24" s="252"/>
      <c r="FET24" s="252"/>
      <c r="FEU24" s="252"/>
      <c r="FEV24" s="252"/>
      <c r="FEW24" s="252"/>
      <c r="FEX24" s="252"/>
      <c r="FEY24" s="252"/>
      <c r="FEZ24" s="252"/>
      <c r="FFA24" s="252"/>
      <c r="FFB24" s="252"/>
      <c r="FFC24" s="252"/>
      <c r="FFD24" s="252"/>
      <c r="FFE24" s="252"/>
      <c r="FFF24" s="252"/>
      <c r="FFG24" s="252"/>
      <c r="FFH24" s="252"/>
      <c r="FFI24" s="252"/>
      <c r="FFJ24" s="252"/>
      <c r="FFK24" s="252"/>
      <c r="FFL24" s="252"/>
      <c r="FFM24" s="252"/>
      <c r="FFN24" s="252"/>
      <c r="FFO24" s="252"/>
      <c r="FFP24" s="252"/>
      <c r="FFQ24" s="252"/>
      <c r="FFR24" s="252"/>
      <c r="FFS24" s="252"/>
      <c r="FFT24" s="252"/>
      <c r="FFU24" s="252"/>
      <c r="FFV24" s="252"/>
      <c r="FFW24" s="252"/>
      <c r="FFX24" s="252"/>
      <c r="FFY24" s="252"/>
      <c r="FFZ24" s="252"/>
      <c r="FGA24" s="252"/>
      <c r="FGB24" s="252"/>
      <c r="FGC24" s="252"/>
      <c r="FGD24" s="252"/>
      <c r="FGE24" s="252"/>
      <c r="FGF24" s="252"/>
      <c r="FGG24" s="252"/>
      <c r="FGH24" s="252"/>
      <c r="FGI24" s="252"/>
      <c r="FGJ24" s="252"/>
      <c r="FGK24" s="252"/>
      <c r="FGL24" s="252"/>
      <c r="FGM24" s="252"/>
      <c r="FGN24" s="252"/>
      <c r="FGO24" s="252"/>
      <c r="FGP24" s="252"/>
      <c r="FGQ24" s="252"/>
      <c r="FGR24" s="252"/>
      <c r="FGS24" s="252"/>
      <c r="FGT24" s="252"/>
      <c r="FGU24" s="252"/>
      <c r="FGV24" s="252"/>
      <c r="FGW24" s="252"/>
      <c r="FGX24" s="252"/>
      <c r="FGY24" s="252"/>
      <c r="FGZ24" s="252"/>
      <c r="FHA24" s="252"/>
      <c r="FHB24" s="252"/>
      <c r="FHC24" s="252"/>
      <c r="FHD24" s="252"/>
      <c r="FHE24" s="252"/>
      <c r="FHF24" s="252"/>
      <c r="FHG24" s="252"/>
      <c r="FHH24" s="252"/>
      <c r="FHI24" s="252"/>
      <c r="FHJ24" s="252"/>
      <c r="FHK24" s="252"/>
      <c r="FHL24" s="252"/>
      <c r="FHM24" s="252"/>
      <c r="FHN24" s="252"/>
      <c r="FHO24" s="252"/>
      <c r="FHP24" s="252"/>
      <c r="FHQ24" s="252"/>
      <c r="FHR24" s="252"/>
      <c r="FHS24" s="252"/>
      <c r="FHT24" s="252"/>
      <c r="FHU24" s="252"/>
      <c r="FHV24" s="252"/>
      <c r="FHW24" s="252"/>
      <c r="FHX24" s="252"/>
      <c r="FHY24" s="252"/>
      <c r="FHZ24" s="252"/>
      <c r="FIA24" s="252"/>
      <c r="FIB24" s="252"/>
      <c r="FIC24" s="252"/>
      <c r="FID24" s="252"/>
      <c r="FIE24" s="252"/>
      <c r="FIF24" s="252"/>
      <c r="FIG24" s="252"/>
      <c r="FIH24" s="252"/>
      <c r="FII24" s="252"/>
      <c r="FIJ24" s="252"/>
      <c r="FIK24" s="252"/>
      <c r="FIL24" s="252"/>
      <c r="FIM24" s="252"/>
      <c r="FIN24" s="252"/>
      <c r="FIO24" s="252"/>
      <c r="FIP24" s="252"/>
      <c r="FIQ24" s="252"/>
      <c r="FIR24" s="252"/>
      <c r="FIS24" s="252"/>
      <c r="FIT24" s="252"/>
      <c r="FIU24" s="252"/>
      <c r="FIV24" s="252"/>
      <c r="FIW24" s="252"/>
      <c r="FIX24" s="252"/>
      <c r="FIY24" s="252"/>
      <c r="FIZ24" s="252"/>
      <c r="FJA24" s="252"/>
      <c r="FJB24" s="252"/>
      <c r="FJC24" s="252"/>
      <c r="FJD24" s="252"/>
      <c r="FJE24" s="252"/>
      <c r="FJF24" s="252"/>
      <c r="FJG24" s="252"/>
      <c r="FJH24" s="252"/>
      <c r="FJI24" s="252"/>
      <c r="FJJ24" s="252"/>
      <c r="FJK24" s="252"/>
      <c r="FJL24" s="252"/>
      <c r="FJM24" s="252"/>
      <c r="FJN24" s="252"/>
      <c r="FJO24" s="252"/>
      <c r="FJP24" s="252"/>
      <c r="FJQ24" s="252"/>
      <c r="FJR24" s="252"/>
      <c r="FJS24" s="252"/>
      <c r="FJT24" s="252"/>
      <c r="FJU24" s="252"/>
      <c r="FJV24" s="252"/>
      <c r="FJW24" s="252"/>
      <c r="FJX24" s="252"/>
      <c r="FJY24" s="252"/>
      <c r="FJZ24" s="252"/>
      <c r="FKA24" s="252"/>
      <c r="FKB24" s="252"/>
      <c r="FKC24" s="252"/>
      <c r="FKD24" s="252"/>
      <c r="FKE24" s="252"/>
      <c r="FKF24" s="252"/>
      <c r="FKG24" s="252"/>
      <c r="FKH24" s="252"/>
      <c r="FKI24" s="252"/>
      <c r="FKJ24" s="252"/>
      <c r="FKK24" s="252"/>
      <c r="FKL24" s="252"/>
      <c r="FKM24" s="252"/>
      <c r="FKN24" s="252"/>
      <c r="FKO24" s="252"/>
      <c r="FKP24" s="252"/>
      <c r="FKQ24" s="252"/>
      <c r="FKR24" s="252"/>
      <c r="FKS24" s="252"/>
      <c r="FKT24" s="252"/>
      <c r="FKU24" s="252"/>
      <c r="FKV24" s="252"/>
      <c r="FKW24" s="252"/>
      <c r="FKX24" s="252"/>
      <c r="FKY24" s="252"/>
      <c r="FKZ24" s="252"/>
      <c r="FLA24" s="252"/>
      <c r="FLB24" s="252"/>
      <c r="FLC24" s="252"/>
      <c r="FLD24" s="252"/>
      <c r="FLE24" s="252"/>
      <c r="FLF24" s="252"/>
      <c r="FLG24" s="252"/>
      <c r="FLH24" s="252"/>
      <c r="FLI24" s="252"/>
      <c r="FLJ24" s="252"/>
      <c r="FLK24" s="252"/>
      <c r="FLL24" s="252"/>
      <c r="FLM24" s="252"/>
      <c r="FLN24" s="252"/>
      <c r="FLO24" s="252"/>
      <c r="FLP24" s="252"/>
      <c r="FLQ24" s="252"/>
      <c r="FLR24" s="252"/>
      <c r="FLS24" s="252"/>
      <c r="FLT24" s="252"/>
      <c r="FLU24" s="252"/>
      <c r="FLV24" s="252"/>
      <c r="FLW24" s="252"/>
      <c r="FLX24" s="252"/>
      <c r="FLY24" s="252"/>
      <c r="FLZ24" s="252"/>
      <c r="FMA24" s="252"/>
      <c r="FMB24" s="252"/>
      <c r="FMC24" s="252"/>
      <c r="FMD24" s="252"/>
      <c r="FME24" s="252"/>
      <c r="FMF24" s="252"/>
      <c r="FMG24" s="252"/>
      <c r="FMH24" s="252"/>
      <c r="FMI24" s="252"/>
      <c r="FMJ24" s="252"/>
      <c r="FMK24" s="252"/>
      <c r="FML24" s="252"/>
      <c r="FMM24" s="252"/>
      <c r="FMN24" s="252"/>
      <c r="FMO24" s="252"/>
      <c r="FMP24" s="252"/>
      <c r="FMQ24" s="252"/>
      <c r="FMR24" s="252"/>
      <c r="FMS24" s="252"/>
      <c r="FMT24" s="252"/>
      <c r="FMU24" s="252"/>
      <c r="FMV24" s="252"/>
      <c r="FMW24" s="252"/>
      <c r="FMX24" s="252"/>
      <c r="FMY24" s="252"/>
      <c r="FMZ24" s="252"/>
      <c r="FNA24" s="252"/>
      <c r="FNB24" s="252"/>
      <c r="FNC24" s="252"/>
      <c r="FND24" s="252"/>
      <c r="FNE24" s="252"/>
      <c r="FNF24" s="252"/>
      <c r="FNG24" s="252"/>
      <c r="FNH24" s="252"/>
      <c r="FNI24" s="252"/>
      <c r="FNJ24" s="252"/>
      <c r="FNK24" s="252"/>
      <c r="FNL24" s="252"/>
      <c r="FNM24" s="252"/>
      <c r="FNN24" s="252"/>
      <c r="FNO24" s="252"/>
      <c r="FNP24" s="252"/>
      <c r="FNQ24" s="252"/>
      <c r="FNR24" s="252"/>
      <c r="FNS24" s="252"/>
      <c r="FNT24" s="252"/>
      <c r="FNU24" s="252"/>
      <c r="FNV24" s="252"/>
      <c r="FNW24" s="252"/>
      <c r="FNX24" s="252"/>
      <c r="FNY24" s="252"/>
      <c r="FNZ24" s="252"/>
      <c r="FOA24" s="252"/>
      <c r="FOB24" s="252"/>
      <c r="FOC24" s="252"/>
      <c r="FOD24" s="252"/>
      <c r="FOE24" s="252"/>
      <c r="FOF24" s="252"/>
      <c r="FOG24" s="252"/>
      <c r="FOH24" s="252"/>
      <c r="FOI24" s="252"/>
      <c r="FOJ24" s="252"/>
      <c r="FOK24" s="252"/>
      <c r="FOL24" s="252"/>
      <c r="FOM24" s="252"/>
      <c r="FON24" s="252"/>
      <c r="FOO24" s="252"/>
      <c r="FOP24" s="252"/>
      <c r="FOQ24" s="252"/>
      <c r="FOR24" s="252"/>
      <c r="FOS24" s="252"/>
      <c r="FOT24" s="252"/>
      <c r="FOU24" s="252"/>
      <c r="FOV24" s="252"/>
      <c r="FOW24" s="252"/>
      <c r="FOX24" s="252"/>
      <c r="FOY24" s="252"/>
      <c r="FOZ24" s="252"/>
      <c r="FPA24" s="252"/>
      <c r="FPB24" s="252"/>
      <c r="FPC24" s="252"/>
      <c r="FPD24" s="252"/>
      <c r="FPE24" s="252"/>
      <c r="FPF24" s="252"/>
      <c r="FPG24" s="252"/>
      <c r="FPH24" s="252"/>
      <c r="FPI24" s="252"/>
      <c r="FPJ24" s="252"/>
      <c r="FPK24" s="252"/>
      <c r="FPL24" s="252"/>
      <c r="FPM24" s="252"/>
      <c r="FPN24" s="252"/>
      <c r="FPO24" s="252"/>
      <c r="FPP24" s="252"/>
      <c r="FPQ24" s="252"/>
      <c r="FPR24" s="252"/>
      <c r="FPS24" s="252"/>
      <c r="FPT24" s="252"/>
      <c r="FPU24" s="252"/>
      <c r="FPV24" s="252"/>
      <c r="FPW24" s="252"/>
      <c r="FPX24" s="252"/>
      <c r="FPY24" s="252"/>
      <c r="FPZ24" s="252"/>
      <c r="FQA24" s="252"/>
      <c r="FQB24" s="252"/>
      <c r="FQC24" s="252"/>
      <c r="FQD24" s="252"/>
      <c r="FQE24" s="252"/>
      <c r="FQF24" s="252"/>
      <c r="FQG24" s="252"/>
      <c r="FQH24" s="252"/>
      <c r="FQI24" s="252"/>
      <c r="FQJ24" s="252"/>
      <c r="FQK24" s="252"/>
      <c r="FQL24" s="252"/>
      <c r="FQM24" s="252"/>
      <c r="FQN24" s="252"/>
      <c r="FQO24" s="252"/>
      <c r="FQP24" s="252"/>
      <c r="FQQ24" s="252"/>
      <c r="FQR24" s="252"/>
      <c r="FQS24" s="252"/>
      <c r="FQT24" s="252"/>
      <c r="FQU24" s="252"/>
      <c r="FQV24" s="252"/>
      <c r="FQW24" s="252"/>
      <c r="FQX24" s="252"/>
      <c r="FQY24" s="252"/>
      <c r="FQZ24" s="252"/>
      <c r="FRA24" s="252"/>
      <c r="FRB24" s="252"/>
      <c r="FRC24" s="252"/>
      <c r="FRD24" s="252"/>
      <c r="FRE24" s="252"/>
      <c r="FRF24" s="252"/>
      <c r="FRG24" s="252"/>
      <c r="FRH24" s="252"/>
      <c r="FRI24" s="252"/>
      <c r="FRJ24" s="252"/>
      <c r="FRK24" s="252"/>
      <c r="FRL24" s="252"/>
      <c r="FRM24" s="252"/>
      <c r="FRN24" s="252"/>
      <c r="FRO24" s="252"/>
      <c r="FRP24" s="252"/>
      <c r="FRQ24" s="252"/>
      <c r="FRR24" s="252"/>
      <c r="FRS24" s="252"/>
      <c r="FRT24" s="252"/>
      <c r="FRU24" s="252"/>
      <c r="FRV24" s="252"/>
      <c r="FRW24" s="252"/>
      <c r="FRX24" s="252"/>
      <c r="FRY24" s="252"/>
      <c r="FRZ24" s="252"/>
      <c r="FSA24" s="252"/>
      <c r="FSB24" s="252"/>
      <c r="FSC24" s="252"/>
      <c r="FSD24" s="252"/>
      <c r="FSE24" s="252"/>
      <c r="FSF24" s="252"/>
      <c r="FSG24" s="252"/>
      <c r="FSH24" s="252"/>
      <c r="FSI24" s="252"/>
      <c r="FSJ24" s="252"/>
      <c r="FSK24" s="252"/>
      <c r="FSL24" s="252"/>
      <c r="FSM24" s="252"/>
      <c r="FSN24" s="252"/>
      <c r="FSO24" s="252"/>
      <c r="FSP24" s="252"/>
      <c r="FSQ24" s="252"/>
      <c r="FSR24" s="252"/>
      <c r="FSS24" s="252"/>
      <c r="FST24" s="252"/>
      <c r="FSU24" s="252"/>
      <c r="FSV24" s="252"/>
      <c r="FSW24" s="252"/>
      <c r="FSX24" s="252"/>
      <c r="FSY24" s="252"/>
      <c r="FSZ24" s="252"/>
      <c r="FTA24" s="252"/>
      <c r="FTB24" s="252"/>
      <c r="FTC24" s="252"/>
      <c r="FTD24" s="252"/>
      <c r="FTE24" s="252"/>
      <c r="FTF24" s="252"/>
      <c r="FTG24" s="252"/>
      <c r="FTH24" s="252"/>
      <c r="FTI24" s="252"/>
      <c r="FTJ24" s="252"/>
      <c r="FTK24" s="252"/>
      <c r="FTL24" s="252"/>
      <c r="FTM24" s="252"/>
      <c r="FTN24" s="252"/>
      <c r="FTO24" s="252"/>
      <c r="FTP24" s="252"/>
      <c r="FTQ24" s="252"/>
      <c r="FTR24" s="252"/>
      <c r="FTS24" s="252"/>
      <c r="FTT24" s="252"/>
      <c r="FTU24" s="252"/>
      <c r="FTV24" s="252"/>
      <c r="FTW24" s="252"/>
      <c r="FTX24" s="252"/>
      <c r="FTY24" s="252"/>
      <c r="FTZ24" s="252"/>
      <c r="FUA24" s="252"/>
      <c r="FUB24" s="252"/>
      <c r="FUC24" s="252"/>
      <c r="FUD24" s="252"/>
      <c r="FUE24" s="252"/>
      <c r="FUF24" s="252"/>
      <c r="FUG24" s="252"/>
      <c r="FUH24" s="252"/>
      <c r="FUI24" s="252"/>
      <c r="FUJ24" s="252"/>
      <c r="FUK24" s="252"/>
      <c r="FUL24" s="252"/>
      <c r="FUM24" s="252"/>
      <c r="FUN24" s="252"/>
      <c r="FUO24" s="252"/>
      <c r="FUP24" s="252"/>
      <c r="FUQ24" s="252"/>
      <c r="FUR24" s="252"/>
      <c r="FUS24" s="252"/>
      <c r="FUT24" s="252"/>
      <c r="FUU24" s="252"/>
      <c r="FUV24" s="252"/>
      <c r="FUW24" s="252"/>
      <c r="FUX24" s="252"/>
      <c r="FUY24" s="252"/>
      <c r="FUZ24" s="252"/>
      <c r="FVA24" s="252"/>
      <c r="FVB24" s="252"/>
      <c r="FVC24" s="252"/>
      <c r="FVD24" s="252"/>
      <c r="FVE24" s="252"/>
      <c r="FVF24" s="252"/>
      <c r="FVG24" s="252"/>
      <c r="FVH24" s="252"/>
      <c r="FVI24" s="252"/>
      <c r="FVJ24" s="252"/>
      <c r="FVK24" s="252"/>
      <c r="FVL24" s="252"/>
      <c r="FVM24" s="252"/>
      <c r="FVN24" s="252"/>
      <c r="FVO24" s="252"/>
      <c r="FVP24" s="252"/>
      <c r="FVQ24" s="252"/>
      <c r="FVR24" s="252"/>
      <c r="FVS24" s="252"/>
      <c r="FVT24" s="252"/>
      <c r="FVU24" s="252"/>
      <c r="FVV24" s="252"/>
      <c r="FVW24" s="252"/>
      <c r="FVX24" s="252"/>
      <c r="FVY24" s="252"/>
      <c r="FVZ24" s="252"/>
      <c r="FWA24" s="252"/>
      <c r="FWB24" s="252"/>
      <c r="FWC24" s="252"/>
      <c r="FWD24" s="252"/>
      <c r="FWE24" s="252"/>
      <c r="FWF24" s="252"/>
      <c r="FWG24" s="252"/>
      <c r="FWH24" s="252"/>
      <c r="FWI24" s="252"/>
      <c r="FWJ24" s="252"/>
      <c r="FWK24" s="252"/>
      <c r="FWL24" s="252"/>
      <c r="FWM24" s="252"/>
      <c r="FWN24" s="252"/>
      <c r="FWO24" s="252"/>
      <c r="FWP24" s="252"/>
      <c r="FWQ24" s="252"/>
      <c r="FWR24" s="252"/>
      <c r="FWS24" s="252"/>
      <c r="FWT24" s="252"/>
      <c r="FWU24" s="252"/>
      <c r="FWV24" s="252"/>
      <c r="FWW24" s="252"/>
      <c r="FWX24" s="252"/>
      <c r="FWY24" s="252"/>
      <c r="FWZ24" s="252"/>
      <c r="FXA24" s="252"/>
      <c r="FXB24" s="252"/>
      <c r="FXC24" s="252"/>
      <c r="FXD24" s="252"/>
      <c r="FXE24" s="252"/>
      <c r="FXF24" s="252"/>
      <c r="FXG24" s="252"/>
      <c r="FXH24" s="252"/>
      <c r="FXI24" s="252"/>
      <c r="FXJ24" s="252"/>
      <c r="FXK24" s="252"/>
      <c r="FXL24" s="252"/>
      <c r="FXM24" s="252"/>
      <c r="FXN24" s="252"/>
      <c r="FXO24" s="252"/>
      <c r="FXP24" s="252"/>
      <c r="FXQ24" s="252"/>
      <c r="FXR24" s="252"/>
      <c r="FXS24" s="252"/>
      <c r="FXT24" s="252"/>
      <c r="FXU24" s="252"/>
      <c r="FXV24" s="252"/>
      <c r="FXW24" s="252"/>
      <c r="FXX24" s="252"/>
      <c r="FXY24" s="252"/>
      <c r="FXZ24" s="252"/>
      <c r="FYA24" s="252"/>
      <c r="FYB24" s="252"/>
      <c r="FYC24" s="252"/>
      <c r="FYD24" s="252"/>
      <c r="FYE24" s="252"/>
      <c r="FYF24" s="252"/>
      <c r="FYG24" s="252"/>
      <c r="FYH24" s="252"/>
      <c r="FYI24" s="252"/>
      <c r="FYJ24" s="252"/>
      <c r="FYK24" s="252"/>
      <c r="FYL24" s="252"/>
      <c r="FYM24" s="252"/>
      <c r="FYN24" s="252"/>
      <c r="FYO24" s="252"/>
      <c r="FYP24" s="252"/>
      <c r="FYQ24" s="252"/>
      <c r="FYR24" s="252"/>
      <c r="FYS24" s="252"/>
      <c r="FYT24" s="252"/>
      <c r="FYU24" s="252"/>
      <c r="FYV24" s="252"/>
      <c r="FYW24" s="252"/>
      <c r="FYX24" s="252"/>
      <c r="FYY24" s="252"/>
      <c r="FYZ24" s="252"/>
      <c r="FZA24" s="252"/>
      <c r="FZB24" s="252"/>
      <c r="FZC24" s="252"/>
      <c r="FZD24" s="252"/>
      <c r="FZE24" s="252"/>
      <c r="FZF24" s="252"/>
      <c r="FZG24" s="252"/>
      <c r="FZH24" s="252"/>
      <c r="FZI24" s="252"/>
      <c r="FZJ24" s="252"/>
      <c r="FZK24" s="252"/>
      <c r="FZL24" s="252"/>
      <c r="FZM24" s="252"/>
      <c r="FZN24" s="252"/>
      <c r="FZO24" s="252"/>
      <c r="FZP24" s="252"/>
      <c r="FZQ24" s="252"/>
      <c r="FZR24" s="252"/>
      <c r="FZS24" s="252"/>
      <c r="FZT24" s="252"/>
      <c r="FZU24" s="252"/>
      <c r="FZV24" s="252"/>
      <c r="FZW24" s="252"/>
      <c r="FZX24" s="252"/>
      <c r="FZY24" s="252"/>
      <c r="FZZ24" s="252"/>
      <c r="GAA24" s="252"/>
      <c r="GAB24" s="252"/>
      <c r="GAC24" s="252"/>
      <c r="GAD24" s="252"/>
      <c r="GAE24" s="252"/>
      <c r="GAF24" s="252"/>
      <c r="GAG24" s="252"/>
      <c r="GAH24" s="252"/>
      <c r="GAI24" s="252"/>
      <c r="GAJ24" s="252"/>
      <c r="GAK24" s="252"/>
      <c r="GAL24" s="252"/>
      <c r="GAM24" s="252"/>
      <c r="GAN24" s="252"/>
      <c r="GAO24" s="252"/>
      <c r="GAP24" s="252"/>
      <c r="GAQ24" s="252"/>
      <c r="GAR24" s="252"/>
      <c r="GAS24" s="252"/>
      <c r="GAT24" s="252"/>
      <c r="GAU24" s="252"/>
      <c r="GAV24" s="252"/>
      <c r="GAW24" s="252"/>
      <c r="GAX24" s="252"/>
      <c r="GAY24" s="252"/>
      <c r="GAZ24" s="252"/>
      <c r="GBA24" s="252"/>
      <c r="GBB24" s="252"/>
      <c r="GBC24" s="252"/>
      <c r="GBD24" s="252"/>
      <c r="GBE24" s="252"/>
      <c r="GBF24" s="252"/>
      <c r="GBG24" s="252"/>
      <c r="GBH24" s="252"/>
      <c r="GBI24" s="252"/>
      <c r="GBJ24" s="252"/>
      <c r="GBK24" s="252"/>
      <c r="GBL24" s="252"/>
      <c r="GBM24" s="252"/>
      <c r="GBN24" s="252"/>
      <c r="GBO24" s="252"/>
      <c r="GBP24" s="252"/>
      <c r="GBQ24" s="252"/>
      <c r="GBR24" s="252"/>
      <c r="GBS24" s="252"/>
      <c r="GBT24" s="252"/>
      <c r="GBU24" s="252"/>
      <c r="GBV24" s="252"/>
      <c r="GBW24" s="252"/>
      <c r="GBX24" s="252"/>
      <c r="GBY24" s="252"/>
      <c r="GBZ24" s="252"/>
      <c r="GCA24" s="252"/>
      <c r="GCB24" s="252"/>
      <c r="GCC24" s="252"/>
      <c r="GCD24" s="252"/>
      <c r="GCE24" s="252"/>
      <c r="GCF24" s="252"/>
      <c r="GCG24" s="252"/>
      <c r="GCH24" s="252"/>
      <c r="GCI24" s="252"/>
      <c r="GCJ24" s="252"/>
      <c r="GCK24" s="252"/>
      <c r="GCL24" s="252"/>
      <c r="GCM24" s="252"/>
      <c r="GCN24" s="252"/>
      <c r="GCO24" s="252"/>
      <c r="GCP24" s="252"/>
      <c r="GCQ24" s="252"/>
      <c r="GCR24" s="252"/>
      <c r="GCS24" s="252"/>
      <c r="GCT24" s="252"/>
      <c r="GCU24" s="252"/>
      <c r="GCV24" s="252"/>
      <c r="GCW24" s="252"/>
      <c r="GCX24" s="252"/>
      <c r="GCY24" s="252"/>
      <c r="GCZ24" s="252"/>
      <c r="GDA24" s="252"/>
      <c r="GDB24" s="252"/>
      <c r="GDC24" s="252"/>
      <c r="GDD24" s="252"/>
      <c r="GDE24" s="252"/>
      <c r="GDF24" s="252"/>
      <c r="GDG24" s="252"/>
      <c r="GDH24" s="252"/>
      <c r="GDI24" s="252"/>
      <c r="GDJ24" s="252"/>
      <c r="GDK24" s="252"/>
      <c r="GDL24" s="252"/>
      <c r="GDM24" s="252"/>
      <c r="GDN24" s="252"/>
      <c r="GDO24" s="252"/>
      <c r="GDP24" s="252"/>
      <c r="GDQ24" s="252"/>
      <c r="GDR24" s="252"/>
      <c r="GDS24" s="252"/>
      <c r="GDT24" s="252"/>
      <c r="GDU24" s="252"/>
      <c r="GDV24" s="252"/>
      <c r="GDW24" s="252"/>
      <c r="GDX24" s="252"/>
      <c r="GDY24" s="252"/>
      <c r="GDZ24" s="252"/>
      <c r="GEA24" s="252"/>
      <c r="GEB24" s="252"/>
      <c r="GEC24" s="252"/>
      <c r="GED24" s="252"/>
      <c r="GEE24" s="252"/>
      <c r="GEF24" s="252"/>
      <c r="GEG24" s="252"/>
      <c r="GEH24" s="252"/>
      <c r="GEI24" s="252"/>
      <c r="GEJ24" s="252"/>
      <c r="GEK24" s="252"/>
      <c r="GEL24" s="252"/>
      <c r="GEM24" s="252"/>
      <c r="GEN24" s="252"/>
      <c r="GEO24" s="252"/>
      <c r="GEP24" s="252"/>
      <c r="GEQ24" s="252"/>
      <c r="GER24" s="252"/>
      <c r="GES24" s="252"/>
      <c r="GET24" s="252"/>
      <c r="GEU24" s="252"/>
      <c r="GEV24" s="252"/>
      <c r="GEW24" s="252"/>
      <c r="GEX24" s="252"/>
      <c r="GEY24" s="252"/>
      <c r="GEZ24" s="252"/>
      <c r="GFA24" s="252"/>
      <c r="GFB24" s="252"/>
      <c r="GFC24" s="252"/>
      <c r="GFD24" s="252"/>
      <c r="GFE24" s="252"/>
      <c r="GFF24" s="252"/>
      <c r="GFG24" s="252"/>
      <c r="GFH24" s="252"/>
      <c r="GFI24" s="252"/>
      <c r="GFJ24" s="252"/>
      <c r="GFK24" s="252"/>
      <c r="GFL24" s="252"/>
      <c r="GFM24" s="252"/>
      <c r="GFN24" s="252"/>
      <c r="GFO24" s="252"/>
      <c r="GFP24" s="252"/>
      <c r="GFQ24" s="252"/>
      <c r="GFR24" s="252"/>
      <c r="GFS24" s="252"/>
      <c r="GFT24" s="252"/>
      <c r="GFU24" s="252"/>
      <c r="GFV24" s="252"/>
      <c r="GFW24" s="252"/>
      <c r="GFX24" s="252"/>
      <c r="GFY24" s="252"/>
      <c r="GFZ24" s="252"/>
      <c r="GGA24" s="252"/>
      <c r="GGB24" s="252"/>
      <c r="GGC24" s="252"/>
      <c r="GGD24" s="252"/>
      <c r="GGE24" s="252"/>
      <c r="GGF24" s="252"/>
      <c r="GGG24" s="252"/>
      <c r="GGH24" s="252"/>
      <c r="GGI24" s="252"/>
      <c r="GGJ24" s="252"/>
      <c r="GGK24" s="252"/>
      <c r="GGL24" s="252"/>
      <c r="GGM24" s="252"/>
      <c r="GGN24" s="252"/>
      <c r="GGO24" s="252"/>
      <c r="GGP24" s="252"/>
      <c r="GGQ24" s="252"/>
      <c r="GGR24" s="252"/>
      <c r="GGS24" s="252"/>
      <c r="GGT24" s="252"/>
      <c r="GGU24" s="252"/>
      <c r="GGV24" s="252"/>
      <c r="GGW24" s="252"/>
      <c r="GGX24" s="252"/>
      <c r="GGY24" s="252"/>
      <c r="GGZ24" s="252"/>
      <c r="GHA24" s="252"/>
      <c r="GHB24" s="252"/>
      <c r="GHC24" s="252"/>
      <c r="GHD24" s="252"/>
      <c r="GHE24" s="252"/>
      <c r="GHF24" s="252"/>
      <c r="GHG24" s="252"/>
      <c r="GHH24" s="252"/>
      <c r="GHI24" s="252"/>
      <c r="GHJ24" s="252"/>
      <c r="GHK24" s="252"/>
      <c r="GHL24" s="252"/>
      <c r="GHM24" s="252"/>
      <c r="GHN24" s="252"/>
      <c r="GHO24" s="252"/>
      <c r="GHP24" s="252"/>
      <c r="GHQ24" s="252"/>
      <c r="GHR24" s="252"/>
      <c r="GHS24" s="252"/>
      <c r="GHT24" s="252"/>
      <c r="GHU24" s="252"/>
      <c r="GHV24" s="252"/>
      <c r="GHW24" s="252"/>
      <c r="GHX24" s="252"/>
      <c r="GHY24" s="252"/>
      <c r="GHZ24" s="252"/>
      <c r="GIA24" s="252"/>
      <c r="GIB24" s="252"/>
      <c r="GIC24" s="252"/>
      <c r="GID24" s="252"/>
      <c r="GIE24" s="252"/>
      <c r="GIF24" s="252"/>
      <c r="GIG24" s="252"/>
      <c r="GIH24" s="252"/>
      <c r="GII24" s="252"/>
      <c r="GIJ24" s="252"/>
      <c r="GIK24" s="252"/>
      <c r="GIL24" s="252"/>
      <c r="GIM24" s="252"/>
      <c r="GIN24" s="252"/>
      <c r="GIO24" s="252"/>
      <c r="GIP24" s="252"/>
      <c r="GIQ24" s="252"/>
      <c r="GIR24" s="252"/>
      <c r="GIS24" s="252"/>
      <c r="GIT24" s="252"/>
      <c r="GIU24" s="252"/>
      <c r="GIV24" s="252"/>
      <c r="GIW24" s="252"/>
      <c r="GIX24" s="252"/>
      <c r="GIY24" s="252"/>
      <c r="GIZ24" s="252"/>
      <c r="GJA24" s="252"/>
      <c r="GJB24" s="252"/>
      <c r="GJC24" s="252"/>
      <c r="GJD24" s="252"/>
      <c r="GJE24" s="252"/>
      <c r="GJF24" s="252"/>
      <c r="GJG24" s="252"/>
      <c r="GJH24" s="252"/>
      <c r="GJI24" s="252"/>
      <c r="GJJ24" s="252"/>
      <c r="GJK24" s="252"/>
      <c r="GJL24" s="252"/>
      <c r="GJM24" s="252"/>
      <c r="GJN24" s="252"/>
      <c r="GJO24" s="252"/>
      <c r="GJP24" s="252"/>
      <c r="GJQ24" s="252"/>
      <c r="GJR24" s="252"/>
      <c r="GJS24" s="252"/>
      <c r="GJT24" s="252"/>
      <c r="GJU24" s="252"/>
      <c r="GJV24" s="252"/>
      <c r="GJW24" s="252"/>
      <c r="GJX24" s="252"/>
      <c r="GJY24" s="252"/>
      <c r="GJZ24" s="252"/>
      <c r="GKA24" s="252"/>
      <c r="GKB24" s="252"/>
      <c r="GKC24" s="252"/>
      <c r="GKD24" s="252"/>
      <c r="GKE24" s="252"/>
      <c r="GKF24" s="252"/>
      <c r="GKG24" s="252"/>
      <c r="GKH24" s="252"/>
      <c r="GKI24" s="252"/>
      <c r="GKJ24" s="252"/>
      <c r="GKK24" s="252"/>
      <c r="GKL24" s="252"/>
      <c r="GKM24" s="252"/>
      <c r="GKN24" s="252"/>
      <c r="GKO24" s="252"/>
      <c r="GKP24" s="252"/>
      <c r="GKQ24" s="252"/>
      <c r="GKR24" s="252"/>
      <c r="GKS24" s="252"/>
      <c r="GKT24" s="252"/>
      <c r="GKU24" s="252"/>
      <c r="GKV24" s="252"/>
      <c r="GKW24" s="252"/>
      <c r="GKX24" s="252"/>
      <c r="GKY24" s="252"/>
      <c r="GKZ24" s="252"/>
      <c r="GLA24" s="252"/>
      <c r="GLB24" s="252"/>
      <c r="GLC24" s="252"/>
      <c r="GLD24" s="252"/>
      <c r="GLE24" s="252"/>
      <c r="GLF24" s="252"/>
      <c r="GLG24" s="252"/>
      <c r="GLH24" s="252"/>
      <c r="GLI24" s="252"/>
      <c r="GLJ24" s="252"/>
      <c r="GLK24" s="252"/>
      <c r="GLL24" s="252"/>
      <c r="GLM24" s="252"/>
      <c r="GLN24" s="252"/>
      <c r="GLO24" s="252"/>
      <c r="GLP24" s="252"/>
      <c r="GLQ24" s="252"/>
      <c r="GLR24" s="252"/>
      <c r="GLS24" s="252"/>
      <c r="GLT24" s="252"/>
      <c r="GLU24" s="252"/>
      <c r="GLV24" s="252"/>
      <c r="GLW24" s="252"/>
      <c r="GLX24" s="252"/>
      <c r="GLY24" s="252"/>
      <c r="GLZ24" s="252"/>
      <c r="GMA24" s="252"/>
      <c r="GMB24" s="252"/>
      <c r="GMC24" s="252"/>
      <c r="GMD24" s="252"/>
      <c r="GME24" s="252"/>
      <c r="GMF24" s="252"/>
      <c r="GMG24" s="252"/>
      <c r="GMH24" s="252"/>
      <c r="GMI24" s="252"/>
      <c r="GMJ24" s="252"/>
      <c r="GMK24" s="252"/>
      <c r="GML24" s="252"/>
      <c r="GMM24" s="252"/>
      <c r="GMN24" s="252"/>
      <c r="GMO24" s="252"/>
      <c r="GMP24" s="252"/>
      <c r="GMQ24" s="252"/>
      <c r="GMR24" s="252"/>
      <c r="GMS24" s="252"/>
      <c r="GMT24" s="252"/>
      <c r="GMU24" s="252"/>
      <c r="GMV24" s="252"/>
      <c r="GMW24" s="252"/>
      <c r="GMX24" s="252"/>
      <c r="GMY24" s="252"/>
      <c r="GMZ24" s="252"/>
      <c r="GNA24" s="252"/>
      <c r="GNB24" s="252"/>
      <c r="GNC24" s="252"/>
      <c r="GND24" s="252"/>
      <c r="GNE24" s="252"/>
      <c r="GNF24" s="252"/>
      <c r="GNG24" s="252"/>
      <c r="GNH24" s="252"/>
      <c r="GNI24" s="252"/>
      <c r="GNJ24" s="252"/>
      <c r="GNK24" s="252"/>
      <c r="GNL24" s="252"/>
      <c r="GNM24" s="252"/>
      <c r="GNN24" s="252"/>
      <c r="GNO24" s="252"/>
      <c r="GNP24" s="252"/>
      <c r="GNQ24" s="252"/>
      <c r="GNR24" s="252"/>
      <c r="GNS24" s="252"/>
      <c r="GNT24" s="252"/>
      <c r="GNU24" s="252"/>
      <c r="GNV24" s="252"/>
      <c r="GNW24" s="252"/>
      <c r="GNX24" s="252"/>
      <c r="GNY24" s="252"/>
      <c r="GNZ24" s="252"/>
      <c r="GOA24" s="252"/>
      <c r="GOB24" s="252"/>
      <c r="GOC24" s="252"/>
      <c r="GOD24" s="252"/>
      <c r="GOE24" s="252"/>
      <c r="GOF24" s="252"/>
      <c r="GOG24" s="252"/>
      <c r="GOH24" s="252"/>
      <c r="GOI24" s="252"/>
      <c r="GOJ24" s="252"/>
      <c r="GOK24" s="252"/>
      <c r="GOL24" s="252"/>
      <c r="GOM24" s="252"/>
      <c r="GON24" s="252"/>
      <c r="GOO24" s="252"/>
      <c r="GOP24" s="252"/>
      <c r="GOQ24" s="252"/>
      <c r="GOR24" s="252"/>
      <c r="GOS24" s="252"/>
      <c r="GOT24" s="252"/>
      <c r="GOU24" s="252"/>
      <c r="GOV24" s="252"/>
      <c r="GOW24" s="252"/>
      <c r="GOX24" s="252"/>
      <c r="GOY24" s="252"/>
      <c r="GOZ24" s="252"/>
      <c r="GPA24" s="252"/>
      <c r="GPB24" s="252"/>
      <c r="GPC24" s="252"/>
      <c r="GPD24" s="252"/>
      <c r="GPE24" s="252"/>
      <c r="GPF24" s="252"/>
      <c r="GPG24" s="252"/>
      <c r="GPH24" s="252"/>
      <c r="GPI24" s="252"/>
      <c r="GPJ24" s="252"/>
      <c r="GPK24" s="252"/>
      <c r="GPL24" s="252"/>
      <c r="GPM24" s="252"/>
      <c r="GPN24" s="252"/>
      <c r="GPO24" s="252"/>
      <c r="GPP24" s="252"/>
      <c r="GPQ24" s="252"/>
      <c r="GPR24" s="252"/>
      <c r="GPS24" s="252"/>
      <c r="GPT24" s="252"/>
      <c r="GPU24" s="252"/>
      <c r="GPV24" s="252"/>
      <c r="GPW24" s="252"/>
      <c r="GPX24" s="252"/>
      <c r="GPY24" s="252"/>
      <c r="GPZ24" s="252"/>
      <c r="GQA24" s="252"/>
      <c r="GQB24" s="252"/>
      <c r="GQC24" s="252"/>
      <c r="GQD24" s="252"/>
      <c r="GQE24" s="252"/>
      <c r="GQF24" s="252"/>
      <c r="GQG24" s="252"/>
      <c r="GQH24" s="252"/>
      <c r="GQI24" s="252"/>
      <c r="GQJ24" s="252"/>
      <c r="GQK24" s="252"/>
      <c r="GQL24" s="252"/>
      <c r="GQM24" s="252"/>
      <c r="GQN24" s="252"/>
      <c r="GQO24" s="252"/>
      <c r="GQP24" s="252"/>
      <c r="GQQ24" s="252"/>
      <c r="GQR24" s="252"/>
      <c r="GQS24" s="252"/>
      <c r="GQT24" s="252"/>
      <c r="GQU24" s="252"/>
      <c r="GQV24" s="252"/>
      <c r="GQW24" s="252"/>
      <c r="GQX24" s="252"/>
      <c r="GQY24" s="252"/>
      <c r="GQZ24" s="252"/>
      <c r="GRA24" s="252"/>
      <c r="GRB24" s="252"/>
      <c r="GRC24" s="252"/>
      <c r="GRD24" s="252"/>
      <c r="GRE24" s="252"/>
      <c r="GRF24" s="252"/>
      <c r="GRG24" s="252"/>
      <c r="GRH24" s="252"/>
      <c r="GRI24" s="252"/>
      <c r="GRJ24" s="252"/>
      <c r="GRK24" s="252"/>
      <c r="GRL24" s="252"/>
      <c r="GRM24" s="252"/>
      <c r="GRN24" s="252"/>
      <c r="GRO24" s="252"/>
      <c r="GRP24" s="252"/>
      <c r="GRQ24" s="252"/>
      <c r="GRR24" s="252"/>
      <c r="GRS24" s="252"/>
      <c r="GRT24" s="252"/>
      <c r="GRU24" s="252"/>
      <c r="GRV24" s="252"/>
      <c r="GRW24" s="252"/>
      <c r="GRX24" s="252"/>
      <c r="GRY24" s="252"/>
      <c r="GRZ24" s="252"/>
      <c r="GSA24" s="252"/>
      <c r="GSB24" s="252"/>
      <c r="GSC24" s="252"/>
      <c r="GSD24" s="252"/>
      <c r="GSE24" s="252"/>
      <c r="GSF24" s="252"/>
      <c r="GSG24" s="252"/>
      <c r="GSH24" s="252"/>
      <c r="GSI24" s="252"/>
      <c r="GSJ24" s="252"/>
      <c r="GSK24" s="252"/>
      <c r="GSL24" s="252"/>
      <c r="GSM24" s="252"/>
      <c r="GSN24" s="252"/>
      <c r="GSO24" s="252"/>
      <c r="GSP24" s="252"/>
      <c r="GSQ24" s="252"/>
      <c r="GSR24" s="252"/>
      <c r="GSS24" s="252"/>
      <c r="GST24" s="252"/>
      <c r="GSU24" s="252"/>
      <c r="GSV24" s="252"/>
      <c r="GSW24" s="252"/>
      <c r="GSX24" s="252"/>
      <c r="GSY24" s="252"/>
      <c r="GSZ24" s="252"/>
      <c r="GTA24" s="252"/>
      <c r="GTB24" s="252"/>
      <c r="GTC24" s="252"/>
      <c r="GTD24" s="252"/>
      <c r="GTE24" s="252"/>
      <c r="GTF24" s="252"/>
      <c r="GTG24" s="252"/>
      <c r="GTH24" s="252"/>
      <c r="GTI24" s="252"/>
      <c r="GTJ24" s="252"/>
      <c r="GTK24" s="252"/>
      <c r="GTL24" s="252"/>
      <c r="GTM24" s="252"/>
      <c r="GTN24" s="252"/>
      <c r="GTO24" s="252"/>
      <c r="GTP24" s="252"/>
      <c r="GTQ24" s="252"/>
      <c r="GTR24" s="252"/>
      <c r="GTS24" s="252"/>
      <c r="GTT24" s="252"/>
      <c r="GTU24" s="252"/>
      <c r="GTV24" s="252"/>
      <c r="GTW24" s="252"/>
      <c r="GTX24" s="252"/>
      <c r="GTY24" s="252"/>
      <c r="GTZ24" s="252"/>
      <c r="GUA24" s="252"/>
      <c r="GUB24" s="252"/>
      <c r="GUC24" s="252"/>
      <c r="GUD24" s="252"/>
      <c r="GUE24" s="252"/>
      <c r="GUF24" s="252"/>
      <c r="GUG24" s="252"/>
      <c r="GUH24" s="252"/>
      <c r="GUI24" s="252"/>
      <c r="GUJ24" s="252"/>
      <c r="GUK24" s="252"/>
      <c r="GUL24" s="252"/>
      <c r="GUM24" s="252"/>
      <c r="GUN24" s="252"/>
      <c r="GUO24" s="252"/>
      <c r="GUP24" s="252"/>
      <c r="GUQ24" s="252"/>
      <c r="GUR24" s="252"/>
      <c r="GUS24" s="252"/>
      <c r="GUT24" s="252"/>
      <c r="GUU24" s="252"/>
      <c r="GUV24" s="252"/>
      <c r="GUW24" s="252"/>
      <c r="GUX24" s="252"/>
      <c r="GUY24" s="252"/>
      <c r="GUZ24" s="252"/>
      <c r="GVA24" s="252"/>
      <c r="GVB24" s="252"/>
      <c r="GVC24" s="252"/>
      <c r="GVD24" s="252"/>
      <c r="GVE24" s="252"/>
      <c r="GVF24" s="252"/>
      <c r="GVG24" s="252"/>
      <c r="GVH24" s="252"/>
      <c r="GVI24" s="252"/>
      <c r="GVJ24" s="252"/>
      <c r="GVK24" s="252"/>
      <c r="GVL24" s="252"/>
      <c r="GVM24" s="252"/>
      <c r="GVN24" s="252"/>
      <c r="GVO24" s="252"/>
      <c r="GVP24" s="252"/>
      <c r="GVQ24" s="252"/>
      <c r="GVR24" s="252"/>
      <c r="GVS24" s="252"/>
      <c r="GVT24" s="252"/>
      <c r="GVU24" s="252"/>
      <c r="GVV24" s="252"/>
      <c r="GVW24" s="252"/>
      <c r="GVX24" s="252"/>
      <c r="GVY24" s="252"/>
      <c r="GVZ24" s="252"/>
      <c r="GWA24" s="252"/>
      <c r="GWB24" s="252"/>
      <c r="GWC24" s="252"/>
      <c r="GWD24" s="252"/>
      <c r="GWE24" s="252"/>
      <c r="GWF24" s="252"/>
      <c r="GWG24" s="252"/>
      <c r="GWH24" s="252"/>
      <c r="GWI24" s="252"/>
      <c r="GWJ24" s="252"/>
      <c r="GWK24" s="252"/>
      <c r="GWL24" s="252"/>
      <c r="GWM24" s="252"/>
      <c r="GWN24" s="252"/>
      <c r="GWO24" s="252"/>
      <c r="GWP24" s="252"/>
      <c r="GWQ24" s="252"/>
      <c r="GWR24" s="252"/>
      <c r="GWS24" s="252"/>
      <c r="GWT24" s="252"/>
      <c r="GWU24" s="252"/>
      <c r="GWV24" s="252"/>
      <c r="GWW24" s="252"/>
      <c r="GWX24" s="252"/>
      <c r="GWY24" s="252"/>
      <c r="GWZ24" s="252"/>
      <c r="GXA24" s="252"/>
      <c r="GXB24" s="252"/>
      <c r="GXC24" s="252"/>
      <c r="GXD24" s="252"/>
      <c r="GXE24" s="252"/>
      <c r="GXF24" s="252"/>
      <c r="GXG24" s="252"/>
      <c r="GXH24" s="252"/>
      <c r="GXI24" s="252"/>
      <c r="GXJ24" s="252"/>
      <c r="GXK24" s="252"/>
      <c r="GXL24" s="252"/>
      <c r="GXM24" s="252"/>
      <c r="GXN24" s="252"/>
      <c r="GXO24" s="252"/>
      <c r="GXP24" s="252"/>
      <c r="GXQ24" s="252"/>
      <c r="GXR24" s="252"/>
      <c r="GXS24" s="252"/>
      <c r="GXT24" s="252"/>
      <c r="GXU24" s="252"/>
      <c r="GXV24" s="252"/>
      <c r="GXW24" s="252"/>
      <c r="GXX24" s="252"/>
      <c r="GXY24" s="252"/>
      <c r="GXZ24" s="252"/>
      <c r="GYA24" s="252"/>
      <c r="GYB24" s="252"/>
      <c r="GYC24" s="252"/>
      <c r="GYD24" s="252"/>
      <c r="GYE24" s="252"/>
      <c r="GYF24" s="252"/>
      <c r="GYG24" s="252"/>
      <c r="GYH24" s="252"/>
      <c r="GYI24" s="252"/>
      <c r="GYJ24" s="252"/>
      <c r="GYK24" s="252"/>
      <c r="GYL24" s="252"/>
      <c r="GYM24" s="252"/>
      <c r="GYN24" s="252"/>
      <c r="GYO24" s="252"/>
      <c r="GYP24" s="252"/>
      <c r="GYQ24" s="252"/>
      <c r="GYR24" s="252"/>
      <c r="GYS24" s="252"/>
      <c r="GYT24" s="252"/>
      <c r="GYU24" s="252"/>
      <c r="GYV24" s="252"/>
      <c r="GYW24" s="252"/>
      <c r="GYX24" s="252"/>
      <c r="GYY24" s="252"/>
      <c r="GYZ24" s="252"/>
      <c r="GZA24" s="252"/>
      <c r="GZB24" s="252"/>
      <c r="GZC24" s="252"/>
      <c r="GZD24" s="252"/>
      <c r="GZE24" s="252"/>
      <c r="GZF24" s="252"/>
      <c r="GZG24" s="252"/>
      <c r="GZH24" s="252"/>
      <c r="GZI24" s="252"/>
      <c r="GZJ24" s="252"/>
      <c r="GZK24" s="252"/>
      <c r="GZL24" s="252"/>
      <c r="GZM24" s="252"/>
      <c r="GZN24" s="252"/>
      <c r="GZO24" s="252"/>
      <c r="GZP24" s="252"/>
      <c r="GZQ24" s="252"/>
      <c r="GZR24" s="252"/>
      <c r="GZS24" s="252"/>
      <c r="GZT24" s="252"/>
      <c r="GZU24" s="252"/>
      <c r="GZV24" s="252"/>
      <c r="GZW24" s="252"/>
      <c r="GZX24" s="252"/>
      <c r="GZY24" s="252"/>
      <c r="GZZ24" s="252"/>
      <c r="HAA24" s="252"/>
      <c r="HAB24" s="252"/>
      <c r="HAC24" s="252"/>
      <c r="HAD24" s="252"/>
      <c r="HAE24" s="252"/>
      <c r="HAF24" s="252"/>
      <c r="HAG24" s="252"/>
      <c r="HAH24" s="252"/>
      <c r="HAI24" s="252"/>
      <c r="HAJ24" s="252"/>
      <c r="HAK24" s="252"/>
      <c r="HAL24" s="252"/>
      <c r="HAM24" s="252"/>
      <c r="HAN24" s="252"/>
      <c r="HAO24" s="252"/>
      <c r="HAP24" s="252"/>
      <c r="HAQ24" s="252"/>
      <c r="HAR24" s="252"/>
      <c r="HAS24" s="252"/>
      <c r="HAT24" s="252"/>
      <c r="HAU24" s="252"/>
      <c r="HAV24" s="252"/>
      <c r="HAW24" s="252"/>
      <c r="HAX24" s="252"/>
      <c r="HAY24" s="252"/>
      <c r="HAZ24" s="252"/>
      <c r="HBA24" s="252"/>
      <c r="HBB24" s="252"/>
      <c r="HBC24" s="252"/>
      <c r="HBD24" s="252"/>
      <c r="HBE24" s="252"/>
      <c r="HBF24" s="252"/>
      <c r="HBG24" s="252"/>
      <c r="HBH24" s="252"/>
      <c r="HBI24" s="252"/>
      <c r="HBJ24" s="252"/>
      <c r="HBK24" s="252"/>
      <c r="HBL24" s="252"/>
      <c r="HBM24" s="252"/>
      <c r="HBN24" s="252"/>
      <c r="HBO24" s="252"/>
      <c r="HBP24" s="252"/>
      <c r="HBQ24" s="252"/>
      <c r="HBR24" s="252"/>
      <c r="HBS24" s="252"/>
      <c r="HBT24" s="252"/>
      <c r="HBU24" s="252"/>
      <c r="HBV24" s="252"/>
      <c r="HBW24" s="252"/>
      <c r="HBX24" s="252"/>
      <c r="HBY24" s="252"/>
      <c r="HBZ24" s="252"/>
      <c r="HCA24" s="252"/>
      <c r="HCB24" s="252"/>
      <c r="HCC24" s="252"/>
      <c r="HCD24" s="252"/>
      <c r="HCE24" s="252"/>
      <c r="HCF24" s="252"/>
      <c r="HCG24" s="252"/>
      <c r="HCH24" s="252"/>
      <c r="HCI24" s="252"/>
      <c r="HCJ24" s="252"/>
      <c r="HCK24" s="252"/>
      <c r="HCL24" s="252"/>
      <c r="HCM24" s="252"/>
      <c r="HCN24" s="252"/>
      <c r="HCO24" s="252"/>
      <c r="HCP24" s="252"/>
      <c r="HCQ24" s="252"/>
      <c r="HCR24" s="252"/>
      <c r="HCS24" s="252"/>
      <c r="HCT24" s="252"/>
      <c r="HCU24" s="252"/>
      <c r="HCV24" s="252"/>
      <c r="HCW24" s="252"/>
      <c r="HCX24" s="252"/>
      <c r="HCY24" s="252"/>
      <c r="HCZ24" s="252"/>
      <c r="HDA24" s="252"/>
      <c r="HDB24" s="252"/>
      <c r="HDC24" s="252"/>
      <c r="HDD24" s="252"/>
      <c r="HDE24" s="252"/>
      <c r="HDF24" s="252"/>
      <c r="HDG24" s="252"/>
      <c r="HDH24" s="252"/>
      <c r="HDI24" s="252"/>
      <c r="HDJ24" s="252"/>
      <c r="HDK24" s="252"/>
      <c r="HDL24" s="252"/>
      <c r="HDM24" s="252"/>
      <c r="HDN24" s="252"/>
      <c r="HDO24" s="252"/>
      <c r="HDP24" s="252"/>
      <c r="HDQ24" s="252"/>
      <c r="HDR24" s="252"/>
      <c r="HDS24" s="252"/>
      <c r="HDT24" s="252"/>
      <c r="HDU24" s="252"/>
      <c r="HDV24" s="252"/>
      <c r="HDW24" s="252"/>
      <c r="HDX24" s="252"/>
      <c r="HDY24" s="252"/>
      <c r="HDZ24" s="252"/>
      <c r="HEA24" s="252"/>
      <c r="HEB24" s="252"/>
      <c r="HEC24" s="252"/>
      <c r="HED24" s="252"/>
      <c r="HEE24" s="252"/>
      <c r="HEF24" s="252"/>
      <c r="HEG24" s="252"/>
      <c r="HEH24" s="252"/>
      <c r="HEI24" s="252"/>
      <c r="HEJ24" s="252"/>
      <c r="HEK24" s="252"/>
      <c r="HEL24" s="252"/>
      <c r="HEM24" s="252"/>
      <c r="HEN24" s="252"/>
      <c r="HEO24" s="252"/>
      <c r="HEP24" s="252"/>
      <c r="HEQ24" s="252"/>
      <c r="HER24" s="252"/>
      <c r="HES24" s="252"/>
      <c r="HET24" s="252"/>
      <c r="HEU24" s="252"/>
      <c r="HEV24" s="252"/>
      <c r="HEW24" s="252"/>
      <c r="HEX24" s="252"/>
      <c r="HEY24" s="252"/>
      <c r="HEZ24" s="252"/>
      <c r="HFA24" s="252"/>
      <c r="HFB24" s="252"/>
      <c r="HFC24" s="252"/>
      <c r="HFD24" s="252"/>
      <c r="HFE24" s="252"/>
      <c r="HFF24" s="252"/>
      <c r="HFG24" s="252"/>
      <c r="HFH24" s="252"/>
      <c r="HFI24" s="252"/>
      <c r="HFJ24" s="252"/>
      <c r="HFK24" s="252"/>
      <c r="HFL24" s="252"/>
      <c r="HFM24" s="252"/>
      <c r="HFN24" s="252"/>
      <c r="HFO24" s="252"/>
      <c r="HFP24" s="252"/>
      <c r="HFQ24" s="252"/>
      <c r="HFR24" s="252"/>
      <c r="HFS24" s="252"/>
      <c r="HFT24" s="252"/>
      <c r="HFU24" s="252"/>
      <c r="HFV24" s="252"/>
      <c r="HFW24" s="252"/>
      <c r="HFX24" s="252"/>
      <c r="HFY24" s="252"/>
      <c r="HFZ24" s="252"/>
      <c r="HGA24" s="252"/>
      <c r="HGB24" s="252"/>
      <c r="HGC24" s="252"/>
      <c r="HGD24" s="252"/>
      <c r="HGE24" s="252"/>
      <c r="HGF24" s="252"/>
      <c r="HGG24" s="252"/>
      <c r="HGH24" s="252"/>
      <c r="HGI24" s="252"/>
      <c r="HGJ24" s="252"/>
      <c r="HGK24" s="252"/>
      <c r="HGL24" s="252"/>
      <c r="HGM24" s="252"/>
      <c r="HGN24" s="252"/>
      <c r="HGO24" s="252"/>
      <c r="HGP24" s="252"/>
      <c r="HGQ24" s="252"/>
      <c r="HGR24" s="252"/>
      <c r="HGS24" s="252"/>
      <c r="HGT24" s="252"/>
      <c r="HGU24" s="252"/>
      <c r="HGV24" s="252"/>
      <c r="HGW24" s="252"/>
      <c r="HGX24" s="252"/>
      <c r="HGY24" s="252"/>
      <c r="HGZ24" s="252"/>
      <c r="HHA24" s="252"/>
      <c r="HHB24" s="252"/>
      <c r="HHC24" s="252"/>
      <c r="HHD24" s="252"/>
      <c r="HHE24" s="252"/>
      <c r="HHF24" s="252"/>
      <c r="HHG24" s="252"/>
      <c r="HHH24" s="252"/>
      <c r="HHI24" s="252"/>
      <c r="HHJ24" s="252"/>
      <c r="HHK24" s="252"/>
      <c r="HHL24" s="252"/>
      <c r="HHM24" s="252"/>
      <c r="HHN24" s="252"/>
      <c r="HHO24" s="252"/>
      <c r="HHP24" s="252"/>
      <c r="HHQ24" s="252"/>
      <c r="HHR24" s="252"/>
      <c r="HHS24" s="252"/>
      <c r="HHT24" s="252"/>
      <c r="HHU24" s="252"/>
      <c r="HHV24" s="252"/>
      <c r="HHW24" s="252"/>
      <c r="HHX24" s="252"/>
      <c r="HHY24" s="252"/>
      <c r="HHZ24" s="252"/>
      <c r="HIA24" s="252"/>
      <c r="HIB24" s="252"/>
      <c r="HIC24" s="252"/>
      <c r="HID24" s="252"/>
      <c r="HIE24" s="252"/>
      <c r="HIF24" s="252"/>
      <c r="HIG24" s="252"/>
      <c r="HIH24" s="252"/>
      <c r="HII24" s="252"/>
      <c r="HIJ24" s="252"/>
      <c r="HIK24" s="252"/>
      <c r="HIL24" s="252"/>
      <c r="HIM24" s="252"/>
      <c r="HIN24" s="252"/>
      <c r="HIO24" s="252"/>
      <c r="HIP24" s="252"/>
      <c r="HIQ24" s="252"/>
      <c r="HIR24" s="252"/>
      <c r="HIS24" s="252"/>
      <c r="HIT24" s="252"/>
      <c r="HIU24" s="252"/>
      <c r="HIV24" s="252"/>
      <c r="HIW24" s="252"/>
      <c r="HIX24" s="252"/>
      <c r="HIY24" s="252"/>
      <c r="HIZ24" s="252"/>
      <c r="HJA24" s="252"/>
      <c r="HJB24" s="252"/>
      <c r="HJC24" s="252"/>
      <c r="HJD24" s="252"/>
      <c r="HJE24" s="252"/>
      <c r="HJF24" s="252"/>
      <c r="HJG24" s="252"/>
      <c r="HJH24" s="252"/>
      <c r="HJI24" s="252"/>
      <c r="HJJ24" s="252"/>
      <c r="HJK24" s="252"/>
      <c r="HJL24" s="252"/>
      <c r="HJM24" s="252"/>
      <c r="HJN24" s="252"/>
      <c r="HJO24" s="252"/>
      <c r="HJP24" s="252"/>
      <c r="HJQ24" s="252"/>
      <c r="HJR24" s="252"/>
      <c r="HJS24" s="252"/>
      <c r="HJT24" s="252"/>
      <c r="HJU24" s="252"/>
      <c r="HJV24" s="252"/>
      <c r="HJW24" s="252"/>
      <c r="HJX24" s="252"/>
      <c r="HJY24" s="252"/>
      <c r="HJZ24" s="252"/>
      <c r="HKA24" s="252"/>
      <c r="HKB24" s="252"/>
      <c r="HKC24" s="252"/>
      <c r="HKD24" s="252"/>
      <c r="HKE24" s="252"/>
      <c r="HKF24" s="252"/>
      <c r="HKG24" s="252"/>
      <c r="HKH24" s="252"/>
      <c r="HKI24" s="252"/>
      <c r="HKJ24" s="252"/>
      <c r="HKK24" s="252"/>
      <c r="HKL24" s="252"/>
      <c r="HKM24" s="252"/>
      <c r="HKN24" s="252"/>
      <c r="HKO24" s="252"/>
      <c r="HKP24" s="252"/>
      <c r="HKQ24" s="252"/>
      <c r="HKR24" s="252"/>
      <c r="HKS24" s="252"/>
      <c r="HKT24" s="252"/>
      <c r="HKU24" s="252"/>
      <c r="HKV24" s="252"/>
      <c r="HKW24" s="252"/>
      <c r="HKX24" s="252"/>
      <c r="HKY24" s="252"/>
      <c r="HKZ24" s="252"/>
      <c r="HLA24" s="252"/>
      <c r="HLB24" s="252"/>
      <c r="HLC24" s="252"/>
      <c r="HLD24" s="252"/>
      <c r="HLE24" s="252"/>
      <c r="HLF24" s="252"/>
      <c r="HLG24" s="252"/>
      <c r="HLH24" s="252"/>
      <c r="HLI24" s="252"/>
      <c r="HLJ24" s="252"/>
      <c r="HLK24" s="252"/>
      <c r="HLL24" s="252"/>
      <c r="HLM24" s="252"/>
      <c r="HLN24" s="252"/>
      <c r="HLO24" s="252"/>
      <c r="HLP24" s="252"/>
      <c r="HLQ24" s="252"/>
      <c r="HLR24" s="252"/>
      <c r="HLS24" s="252"/>
      <c r="HLT24" s="252"/>
      <c r="HLU24" s="252"/>
      <c r="HLV24" s="252"/>
      <c r="HLW24" s="252"/>
      <c r="HLX24" s="252"/>
      <c r="HLY24" s="252"/>
      <c r="HLZ24" s="252"/>
      <c r="HMA24" s="252"/>
      <c r="HMB24" s="252"/>
      <c r="HMC24" s="252"/>
      <c r="HMD24" s="252"/>
      <c r="HME24" s="252"/>
      <c r="HMF24" s="252"/>
      <c r="HMG24" s="252"/>
      <c r="HMH24" s="252"/>
      <c r="HMI24" s="252"/>
      <c r="HMJ24" s="252"/>
      <c r="HMK24" s="252"/>
      <c r="HML24" s="252"/>
      <c r="HMM24" s="252"/>
      <c r="HMN24" s="252"/>
      <c r="HMO24" s="252"/>
      <c r="HMP24" s="252"/>
      <c r="HMQ24" s="252"/>
      <c r="HMR24" s="252"/>
      <c r="HMS24" s="252"/>
      <c r="HMT24" s="252"/>
      <c r="HMU24" s="252"/>
      <c r="HMV24" s="252"/>
      <c r="HMW24" s="252"/>
      <c r="HMX24" s="252"/>
      <c r="HMY24" s="252"/>
      <c r="HMZ24" s="252"/>
      <c r="HNA24" s="252"/>
      <c r="HNB24" s="252"/>
      <c r="HNC24" s="252"/>
      <c r="HND24" s="252"/>
      <c r="HNE24" s="252"/>
      <c r="HNF24" s="252"/>
      <c r="HNG24" s="252"/>
      <c r="HNH24" s="252"/>
      <c r="HNI24" s="252"/>
      <c r="HNJ24" s="252"/>
      <c r="HNK24" s="252"/>
      <c r="HNL24" s="252"/>
      <c r="HNM24" s="252"/>
      <c r="HNN24" s="252"/>
      <c r="HNO24" s="252"/>
      <c r="HNP24" s="252"/>
      <c r="HNQ24" s="252"/>
      <c r="HNR24" s="252"/>
      <c r="HNS24" s="252"/>
      <c r="HNT24" s="252"/>
      <c r="HNU24" s="252"/>
      <c r="HNV24" s="252"/>
      <c r="HNW24" s="252"/>
      <c r="HNX24" s="252"/>
      <c r="HNY24" s="252"/>
      <c r="HNZ24" s="252"/>
      <c r="HOA24" s="252"/>
      <c r="HOB24" s="252"/>
      <c r="HOC24" s="252"/>
      <c r="HOD24" s="252"/>
      <c r="HOE24" s="252"/>
      <c r="HOF24" s="252"/>
      <c r="HOG24" s="252"/>
      <c r="HOH24" s="252"/>
      <c r="HOI24" s="252"/>
      <c r="HOJ24" s="252"/>
      <c r="HOK24" s="252"/>
      <c r="HOL24" s="252"/>
      <c r="HOM24" s="252"/>
      <c r="HON24" s="252"/>
      <c r="HOO24" s="252"/>
      <c r="HOP24" s="252"/>
      <c r="HOQ24" s="252"/>
      <c r="HOR24" s="252"/>
      <c r="HOS24" s="252"/>
      <c r="HOT24" s="252"/>
      <c r="HOU24" s="252"/>
      <c r="HOV24" s="252"/>
      <c r="HOW24" s="252"/>
      <c r="HOX24" s="252"/>
      <c r="HOY24" s="252"/>
      <c r="HOZ24" s="252"/>
      <c r="HPA24" s="252"/>
      <c r="HPB24" s="252"/>
      <c r="HPC24" s="252"/>
      <c r="HPD24" s="252"/>
      <c r="HPE24" s="252"/>
      <c r="HPF24" s="252"/>
      <c r="HPG24" s="252"/>
      <c r="HPH24" s="252"/>
      <c r="HPI24" s="252"/>
      <c r="HPJ24" s="252"/>
      <c r="HPK24" s="252"/>
      <c r="HPL24" s="252"/>
      <c r="HPM24" s="252"/>
      <c r="HPN24" s="252"/>
      <c r="HPO24" s="252"/>
      <c r="HPP24" s="252"/>
      <c r="HPQ24" s="252"/>
      <c r="HPR24" s="252"/>
      <c r="HPS24" s="252"/>
      <c r="HPT24" s="252"/>
      <c r="HPU24" s="252"/>
      <c r="HPV24" s="252"/>
      <c r="HPW24" s="252"/>
      <c r="HPX24" s="252"/>
      <c r="HPY24" s="252"/>
      <c r="HPZ24" s="252"/>
      <c r="HQA24" s="252"/>
      <c r="HQB24" s="252"/>
      <c r="HQC24" s="252"/>
      <c r="HQD24" s="252"/>
      <c r="HQE24" s="252"/>
      <c r="HQF24" s="252"/>
      <c r="HQG24" s="252"/>
      <c r="HQH24" s="252"/>
      <c r="HQI24" s="252"/>
      <c r="HQJ24" s="252"/>
      <c r="HQK24" s="252"/>
      <c r="HQL24" s="252"/>
      <c r="HQM24" s="252"/>
      <c r="HQN24" s="252"/>
      <c r="HQO24" s="252"/>
      <c r="HQP24" s="252"/>
      <c r="HQQ24" s="252"/>
      <c r="HQR24" s="252"/>
      <c r="HQS24" s="252"/>
      <c r="HQT24" s="252"/>
      <c r="HQU24" s="252"/>
      <c r="HQV24" s="252"/>
      <c r="HQW24" s="252"/>
      <c r="HQX24" s="252"/>
      <c r="HQY24" s="252"/>
      <c r="HQZ24" s="252"/>
      <c r="HRA24" s="252"/>
      <c r="HRB24" s="252"/>
      <c r="HRC24" s="252"/>
      <c r="HRD24" s="252"/>
      <c r="HRE24" s="252"/>
      <c r="HRF24" s="252"/>
      <c r="HRG24" s="252"/>
      <c r="HRH24" s="252"/>
      <c r="HRI24" s="252"/>
      <c r="HRJ24" s="252"/>
      <c r="HRK24" s="252"/>
      <c r="HRL24" s="252"/>
      <c r="HRM24" s="252"/>
      <c r="HRN24" s="252"/>
      <c r="HRO24" s="252"/>
      <c r="HRP24" s="252"/>
      <c r="HRQ24" s="252"/>
      <c r="HRR24" s="252"/>
      <c r="HRS24" s="252"/>
      <c r="HRT24" s="252"/>
      <c r="HRU24" s="252"/>
      <c r="HRV24" s="252"/>
      <c r="HRW24" s="252"/>
      <c r="HRX24" s="252"/>
      <c r="HRY24" s="252"/>
      <c r="HRZ24" s="252"/>
      <c r="HSA24" s="252"/>
      <c r="HSB24" s="252"/>
      <c r="HSC24" s="252"/>
      <c r="HSD24" s="252"/>
      <c r="HSE24" s="252"/>
      <c r="HSF24" s="252"/>
      <c r="HSG24" s="252"/>
      <c r="HSH24" s="252"/>
      <c r="HSI24" s="252"/>
      <c r="HSJ24" s="252"/>
      <c r="HSK24" s="252"/>
      <c r="HSL24" s="252"/>
      <c r="HSM24" s="252"/>
      <c r="HSN24" s="252"/>
      <c r="HSO24" s="252"/>
      <c r="HSP24" s="252"/>
      <c r="HSQ24" s="252"/>
      <c r="HSR24" s="252"/>
      <c r="HSS24" s="252"/>
      <c r="HST24" s="252"/>
      <c r="HSU24" s="252"/>
      <c r="HSV24" s="252"/>
      <c r="HSW24" s="252"/>
      <c r="HSX24" s="252"/>
      <c r="HSY24" s="252"/>
      <c r="HSZ24" s="252"/>
      <c r="HTA24" s="252"/>
      <c r="HTB24" s="252"/>
      <c r="HTC24" s="252"/>
      <c r="HTD24" s="252"/>
      <c r="HTE24" s="252"/>
      <c r="HTF24" s="252"/>
      <c r="HTG24" s="252"/>
      <c r="HTH24" s="252"/>
      <c r="HTI24" s="252"/>
      <c r="HTJ24" s="252"/>
      <c r="HTK24" s="252"/>
      <c r="HTL24" s="252"/>
      <c r="HTM24" s="252"/>
      <c r="HTN24" s="252"/>
      <c r="HTO24" s="252"/>
      <c r="HTP24" s="252"/>
      <c r="HTQ24" s="252"/>
      <c r="HTR24" s="252"/>
      <c r="HTS24" s="252"/>
      <c r="HTT24" s="252"/>
      <c r="HTU24" s="252"/>
      <c r="HTV24" s="252"/>
      <c r="HTW24" s="252"/>
      <c r="HTX24" s="252"/>
      <c r="HTY24" s="252"/>
      <c r="HTZ24" s="252"/>
      <c r="HUA24" s="252"/>
      <c r="HUB24" s="252"/>
      <c r="HUC24" s="252"/>
      <c r="HUD24" s="252"/>
      <c r="HUE24" s="252"/>
      <c r="HUF24" s="252"/>
      <c r="HUG24" s="252"/>
      <c r="HUH24" s="252"/>
      <c r="HUI24" s="252"/>
      <c r="HUJ24" s="252"/>
      <c r="HUK24" s="252"/>
      <c r="HUL24" s="252"/>
      <c r="HUM24" s="252"/>
      <c r="HUN24" s="252"/>
      <c r="HUO24" s="252"/>
      <c r="HUP24" s="252"/>
      <c r="HUQ24" s="252"/>
      <c r="HUR24" s="252"/>
      <c r="HUS24" s="252"/>
      <c r="HUT24" s="252"/>
      <c r="HUU24" s="252"/>
      <c r="HUV24" s="252"/>
      <c r="HUW24" s="252"/>
      <c r="HUX24" s="252"/>
      <c r="HUY24" s="252"/>
      <c r="HUZ24" s="252"/>
      <c r="HVA24" s="252"/>
      <c r="HVB24" s="252"/>
      <c r="HVC24" s="252"/>
      <c r="HVD24" s="252"/>
      <c r="HVE24" s="252"/>
      <c r="HVF24" s="252"/>
      <c r="HVG24" s="252"/>
      <c r="HVH24" s="252"/>
      <c r="HVI24" s="252"/>
      <c r="HVJ24" s="252"/>
      <c r="HVK24" s="252"/>
      <c r="HVL24" s="252"/>
      <c r="HVM24" s="252"/>
      <c r="HVN24" s="252"/>
      <c r="HVO24" s="252"/>
      <c r="HVP24" s="252"/>
      <c r="HVQ24" s="252"/>
      <c r="HVR24" s="252"/>
      <c r="HVS24" s="252"/>
      <c r="HVT24" s="252"/>
      <c r="HVU24" s="252"/>
      <c r="HVV24" s="252"/>
      <c r="HVW24" s="252"/>
      <c r="HVX24" s="252"/>
      <c r="HVY24" s="252"/>
      <c r="HVZ24" s="252"/>
      <c r="HWA24" s="252"/>
      <c r="HWB24" s="252"/>
      <c r="HWC24" s="252"/>
      <c r="HWD24" s="252"/>
      <c r="HWE24" s="252"/>
      <c r="HWF24" s="252"/>
      <c r="HWG24" s="252"/>
      <c r="HWH24" s="252"/>
      <c r="HWI24" s="252"/>
      <c r="HWJ24" s="252"/>
      <c r="HWK24" s="252"/>
      <c r="HWL24" s="252"/>
      <c r="HWM24" s="252"/>
      <c r="HWN24" s="252"/>
      <c r="HWO24" s="252"/>
      <c r="HWP24" s="252"/>
      <c r="HWQ24" s="252"/>
      <c r="HWR24" s="252"/>
      <c r="HWS24" s="252"/>
      <c r="HWT24" s="252"/>
      <c r="HWU24" s="252"/>
      <c r="HWV24" s="252"/>
      <c r="HWW24" s="252"/>
      <c r="HWX24" s="252"/>
      <c r="HWY24" s="252"/>
      <c r="HWZ24" s="252"/>
      <c r="HXA24" s="252"/>
      <c r="HXB24" s="252"/>
      <c r="HXC24" s="252"/>
      <c r="HXD24" s="252"/>
      <c r="HXE24" s="252"/>
      <c r="HXF24" s="252"/>
      <c r="HXG24" s="252"/>
      <c r="HXH24" s="252"/>
      <c r="HXI24" s="252"/>
      <c r="HXJ24" s="252"/>
      <c r="HXK24" s="252"/>
      <c r="HXL24" s="252"/>
      <c r="HXM24" s="252"/>
      <c r="HXN24" s="252"/>
      <c r="HXO24" s="252"/>
      <c r="HXP24" s="252"/>
      <c r="HXQ24" s="252"/>
      <c r="HXR24" s="252"/>
      <c r="HXS24" s="252"/>
      <c r="HXT24" s="252"/>
      <c r="HXU24" s="252"/>
      <c r="HXV24" s="252"/>
      <c r="HXW24" s="252"/>
      <c r="HXX24" s="252"/>
      <c r="HXY24" s="252"/>
      <c r="HXZ24" s="252"/>
      <c r="HYA24" s="252"/>
      <c r="HYB24" s="252"/>
      <c r="HYC24" s="252"/>
      <c r="HYD24" s="252"/>
      <c r="HYE24" s="252"/>
      <c r="HYF24" s="252"/>
      <c r="HYG24" s="252"/>
      <c r="HYH24" s="252"/>
      <c r="HYI24" s="252"/>
      <c r="HYJ24" s="252"/>
      <c r="HYK24" s="252"/>
      <c r="HYL24" s="252"/>
      <c r="HYM24" s="252"/>
      <c r="HYN24" s="252"/>
      <c r="HYO24" s="252"/>
      <c r="HYP24" s="252"/>
      <c r="HYQ24" s="252"/>
      <c r="HYR24" s="252"/>
      <c r="HYS24" s="252"/>
      <c r="HYT24" s="252"/>
      <c r="HYU24" s="252"/>
      <c r="HYV24" s="252"/>
      <c r="HYW24" s="252"/>
      <c r="HYX24" s="252"/>
      <c r="HYY24" s="252"/>
      <c r="HYZ24" s="252"/>
      <c r="HZA24" s="252"/>
      <c r="HZB24" s="252"/>
      <c r="HZC24" s="252"/>
      <c r="HZD24" s="252"/>
      <c r="HZE24" s="252"/>
      <c r="HZF24" s="252"/>
      <c r="HZG24" s="252"/>
      <c r="HZH24" s="252"/>
      <c r="HZI24" s="252"/>
      <c r="HZJ24" s="252"/>
      <c r="HZK24" s="252"/>
      <c r="HZL24" s="252"/>
      <c r="HZM24" s="252"/>
      <c r="HZN24" s="252"/>
      <c r="HZO24" s="252"/>
      <c r="HZP24" s="252"/>
      <c r="HZQ24" s="252"/>
      <c r="HZR24" s="252"/>
      <c r="HZS24" s="252"/>
      <c r="HZT24" s="252"/>
      <c r="HZU24" s="252"/>
      <c r="HZV24" s="252"/>
      <c r="HZW24" s="252"/>
      <c r="HZX24" s="252"/>
      <c r="HZY24" s="252"/>
      <c r="HZZ24" s="252"/>
      <c r="IAA24" s="252"/>
      <c r="IAB24" s="252"/>
      <c r="IAC24" s="252"/>
      <c r="IAD24" s="252"/>
      <c r="IAE24" s="252"/>
      <c r="IAF24" s="252"/>
      <c r="IAG24" s="252"/>
      <c r="IAH24" s="252"/>
      <c r="IAI24" s="252"/>
      <c r="IAJ24" s="252"/>
      <c r="IAK24" s="252"/>
      <c r="IAL24" s="252"/>
      <c r="IAM24" s="252"/>
      <c r="IAN24" s="252"/>
      <c r="IAO24" s="252"/>
      <c r="IAP24" s="252"/>
      <c r="IAQ24" s="252"/>
      <c r="IAR24" s="252"/>
      <c r="IAS24" s="252"/>
      <c r="IAT24" s="252"/>
      <c r="IAU24" s="252"/>
      <c r="IAV24" s="252"/>
      <c r="IAW24" s="252"/>
      <c r="IAX24" s="252"/>
      <c r="IAY24" s="252"/>
      <c r="IAZ24" s="252"/>
      <c r="IBA24" s="252"/>
      <c r="IBB24" s="252"/>
      <c r="IBC24" s="252"/>
      <c r="IBD24" s="252"/>
      <c r="IBE24" s="252"/>
      <c r="IBF24" s="252"/>
      <c r="IBG24" s="252"/>
      <c r="IBH24" s="252"/>
      <c r="IBI24" s="252"/>
      <c r="IBJ24" s="252"/>
      <c r="IBK24" s="252"/>
      <c r="IBL24" s="252"/>
      <c r="IBM24" s="252"/>
      <c r="IBN24" s="252"/>
      <c r="IBO24" s="252"/>
      <c r="IBP24" s="252"/>
      <c r="IBQ24" s="252"/>
      <c r="IBR24" s="252"/>
      <c r="IBS24" s="252"/>
      <c r="IBT24" s="252"/>
      <c r="IBU24" s="252"/>
      <c r="IBV24" s="252"/>
      <c r="IBW24" s="252"/>
      <c r="IBX24" s="252"/>
      <c r="IBY24" s="252"/>
      <c r="IBZ24" s="252"/>
      <c r="ICA24" s="252"/>
      <c r="ICB24" s="252"/>
      <c r="ICC24" s="252"/>
      <c r="ICD24" s="252"/>
      <c r="ICE24" s="252"/>
      <c r="ICF24" s="252"/>
      <c r="ICG24" s="252"/>
      <c r="ICH24" s="252"/>
      <c r="ICI24" s="252"/>
      <c r="ICJ24" s="252"/>
      <c r="ICK24" s="252"/>
      <c r="ICL24" s="252"/>
      <c r="ICM24" s="252"/>
      <c r="ICN24" s="252"/>
      <c r="ICO24" s="252"/>
      <c r="ICP24" s="252"/>
      <c r="ICQ24" s="252"/>
      <c r="ICR24" s="252"/>
      <c r="ICS24" s="252"/>
      <c r="ICT24" s="252"/>
      <c r="ICU24" s="252"/>
      <c r="ICV24" s="252"/>
      <c r="ICW24" s="252"/>
      <c r="ICX24" s="252"/>
      <c r="ICY24" s="252"/>
      <c r="ICZ24" s="252"/>
      <c r="IDA24" s="252"/>
      <c r="IDB24" s="252"/>
      <c r="IDC24" s="252"/>
      <c r="IDD24" s="252"/>
      <c r="IDE24" s="252"/>
      <c r="IDF24" s="252"/>
      <c r="IDG24" s="252"/>
      <c r="IDH24" s="252"/>
      <c r="IDI24" s="252"/>
      <c r="IDJ24" s="252"/>
      <c r="IDK24" s="252"/>
      <c r="IDL24" s="252"/>
      <c r="IDM24" s="252"/>
      <c r="IDN24" s="252"/>
      <c r="IDO24" s="252"/>
      <c r="IDP24" s="252"/>
      <c r="IDQ24" s="252"/>
      <c r="IDR24" s="252"/>
      <c r="IDS24" s="252"/>
      <c r="IDT24" s="252"/>
      <c r="IDU24" s="252"/>
      <c r="IDV24" s="252"/>
      <c r="IDW24" s="252"/>
      <c r="IDX24" s="252"/>
      <c r="IDY24" s="252"/>
      <c r="IDZ24" s="252"/>
      <c r="IEA24" s="252"/>
      <c r="IEB24" s="252"/>
      <c r="IEC24" s="252"/>
      <c r="IED24" s="252"/>
      <c r="IEE24" s="252"/>
      <c r="IEF24" s="252"/>
      <c r="IEG24" s="252"/>
      <c r="IEH24" s="252"/>
      <c r="IEI24" s="252"/>
      <c r="IEJ24" s="252"/>
      <c r="IEK24" s="252"/>
      <c r="IEL24" s="252"/>
      <c r="IEM24" s="252"/>
      <c r="IEN24" s="252"/>
      <c r="IEO24" s="252"/>
      <c r="IEP24" s="252"/>
      <c r="IEQ24" s="252"/>
      <c r="IER24" s="252"/>
      <c r="IES24" s="252"/>
      <c r="IET24" s="252"/>
      <c r="IEU24" s="252"/>
      <c r="IEV24" s="252"/>
      <c r="IEW24" s="252"/>
      <c r="IEX24" s="252"/>
      <c r="IEY24" s="252"/>
      <c r="IEZ24" s="252"/>
      <c r="IFA24" s="252"/>
      <c r="IFB24" s="252"/>
      <c r="IFC24" s="252"/>
      <c r="IFD24" s="252"/>
      <c r="IFE24" s="252"/>
      <c r="IFF24" s="252"/>
      <c r="IFG24" s="252"/>
      <c r="IFH24" s="252"/>
      <c r="IFI24" s="252"/>
      <c r="IFJ24" s="252"/>
      <c r="IFK24" s="252"/>
      <c r="IFL24" s="252"/>
      <c r="IFM24" s="252"/>
      <c r="IFN24" s="252"/>
      <c r="IFO24" s="252"/>
      <c r="IFP24" s="252"/>
      <c r="IFQ24" s="252"/>
      <c r="IFR24" s="252"/>
      <c r="IFS24" s="252"/>
      <c r="IFT24" s="252"/>
      <c r="IFU24" s="252"/>
      <c r="IFV24" s="252"/>
      <c r="IFW24" s="252"/>
      <c r="IFX24" s="252"/>
      <c r="IFY24" s="252"/>
      <c r="IFZ24" s="252"/>
      <c r="IGA24" s="252"/>
      <c r="IGB24" s="252"/>
      <c r="IGC24" s="252"/>
      <c r="IGD24" s="252"/>
      <c r="IGE24" s="252"/>
      <c r="IGF24" s="252"/>
      <c r="IGG24" s="252"/>
      <c r="IGH24" s="252"/>
      <c r="IGI24" s="252"/>
      <c r="IGJ24" s="252"/>
      <c r="IGK24" s="252"/>
      <c r="IGL24" s="252"/>
      <c r="IGM24" s="252"/>
      <c r="IGN24" s="252"/>
      <c r="IGO24" s="252"/>
      <c r="IGP24" s="252"/>
      <c r="IGQ24" s="252"/>
      <c r="IGR24" s="252"/>
      <c r="IGS24" s="252"/>
      <c r="IGT24" s="252"/>
      <c r="IGU24" s="252"/>
      <c r="IGV24" s="252"/>
      <c r="IGW24" s="252"/>
      <c r="IGX24" s="252"/>
      <c r="IGY24" s="252"/>
      <c r="IGZ24" s="252"/>
      <c r="IHA24" s="252"/>
      <c r="IHB24" s="252"/>
      <c r="IHC24" s="252"/>
      <c r="IHD24" s="252"/>
      <c r="IHE24" s="252"/>
      <c r="IHF24" s="252"/>
      <c r="IHG24" s="252"/>
      <c r="IHH24" s="252"/>
      <c r="IHI24" s="252"/>
      <c r="IHJ24" s="252"/>
      <c r="IHK24" s="252"/>
      <c r="IHL24" s="252"/>
      <c r="IHM24" s="252"/>
      <c r="IHN24" s="252"/>
      <c r="IHO24" s="252"/>
      <c r="IHP24" s="252"/>
      <c r="IHQ24" s="252"/>
      <c r="IHR24" s="252"/>
      <c r="IHS24" s="252"/>
      <c r="IHT24" s="252"/>
      <c r="IHU24" s="252"/>
      <c r="IHV24" s="252"/>
      <c r="IHW24" s="252"/>
      <c r="IHX24" s="252"/>
      <c r="IHY24" s="252"/>
      <c r="IHZ24" s="252"/>
      <c r="IIA24" s="252"/>
      <c r="IIB24" s="252"/>
      <c r="IIC24" s="252"/>
      <c r="IID24" s="252"/>
      <c r="IIE24" s="252"/>
      <c r="IIF24" s="252"/>
      <c r="IIG24" s="252"/>
      <c r="IIH24" s="252"/>
      <c r="III24" s="252"/>
      <c r="IIJ24" s="252"/>
      <c r="IIK24" s="252"/>
      <c r="IIL24" s="252"/>
      <c r="IIM24" s="252"/>
      <c r="IIN24" s="252"/>
      <c r="IIO24" s="252"/>
      <c r="IIP24" s="252"/>
      <c r="IIQ24" s="252"/>
      <c r="IIR24" s="252"/>
      <c r="IIS24" s="252"/>
      <c r="IIT24" s="252"/>
      <c r="IIU24" s="252"/>
      <c r="IIV24" s="252"/>
      <c r="IIW24" s="252"/>
      <c r="IIX24" s="252"/>
      <c r="IIY24" s="252"/>
      <c r="IIZ24" s="252"/>
      <c r="IJA24" s="252"/>
      <c r="IJB24" s="252"/>
      <c r="IJC24" s="252"/>
      <c r="IJD24" s="252"/>
      <c r="IJE24" s="252"/>
      <c r="IJF24" s="252"/>
      <c r="IJG24" s="252"/>
      <c r="IJH24" s="252"/>
      <c r="IJI24" s="252"/>
      <c r="IJJ24" s="252"/>
      <c r="IJK24" s="252"/>
      <c r="IJL24" s="252"/>
      <c r="IJM24" s="252"/>
      <c r="IJN24" s="252"/>
      <c r="IJO24" s="252"/>
      <c r="IJP24" s="252"/>
      <c r="IJQ24" s="252"/>
      <c r="IJR24" s="252"/>
      <c r="IJS24" s="252"/>
      <c r="IJT24" s="252"/>
      <c r="IJU24" s="252"/>
      <c r="IJV24" s="252"/>
      <c r="IJW24" s="252"/>
      <c r="IJX24" s="252"/>
      <c r="IJY24" s="252"/>
      <c r="IJZ24" s="252"/>
      <c r="IKA24" s="252"/>
      <c r="IKB24" s="252"/>
      <c r="IKC24" s="252"/>
      <c r="IKD24" s="252"/>
      <c r="IKE24" s="252"/>
      <c r="IKF24" s="252"/>
      <c r="IKG24" s="252"/>
      <c r="IKH24" s="252"/>
      <c r="IKI24" s="252"/>
      <c r="IKJ24" s="252"/>
      <c r="IKK24" s="252"/>
      <c r="IKL24" s="252"/>
      <c r="IKM24" s="252"/>
      <c r="IKN24" s="252"/>
      <c r="IKO24" s="252"/>
      <c r="IKP24" s="252"/>
      <c r="IKQ24" s="252"/>
      <c r="IKR24" s="252"/>
      <c r="IKS24" s="252"/>
      <c r="IKT24" s="252"/>
      <c r="IKU24" s="252"/>
      <c r="IKV24" s="252"/>
      <c r="IKW24" s="252"/>
      <c r="IKX24" s="252"/>
      <c r="IKY24" s="252"/>
      <c r="IKZ24" s="252"/>
      <c r="ILA24" s="252"/>
      <c r="ILB24" s="252"/>
      <c r="ILC24" s="252"/>
      <c r="ILD24" s="252"/>
      <c r="ILE24" s="252"/>
      <c r="ILF24" s="252"/>
      <c r="ILG24" s="252"/>
      <c r="ILH24" s="252"/>
      <c r="ILI24" s="252"/>
      <c r="ILJ24" s="252"/>
      <c r="ILK24" s="252"/>
      <c r="ILL24" s="252"/>
      <c r="ILM24" s="252"/>
      <c r="ILN24" s="252"/>
      <c r="ILO24" s="252"/>
      <c r="ILP24" s="252"/>
      <c r="ILQ24" s="252"/>
      <c r="ILR24" s="252"/>
      <c r="ILS24" s="252"/>
      <c r="ILT24" s="252"/>
      <c r="ILU24" s="252"/>
      <c r="ILV24" s="252"/>
      <c r="ILW24" s="252"/>
      <c r="ILX24" s="252"/>
      <c r="ILY24" s="252"/>
      <c r="ILZ24" s="252"/>
      <c r="IMA24" s="252"/>
      <c r="IMB24" s="252"/>
      <c r="IMC24" s="252"/>
      <c r="IMD24" s="252"/>
      <c r="IME24" s="252"/>
      <c r="IMF24" s="252"/>
      <c r="IMG24" s="252"/>
      <c r="IMH24" s="252"/>
      <c r="IMI24" s="252"/>
      <c r="IMJ24" s="252"/>
      <c r="IMK24" s="252"/>
      <c r="IML24" s="252"/>
      <c r="IMM24" s="252"/>
      <c r="IMN24" s="252"/>
      <c r="IMO24" s="252"/>
      <c r="IMP24" s="252"/>
      <c r="IMQ24" s="252"/>
      <c r="IMR24" s="252"/>
      <c r="IMS24" s="252"/>
      <c r="IMT24" s="252"/>
      <c r="IMU24" s="252"/>
      <c r="IMV24" s="252"/>
      <c r="IMW24" s="252"/>
      <c r="IMX24" s="252"/>
      <c r="IMY24" s="252"/>
      <c r="IMZ24" s="252"/>
      <c r="INA24" s="252"/>
      <c r="INB24" s="252"/>
      <c r="INC24" s="252"/>
      <c r="IND24" s="252"/>
      <c r="INE24" s="252"/>
      <c r="INF24" s="252"/>
      <c r="ING24" s="252"/>
      <c r="INH24" s="252"/>
      <c r="INI24" s="252"/>
      <c r="INJ24" s="252"/>
      <c r="INK24" s="252"/>
      <c r="INL24" s="252"/>
      <c r="INM24" s="252"/>
      <c r="INN24" s="252"/>
      <c r="INO24" s="252"/>
      <c r="INP24" s="252"/>
      <c r="INQ24" s="252"/>
      <c r="INR24" s="252"/>
      <c r="INS24" s="252"/>
      <c r="INT24" s="252"/>
      <c r="INU24" s="252"/>
      <c r="INV24" s="252"/>
      <c r="INW24" s="252"/>
      <c r="INX24" s="252"/>
      <c r="INY24" s="252"/>
      <c r="INZ24" s="252"/>
      <c r="IOA24" s="252"/>
      <c r="IOB24" s="252"/>
      <c r="IOC24" s="252"/>
      <c r="IOD24" s="252"/>
      <c r="IOE24" s="252"/>
      <c r="IOF24" s="252"/>
      <c r="IOG24" s="252"/>
      <c r="IOH24" s="252"/>
      <c r="IOI24" s="252"/>
      <c r="IOJ24" s="252"/>
      <c r="IOK24" s="252"/>
      <c r="IOL24" s="252"/>
      <c r="IOM24" s="252"/>
      <c r="ION24" s="252"/>
      <c r="IOO24" s="252"/>
      <c r="IOP24" s="252"/>
      <c r="IOQ24" s="252"/>
      <c r="IOR24" s="252"/>
      <c r="IOS24" s="252"/>
      <c r="IOT24" s="252"/>
      <c r="IOU24" s="252"/>
      <c r="IOV24" s="252"/>
      <c r="IOW24" s="252"/>
      <c r="IOX24" s="252"/>
      <c r="IOY24" s="252"/>
      <c r="IOZ24" s="252"/>
      <c r="IPA24" s="252"/>
      <c r="IPB24" s="252"/>
      <c r="IPC24" s="252"/>
      <c r="IPD24" s="252"/>
      <c r="IPE24" s="252"/>
      <c r="IPF24" s="252"/>
      <c r="IPG24" s="252"/>
      <c r="IPH24" s="252"/>
      <c r="IPI24" s="252"/>
      <c r="IPJ24" s="252"/>
      <c r="IPK24" s="252"/>
      <c r="IPL24" s="252"/>
      <c r="IPM24" s="252"/>
      <c r="IPN24" s="252"/>
      <c r="IPO24" s="252"/>
      <c r="IPP24" s="252"/>
      <c r="IPQ24" s="252"/>
      <c r="IPR24" s="252"/>
      <c r="IPS24" s="252"/>
      <c r="IPT24" s="252"/>
      <c r="IPU24" s="252"/>
      <c r="IPV24" s="252"/>
      <c r="IPW24" s="252"/>
      <c r="IPX24" s="252"/>
      <c r="IPY24" s="252"/>
      <c r="IPZ24" s="252"/>
      <c r="IQA24" s="252"/>
      <c r="IQB24" s="252"/>
      <c r="IQC24" s="252"/>
      <c r="IQD24" s="252"/>
      <c r="IQE24" s="252"/>
      <c r="IQF24" s="252"/>
      <c r="IQG24" s="252"/>
      <c r="IQH24" s="252"/>
      <c r="IQI24" s="252"/>
      <c r="IQJ24" s="252"/>
      <c r="IQK24" s="252"/>
      <c r="IQL24" s="252"/>
      <c r="IQM24" s="252"/>
      <c r="IQN24" s="252"/>
      <c r="IQO24" s="252"/>
      <c r="IQP24" s="252"/>
      <c r="IQQ24" s="252"/>
      <c r="IQR24" s="252"/>
      <c r="IQS24" s="252"/>
      <c r="IQT24" s="252"/>
      <c r="IQU24" s="252"/>
      <c r="IQV24" s="252"/>
      <c r="IQW24" s="252"/>
      <c r="IQX24" s="252"/>
      <c r="IQY24" s="252"/>
      <c r="IQZ24" s="252"/>
      <c r="IRA24" s="252"/>
      <c r="IRB24" s="252"/>
      <c r="IRC24" s="252"/>
      <c r="IRD24" s="252"/>
      <c r="IRE24" s="252"/>
      <c r="IRF24" s="252"/>
      <c r="IRG24" s="252"/>
      <c r="IRH24" s="252"/>
      <c r="IRI24" s="252"/>
      <c r="IRJ24" s="252"/>
      <c r="IRK24" s="252"/>
      <c r="IRL24" s="252"/>
      <c r="IRM24" s="252"/>
      <c r="IRN24" s="252"/>
      <c r="IRO24" s="252"/>
      <c r="IRP24" s="252"/>
      <c r="IRQ24" s="252"/>
      <c r="IRR24" s="252"/>
      <c r="IRS24" s="252"/>
      <c r="IRT24" s="252"/>
      <c r="IRU24" s="252"/>
      <c r="IRV24" s="252"/>
      <c r="IRW24" s="252"/>
      <c r="IRX24" s="252"/>
      <c r="IRY24" s="252"/>
      <c r="IRZ24" s="252"/>
      <c r="ISA24" s="252"/>
      <c r="ISB24" s="252"/>
      <c r="ISC24" s="252"/>
      <c r="ISD24" s="252"/>
      <c r="ISE24" s="252"/>
      <c r="ISF24" s="252"/>
      <c r="ISG24" s="252"/>
      <c r="ISH24" s="252"/>
      <c r="ISI24" s="252"/>
      <c r="ISJ24" s="252"/>
      <c r="ISK24" s="252"/>
      <c r="ISL24" s="252"/>
      <c r="ISM24" s="252"/>
      <c r="ISN24" s="252"/>
      <c r="ISO24" s="252"/>
      <c r="ISP24" s="252"/>
      <c r="ISQ24" s="252"/>
      <c r="ISR24" s="252"/>
      <c r="ISS24" s="252"/>
      <c r="IST24" s="252"/>
      <c r="ISU24" s="252"/>
      <c r="ISV24" s="252"/>
      <c r="ISW24" s="252"/>
      <c r="ISX24" s="252"/>
      <c r="ISY24" s="252"/>
      <c r="ISZ24" s="252"/>
      <c r="ITA24" s="252"/>
      <c r="ITB24" s="252"/>
      <c r="ITC24" s="252"/>
      <c r="ITD24" s="252"/>
      <c r="ITE24" s="252"/>
      <c r="ITF24" s="252"/>
      <c r="ITG24" s="252"/>
      <c r="ITH24" s="252"/>
      <c r="ITI24" s="252"/>
      <c r="ITJ24" s="252"/>
      <c r="ITK24" s="252"/>
      <c r="ITL24" s="252"/>
      <c r="ITM24" s="252"/>
      <c r="ITN24" s="252"/>
      <c r="ITO24" s="252"/>
      <c r="ITP24" s="252"/>
      <c r="ITQ24" s="252"/>
      <c r="ITR24" s="252"/>
      <c r="ITS24" s="252"/>
      <c r="ITT24" s="252"/>
      <c r="ITU24" s="252"/>
      <c r="ITV24" s="252"/>
      <c r="ITW24" s="252"/>
      <c r="ITX24" s="252"/>
      <c r="ITY24" s="252"/>
      <c r="ITZ24" s="252"/>
      <c r="IUA24" s="252"/>
      <c r="IUB24" s="252"/>
      <c r="IUC24" s="252"/>
      <c r="IUD24" s="252"/>
      <c r="IUE24" s="252"/>
      <c r="IUF24" s="252"/>
      <c r="IUG24" s="252"/>
      <c r="IUH24" s="252"/>
      <c r="IUI24" s="252"/>
      <c r="IUJ24" s="252"/>
      <c r="IUK24" s="252"/>
      <c r="IUL24" s="252"/>
      <c r="IUM24" s="252"/>
      <c r="IUN24" s="252"/>
      <c r="IUO24" s="252"/>
      <c r="IUP24" s="252"/>
      <c r="IUQ24" s="252"/>
      <c r="IUR24" s="252"/>
      <c r="IUS24" s="252"/>
      <c r="IUT24" s="252"/>
      <c r="IUU24" s="252"/>
      <c r="IUV24" s="252"/>
      <c r="IUW24" s="252"/>
      <c r="IUX24" s="252"/>
      <c r="IUY24" s="252"/>
      <c r="IUZ24" s="252"/>
      <c r="IVA24" s="252"/>
      <c r="IVB24" s="252"/>
      <c r="IVC24" s="252"/>
      <c r="IVD24" s="252"/>
      <c r="IVE24" s="252"/>
      <c r="IVF24" s="252"/>
      <c r="IVG24" s="252"/>
      <c r="IVH24" s="252"/>
      <c r="IVI24" s="252"/>
      <c r="IVJ24" s="252"/>
      <c r="IVK24" s="252"/>
      <c r="IVL24" s="252"/>
      <c r="IVM24" s="252"/>
      <c r="IVN24" s="252"/>
      <c r="IVO24" s="252"/>
      <c r="IVP24" s="252"/>
      <c r="IVQ24" s="252"/>
      <c r="IVR24" s="252"/>
      <c r="IVS24" s="252"/>
      <c r="IVT24" s="252"/>
      <c r="IVU24" s="252"/>
      <c r="IVV24" s="252"/>
      <c r="IVW24" s="252"/>
      <c r="IVX24" s="252"/>
      <c r="IVY24" s="252"/>
      <c r="IVZ24" s="252"/>
      <c r="IWA24" s="252"/>
      <c r="IWB24" s="252"/>
      <c r="IWC24" s="252"/>
      <c r="IWD24" s="252"/>
      <c r="IWE24" s="252"/>
      <c r="IWF24" s="252"/>
      <c r="IWG24" s="252"/>
      <c r="IWH24" s="252"/>
      <c r="IWI24" s="252"/>
      <c r="IWJ24" s="252"/>
      <c r="IWK24" s="252"/>
      <c r="IWL24" s="252"/>
      <c r="IWM24" s="252"/>
      <c r="IWN24" s="252"/>
      <c r="IWO24" s="252"/>
      <c r="IWP24" s="252"/>
      <c r="IWQ24" s="252"/>
      <c r="IWR24" s="252"/>
      <c r="IWS24" s="252"/>
      <c r="IWT24" s="252"/>
      <c r="IWU24" s="252"/>
      <c r="IWV24" s="252"/>
      <c r="IWW24" s="252"/>
      <c r="IWX24" s="252"/>
      <c r="IWY24" s="252"/>
      <c r="IWZ24" s="252"/>
      <c r="IXA24" s="252"/>
      <c r="IXB24" s="252"/>
      <c r="IXC24" s="252"/>
      <c r="IXD24" s="252"/>
      <c r="IXE24" s="252"/>
      <c r="IXF24" s="252"/>
      <c r="IXG24" s="252"/>
      <c r="IXH24" s="252"/>
      <c r="IXI24" s="252"/>
      <c r="IXJ24" s="252"/>
      <c r="IXK24" s="252"/>
      <c r="IXL24" s="252"/>
      <c r="IXM24" s="252"/>
      <c r="IXN24" s="252"/>
      <c r="IXO24" s="252"/>
      <c r="IXP24" s="252"/>
      <c r="IXQ24" s="252"/>
      <c r="IXR24" s="252"/>
      <c r="IXS24" s="252"/>
      <c r="IXT24" s="252"/>
      <c r="IXU24" s="252"/>
      <c r="IXV24" s="252"/>
      <c r="IXW24" s="252"/>
      <c r="IXX24" s="252"/>
      <c r="IXY24" s="252"/>
      <c r="IXZ24" s="252"/>
      <c r="IYA24" s="252"/>
      <c r="IYB24" s="252"/>
      <c r="IYC24" s="252"/>
      <c r="IYD24" s="252"/>
      <c r="IYE24" s="252"/>
      <c r="IYF24" s="252"/>
      <c r="IYG24" s="252"/>
      <c r="IYH24" s="252"/>
      <c r="IYI24" s="252"/>
      <c r="IYJ24" s="252"/>
      <c r="IYK24" s="252"/>
      <c r="IYL24" s="252"/>
      <c r="IYM24" s="252"/>
      <c r="IYN24" s="252"/>
      <c r="IYO24" s="252"/>
      <c r="IYP24" s="252"/>
      <c r="IYQ24" s="252"/>
      <c r="IYR24" s="252"/>
      <c r="IYS24" s="252"/>
      <c r="IYT24" s="252"/>
      <c r="IYU24" s="252"/>
      <c r="IYV24" s="252"/>
      <c r="IYW24" s="252"/>
      <c r="IYX24" s="252"/>
      <c r="IYY24" s="252"/>
      <c r="IYZ24" s="252"/>
      <c r="IZA24" s="252"/>
      <c r="IZB24" s="252"/>
      <c r="IZC24" s="252"/>
      <c r="IZD24" s="252"/>
      <c r="IZE24" s="252"/>
      <c r="IZF24" s="252"/>
      <c r="IZG24" s="252"/>
      <c r="IZH24" s="252"/>
      <c r="IZI24" s="252"/>
      <c r="IZJ24" s="252"/>
      <c r="IZK24" s="252"/>
      <c r="IZL24" s="252"/>
      <c r="IZM24" s="252"/>
      <c r="IZN24" s="252"/>
      <c r="IZO24" s="252"/>
      <c r="IZP24" s="252"/>
      <c r="IZQ24" s="252"/>
      <c r="IZR24" s="252"/>
      <c r="IZS24" s="252"/>
      <c r="IZT24" s="252"/>
      <c r="IZU24" s="252"/>
      <c r="IZV24" s="252"/>
      <c r="IZW24" s="252"/>
      <c r="IZX24" s="252"/>
      <c r="IZY24" s="252"/>
      <c r="IZZ24" s="252"/>
      <c r="JAA24" s="252"/>
      <c r="JAB24" s="252"/>
      <c r="JAC24" s="252"/>
      <c r="JAD24" s="252"/>
      <c r="JAE24" s="252"/>
      <c r="JAF24" s="252"/>
      <c r="JAG24" s="252"/>
      <c r="JAH24" s="252"/>
      <c r="JAI24" s="252"/>
      <c r="JAJ24" s="252"/>
      <c r="JAK24" s="252"/>
      <c r="JAL24" s="252"/>
      <c r="JAM24" s="252"/>
      <c r="JAN24" s="252"/>
      <c r="JAO24" s="252"/>
      <c r="JAP24" s="252"/>
      <c r="JAQ24" s="252"/>
      <c r="JAR24" s="252"/>
      <c r="JAS24" s="252"/>
      <c r="JAT24" s="252"/>
      <c r="JAU24" s="252"/>
      <c r="JAV24" s="252"/>
      <c r="JAW24" s="252"/>
      <c r="JAX24" s="252"/>
      <c r="JAY24" s="252"/>
      <c r="JAZ24" s="252"/>
      <c r="JBA24" s="252"/>
      <c r="JBB24" s="252"/>
      <c r="JBC24" s="252"/>
      <c r="JBD24" s="252"/>
      <c r="JBE24" s="252"/>
      <c r="JBF24" s="252"/>
      <c r="JBG24" s="252"/>
      <c r="JBH24" s="252"/>
      <c r="JBI24" s="252"/>
      <c r="JBJ24" s="252"/>
      <c r="JBK24" s="252"/>
      <c r="JBL24" s="252"/>
      <c r="JBM24" s="252"/>
      <c r="JBN24" s="252"/>
      <c r="JBO24" s="252"/>
      <c r="JBP24" s="252"/>
      <c r="JBQ24" s="252"/>
      <c r="JBR24" s="252"/>
      <c r="JBS24" s="252"/>
      <c r="JBT24" s="252"/>
      <c r="JBU24" s="252"/>
      <c r="JBV24" s="252"/>
      <c r="JBW24" s="252"/>
      <c r="JBX24" s="252"/>
      <c r="JBY24" s="252"/>
      <c r="JBZ24" s="252"/>
      <c r="JCA24" s="252"/>
      <c r="JCB24" s="252"/>
      <c r="JCC24" s="252"/>
      <c r="JCD24" s="252"/>
      <c r="JCE24" s="252"/>
      <c r="JCF24" s="252"/>
      <c r="JCG24" s="252"/>
      <c r="JCH24" s="252"/>
      <c r="JCI24" s="252"/>
      <c r="JCJ24" s="252"/>
      <c r="JCK24" s="252"/>
      <c r="JCL24" s="252"/>
      <c r="JCM24" s="252"/>
      <c r="JCN24" s="252"/>
      <c r="JCO24" s="252"/>
      <c r="JCP24" s="252"/>
      <c r="JCQ24" s="252"/>
      <c r="JCR24" s="252"/>
      <c r="JCS24" s="252"/>
      <c r="JCT24" s="252"/>
      <c r="JCU24" s="252"/>
      <c r="JCV24" s="252"/>
      <c r="JCW24" s="252"/>
      <c r="JCX24" s="252"/>
      <c r="JCY24" s="252"/>
      <c r="JCZ24" s="252"/>
      <c r="JDA24" s="252"/>
      <c r="JDB24" s="252"/>
      <c r="JDC24" s="252"/>
      <c r="JDD24" s="252"/>
      <c r="JDE24" s="252"/>
      <c r="JDF24" s="252"/>
      <c r="JDG24" s="252"/>
      <c r="JDH24" s="252"/>
      <c r="JDI24" s="252"/>
      <c r="JDJ24" s="252"/>
      <c r="JDK24" s="252"/>
      <c r="JDL24" s="252"/>
      <c r="JDM24" s="252"/>
      <c r="JDN24" s="252"/>
      <c r="JDO24" s="252"/>
      <c r="JDP24" s="252"/>
      <c r="JDQ24" s="252"/>
      <c r="JDR24" s="252"/>
      <c r="JDS24" s="252"/>
      <c r="JDT24" s="252"/>
      <c r="JDU24" s="252"/>
      <c r="JDV24" s="252"/>
      <c r="JDW24" s="252"/>
      <c r="JDX24" s="252"/>
      <c r="JDY24" s="252"/>
      <c r="JDZ24" s="252"/>
      <c r="JEA24" s="252"/>
      <c r="JEB24" s="252"/>
      <c r="JEC24" s="252"/>
      <c r="JED24" s="252"/>
      <c r="JEE24" s="252"/>
      <c r="JEF24" s="252"/>
      <c r="JEG24" s="252"/>
      <c r="JEH24" s="252"/>
      <c r="JEI24" s="252"/>
      <c r="JEJ24" s="252"/>
      <c r="JEK24" s="252"/>
      <c r="JEL24" s="252"/>
      <c r="JEM24" s="252"/>
      <c r="JEN24" s="252"/>
      <c r="JEO24" s="252"/>
      <c r="JEP24" s="252"/>
      <c r="JEQ24" s="252"/>
      <c r="JER24" s="252"/>
      <c r="JES24" s="252"/>
      <c r="JET24" s="252"/>
      <c r="JEU24" s="252"/>
      <c r="JEV24" s="252"/>
      <c r="JEW24" s="252"/>
      <c r="JEX24" s="252"/>
      <c r="JEY24" s="252"/>
      <c r="JEZ24" s="252"/>
      <c r="JFA24" s="252"/>
      <c r="JFB24" s="252"/>
      <c r="JFC24" s="252"/>
      <c r="JFD24" s="252"/>
      <c r="JFE24" s="252"/>
      <c r="JFF24" s="252"/>
      <c r="JFG24" s="252"/>
      <c r="JFH24" s="252"/>
      <c r="JFI24" s="252"/>
      <c r="JFJ24" s="252"/>
      <c r="JFK24" s="252"/>
      <c r="JFL24" s="252"/>
      <c r="JFM24" s="252"/>
      <c r="JFN24" s="252"/>
      <c r="JFO24" s="252"/>
      <c r="JFP24" s="252"/>
      <c r="JFQ24" s="252"/>
      <c r="JFR24" s="252"/>
      <c r="JFS24" s="252"/>
      <c r="JFT24" s="252"/>
      <c r="JFU24" s="252"/>
      <c r="JFV24" s="252"/>
      <c r="JFW24" s="252"/>
      <c r="JFX24" s="252"/>
      <c r="JFY24" s="252"/>
      <c r="JFZ24" s="252"/>
      <c r="JGA24" s="252"/>
      <c r="JGB24" s="252"/>
      <c r="JGC24" s="252"/>
      <c r="JGD24" s="252"/>
      <c r="JGE24" s="252"/>
      <c r="JGF24" s="252"/>
      <c r="JGG24" s="252"/>
      <c r="JGH24" s="252"/>
      <c r="JGI24" s="252"/>
      <c r="JGJ24" s="252"/>
      <c r="JGK24" s="252"/>
      <c r="JGL24" s="252"/>
      <c r="JGM24" s="252"/>
      <c r="JGN24" s="252"/>
      <c r="JGO24" s="252"/>
      <c r="JGP24" s="252"/>
      <c r="JGQ24" s="252"/>
      <c r="JGR24" s="252"/>
      <c r="JGS24" s="252"/>
      <c r="JGT24" s="252"/>
      <c r="JGU24" s="252"/>
      <c r="JGV24" s="252"/>
      <c r="JGW24" s="252"/>
      <c r="JGX24" s="252"/>
      <c r="JGY24" s="252"/>
      <c r="JGZ24" s="252"/>
      <c r="JHA24" s="252"/>
      <c r="JHB24" s="252"/>
      <c r="JHC24" s="252"/>
      <c r="JHD24" s="252"/>
      <c r="JHE24" s="252"/>
      <c r="JHF24" s="252"/>
      <c r="JHG24" s="252"/>
      <c r="JHH24" s="252"/>
      <c r="JHI24" s="252"/>
      <c r="JHJ24" s="252"/>
      <c r="JHK24" s="252"/>
      <c r="JHL24" s="252"/>
      <c r="JHM24" s="252"/>
      <c r="JHN24" s="252"/>
      <c r="JHO24" s="252"/>
      <c r="JHP24" s="252"/>
      <c r="JHQ24" s="252"/>
      <c r="JHR24" s="252"/>
      <c r="JHS24" s="252"/>
      <c r="JHT24" s="252"/>
      <c r="JHU24" s="252"/>
      <c r="JHV24" s="252"/>
      <c r="JHW24" s="252"/>
      <c r="JHX24" s="252"/>
      <c r="JHY24" s="252"/>
      <c r="JHZ24" s="252"/>
      <c r="JIA24" s="252"/>
      <c r="JIB24" s="252"/>
      <c r="JIC24" s="252"/>
      <c r="JID24" s="252"/>
      <c r="JIE24" s="252"/>
      <c r="JIF24" s="252"/>
      <c r="JIG24" s="252"/>
      <c r="JIH24" s="252"/>
      <c r="JII24" s="252"/>
      <c r="JIJ24" s="252"/>
      <c r="JIK24" s="252"/>
      <c r="JIL24" s="252"/>
      <c r="JIM24" s="252"/>
      <c r="JIN24" s="252"/>
      <c r="JIO24" s="252"/>
      <c r="JIP24" s="252"/>
      <c r="JIQ24" s="252"/>
      <c r="JIR24" s="252"/>
      <c r="JIS24" s="252"/>
      <c r="JIT24" s="252"/>
      <c r="JIU24" s="252"/>
      <c r="JIV24" s="252"/>
      <c r="JIW24" s="252"/>
      <c r="JIX24" s="252"/>
      <c r="JIY24" s="252"/>
      <c r="JIZ24" s="252"/>
      <c r="JJA24" s="252"/>
      <c r="JJB24" s="252"/>
      <c r="JJC24" s="252"/>
      <c r="JJD24" s="252"/>
      <c r="JJE24" s="252"/>
      <c r="JJF24" s="252"/>
      <c r="JJG24" s="252"/>
      <c r="JJH24" s="252"/>
      <c r="JJI24" s="252"/>
      <c r="JJJ24" s="252"/>
      <c r="JJK24" s="252"/>
      <c r="JJL24" s="252"/>
      <c r="JJM24" s="252"/>
      <c r="JJN24" s="252"/>
      <c r="JJO24" s="252"/>
      <c r="JJP24" s="252"/>
      <c r="JJQ24" s="252"/>
      <c r="JJR24" s="252"/>
      <c r="JJS24" s="252"/>
      <c r="JJT24" s="252"/>
      <c r="JJU24" s="252"/>
      <c r="JJV24" s="252"/>
      <c r="JJW24" s="252"/>
      <c r="JJX24" s="252"/>
      <c r="JJY24" s="252"/>
      <c r="JJZ24" s="252"/>
      <c r="JKA24" s="252"/>
      <c r="JKB24" s="252"/>
      <c r="JKC24" s="252"/>
      <c r="JKD24" s="252"/>
      <c r="JKE24" s="252"/>
      <c r="JKF24" s="252"/>
      <c r="JKG24" s="252"/>
      <c r="JKH24" s="252"/>
      <c r="JKI24" s="252"/>
      <c r="JKJ24" s="252"/>
      <c r="JKK24" s="252"/>
      <c r="JKL24" s="252"/>
      <c r="JKM24" s="252"/>
      <c r="JKN24" s="252"/>
      <c r="JKO24" s="252"/>
      <c r="JKP24" s="252"/>
      <c r="JKQ24" s="252"/>
      <c r="JKR24" s="252"/>
      <c r="JKS24" s="252"/>
      <c r="JKT24" s="252"/>
      <c r="JKU24" s="252"/>
      <c r="JKV24" s="252"/>
      <c r="JKW24" s="252"/>
      <c r="JKX24" s="252"/>
      <c r="JKY24" s="252"/>
      <c r="JKZ24" s="252"/>
      <c r="JLA24" s="252"/>
      <c r="JLB24" s="252"/>
      <c r="JLC24" s="252"/>
      <c r="JLD24" s="252"/>
      <c r="JLE24" s="252"/>
      <c r="JLF24" s="252"/>
      <c r="JLG24" s="252"/>
      <c r="JLH24" s="252"/>
      <c r="JLI24" s="252"/>
      <c r="JLJ24" s="252"/>
      <c r="JLK24" s="252"/>
      <c r="JLL24" s="252"/>
      <c r="JLM24" s="252"/>
      <c r="JLN24" s="252"/>
      <c r="JLO24" s="252"/>
      <c r="JLP24" s="252"/>
      <c r="JLQ24" s="252"/>
      <c r="JLR24" s="252"/>
      <c r="JLS24" s="252"/>
      <c r="JLT24" s="252"/>
      <c r="JLU24" s="252"/>
      <c r="JLV24" s="252"/>
      <c r="JLW24" s="252"/>
      <c r="JLX24" s="252"/>
      <c r="JLY24" s="252"/>
      <c r="JLZ24" s="252"/>
      <c r="JMA24" s="252"/>
      <c r="JMB24" s="252"/>
      <c r="JMC24" s="252"/>
      <c r="JMD24" s="252"/>
      <c r="JME24" s="252"/>
      <c r="JMF24" s="252"/>
      <c r="JMG24" s="252"/>
      <c r="JMH24" s="252"/>
      <c r="JMI24" s="252"/>
      <c r="JMJ24" s="252"/>
      <c r="JMK24" s="252"/>
      <c r="JML24" s="252"/>
      <c r="JMM24" s="252"/>
      <c r="JMN24" s="252"/>
      <c r="JMO24" s="252"/>
      <c r="JMP24" s="252"/>
      <c r="JMQ24" s="252"/>
      <c r="JMR24" s="252"/>
      <c r="JMS24" s="252"/>
      <c r="JMT24" s="252"/>
      <c r="JMU24" s="252"/>
      <c r="JMV24" s="252"/>
      <c r="JMW24" s="252"/>
      <c r="JMX24" s="252"/>
      <c r="JMY24" s="252"/>
      <c r="JMZ24" s="252"/>
      <c r="JNA24" s="252"/>
      <c r="JNB24" s="252"/>
      <c r="JNC24" s="252"/>
      <c r="JND24" s="252"/>
      <c r="JNE24" s="252"/>
      <c r="JNF24" s="252"/>
      <c r="JNG24" s="252"/>
      <c r="JNH24" s="252"/>
      <c r="JNI24" s="252"/>
      <c r="JNJ24" s="252"/>
      <c r="JNK24" s="252"/>
      <c r="JNL24" s="252"/>
      <c r="JNM24" s="252"/>
      <c r="JNN24" s="252"/>
      <c r="JNO24" s="252"/>
      <c r="JNP24" s="252"/>
      <c r="JNQ24" s="252"/>
      <c r="JNR24" s="252"/>
      <c r="JNS24" s="252"/>
      <c r="JNT24" s="252"/>
      <c r="JNU24" s="252"/>
      <c r="JNV24" s="252"/>
      <c r="JNW24" s="252"/>
      <c r="JNX24" s="252"/>
      <c r="JNY24" s="252"/>
      <c r="JNZ24" s="252"/>
      <c r="JOA24" s="252"/>
      <c r="JOB24" s="252"/>
      <c r="JOC24" s="252"/>
      <c r="JOD24" s="252"/>
      <c r="JOE24" s="252"/>
      <c r="JOF24" s="252"/>
      <c r="JOG24" s="252"/>
      <c r="JOH24" s="252"/>
      <c r="JOI24" s="252"/>
      <c r="JOJ24" s="252"/>
      <c r="JOK24" s="252"/>
      <c r="JOL24" s="252"/>
      <c r="JOM24" s="252"/>
      <c r="JON24" s="252"/>
      <c r="JOO24" s="252"/>
      <c r="JOP24" s="252"/>
      <c r="JOQ24" s="252"/>
      <c r="JOR24" s="252"/>
      <c r="JOS24" s="252"/>
      <c r="JOT24" s="252"/>
      <c r="JOU24" s="252"/>
      <c r="JOV24" s="252"/>
      <c r="JOW24" s="252"/>
      <c r="JOX24" s="252"/>
      <c r="JOY24" s="252"/>
      <c r="JOZ24" s="252"/>
      <c r="JPA24" s="252"/>
      <c r="JPB24" s="252"/>
      <c r="JPC24" s="252"/>
      <c r="JPD24" s="252"/>
      <c r="JPE24" s="252"/>
      <c r="JPF24" s="252"/>
      <c r="JPG24" s="252"/>
      <c r="JPH24" s="252"/>
      <c r="JPI24" s="252"/>
      <c r="JPJ24" s="252"/>
      <c r="JPK24" s="252"/>
      <c r="JPL24" s="252"/>
      <c r="JPM24" s="252"/>
      <c r="JPN24" s="252"/>
      <c r="JPO24" s="252"/>
      <c r="JPP24" s="252"/>
      <c r="JPQ24" s="252"/>
      <c r="JPR24" s="252"/>
      <c r="JPS24" s="252"/>
      <c r="JPT24" s="252"/>
      <c r="JPU24" s="252"/>
      <c r="JPV24" s="252"/>
      <c r="JPW24" s="252"/>
      <c r="JPX24" s="252"/>
      <c r="JPY24" s="252"/>
      <c r="JPZ24" s="252"/>
      <c r="JQA24" s="252"/>
      <c r="JQB24" s="252"/>
      <c r="JQC24" s="252"/>
      <c r="JQD24" s="252"/>
      <c r="JQE24" s="252"/>
      <c r="JQF24" s="252"/>
      <c r="JQG24" s="252"/>
      <c r="JQH24" s="252"/>
      <c r="JQI24" s="252"/>
      <c r="JQJ24" s="252"/>
      <c r="JQK24" s="252"/>
      <c r="JQL24" s="252"/>
      <c r="JQM24" s="252"/>
      <c r="JQN24" s="252"/>
      <c r="JQO24" s="252"/>
      <c r="JQP24" s="252"/>
      <c r="JQQ24" s="252"/>
      <c r="JQR24" s="252"/>
      <c r="JQS24" s="252"/>
      <c r="JQT24" s="252"/>
      <c r="JQU24" s="252"/>
      <c r="JQV24" s="252"/>
      <c r="JQW24" s="252"/>
      <c r="JQX24" s="252"/>
      <c r="JQY24" s="252"/>
      <c r="JQZ24" s="252"/>
      <c r="JRA24" s="252"/>
      <c r="JRB24" s="252"/>
      <c r="JRC24" s="252"/>
      <c r="JRD24" s="252"/>
      <c r="JRE24" s="252"/>
      <c r="JRF24" s="252"/>
      <c r="JRG24" s="252"/>
      <c r="JRH24" s="252"/>
      <c r="JRI24" s="252"/>
      <c r="JRJ24" s="252"/>
      <c r="JRK24" s="252"/>
      <c r="JRL24" s="252"/>
      <c r="JRM24" s="252"/>
      <c r="JRN24" s="252"/>
      <c r="JRO24" s="252"/>
      <c r="JRP24" s="252"/>
      <c r="JRQ24" s="252"/>
      <c r="JRR24" s="252"/>
      <c r="JRS24" s="252"/>
      <c r="JRT24" s="252"/>
      <c r="JRU24" s="252"/>
      <c r="JRV24" s="252"/>
      <c r="JRW24" s="252"/>
      <c r="JRX24" s="252"/>
      <c r="JRY24" s="252"/>
      <c r="JRZ24" s="252"/>
      <c r="JSA24" s="252"/>
      <c r="JSB24" s="252"/>
      <c r="JSC24" s="252"/>
      <c r="JSD24" s="252"/>
      <c r="JSE24" s="252"/>
      <c r="JSF24" s="252"/>
      <c r="JSG24" s="252"/>
      <c r="JSH24" s="252"/>
      <c r="JSI24" s="252"/>
      <c r="JSJ24" s="252"/>
      <c r="JSK24" s="252"/>
      <c r="JSL24" s="252"/>
      <c r="JSM24" s="252"/>
      <c r="JSN24" s="252"/>
      <c r="JSO24" s="252"/>
      <c r="JSP24" s="252"/>
      <c r="JSQ24" s="252"/>
      <c r="JSR24" s="252"/>
      <c r="JSS24" s="252"/>
      <c r="JST24" s="252"/>
      <c r="JSU24" s="252"/>
      <c r="JSV24" s="252"/>
      <c r="JSW24" s="252"/>
      <c r="JSX24" s="252"/>
      <c r="JSY24" s="252"/>
      <c r="JSZ24" s="252"/>
      <c r="JTA24" s="252"/>
      <c r="JTB24" s="252"/>
      <c r="JTC24" s="252"/>
      <c r="JTD24" s="252"/>
      <c r="JTE24" s="252"/>
      <c r="JTF24" s="252"/>
      <c r="JTG24" s="252"/>
      <c r="JTH24" s="252"/>
      <c r="JTI24" s="252"/>
      <c r="JTJ24" s="252"/>
      <c r="JTK24" s="252"/>
      <c r="JTL24" s="252"/>
      <c r="JTM24" s="252"/>
      <c r="JTN24" s="252"/>
      <c r="JTO24" s="252"/>
      <c r="JTP24" s="252"/>
      <c r="JTQ24" s="252"/>
      <c r="JTR24" s="252"/>
      <c r="JTS24" s="252"/>
      <c r="JTT24" s="252"/>
      <c r="JTU24" s="252"/>
      <c r="JTV24" s="252"/>
      <c r="JTW24" s="252"/>
      <c r="JTX24" s="252"/>
      <c r="JTY24" s="252"/>
      <c r="JTZ24" s="252"/>
      <c r="JUA24" s="252"/>
      <c r="JUB24" s="252"/>
      <c r="JUC24" s="252"/>
      <c r="JUD24" s="252"/>
      <c r="JUE24" s="252"/>
      <c r="JUF24" s="252"/>
      <c r="JUG24" s="252"/>
      <c r="JUH24" s="252"/>
      <c r="JUI24" s="252"/>
      <c r="JUJ24" s="252"/>
      <c r="JUK24" s="252"/>
      <c r="JUL24" s="252"/>
      <c r="JUM24" s="252"/>
      <c r="JUN24" s="252"/>
      <c r="JUO24" s="252"/>
      <c r="JUP24" s="252"/>
      <c r="JUQ24" s="252"/>
      <c r="JUR24" s="252"/>
      <c r="JUS24" s="252"/>
      <c r="JUT24" s="252"/>
      <c r="JUU24" s="252"/>
      <c r="JUV24" s="252"/>
      <c r="JUW24" s="252"/>
      <c r="JUX24" s="252"/>
      <c r="JUY24" s="252"/>
      <c r="JUZ24" s="252"/>
      <c r="JVA24" s="252"/>
      <c r="JVB24" s="252"/>
      <c r="JVC24" s="252"/>
      <c r="JVD24" s="252"/>
      <c r="JVE24" s="252"/>
      <c r="JVF24" s="252"/>
      <c r="JVG24" s="252"/>
      <c r="JVH24" s="252"/>
      <c r="JVI24" s="252"/>
      <c r="JVJ24" s="252"/>
      <c r="JVK24" s="252"/>
      <c r="JVL24" s="252"/>
      <c r="JVM24" s="252"/>
      <c r="JVN24" s="252"/>
      <c r="JVO24" s="252"/>
      <c r="JVP24" s="252"/>
      <c r="JVQ24" s="252"/>
      <c r="JVR24" s="252"/>
      <c r="JVS24" s="252"/>
      <c r="JVT24" s="252"/>
      <c r="JVU24" s="252"/>
      <c r="JVV24" s="252"/>
      <c r="JVW24" s="252"/>
      <c r="JVX24" s="252"/>
      <c r="JVY24" s="252"/>
      <c r="JVZ24" s="252"/>
      <c r="JWA24" s="252"/>
      <c r="JWB24" s="252"/>
      <c r="JWC24" s="252"/>
      <c r="JWD24" s="252"/>
      <c r="JWE24" s="252"/>
      <c r="JWF24" s="252"/>
      <c r="JWG24" s="252"/>
      <c r="JWH24" s="252"/>
      <c r="JWI24" s="252"/>
      <c r="JWJ24" s="252"/>
      <c r="JWK24" s="252"/>
      <c r="JWL24" s="252"/>
      <c r="JWM24" s="252"/>
      <c r="JWN24" s="252"/>
      <c r="JWO24" s="252"/>
      <c r="JWP24" s="252"/>
      <c r="JWQ24" s="252"/>
      <c r="JWR24" s="252"/>
      <c r="JWS24" s="252"/>
      <c r="JWT24" s="252"/>
      <c r="JWU24" s="252"/>
      <c r="JWV24" s="252"/>
      <c r="JWW24" s="252"/>
      <c r="JWX24" s="252"/>
      <c r="JWY24" s="252"/>
      <c r="JWZ24" s="252"/>
      <c r="JXA24" s="252"/>
      <c r="JXB24" s="252"/>
      <c r="JXC24" s="252"/>
      <c r="JXD24" s="252"/>
      <c r="JXE24" s="252"/>
      <c r="JXF24" s="252"/>
      <c r="JXG24" s="252"/>
      <c r="JXH24" s="252"/>
      <c r="JXI24" s="252"/>
      <c r="JXJ24" s="252"/>
      <c r="JXK24" s="252"/>
      <c r="JXL24" s="252"/>
      <c r="JXM24" s="252"/>
      <c r="JXN24" s="252"/>
      <c r="JXO24" s="252"/>
      <c r="JXP24" s="252"/>
      <c r="JXQ24" s="252"/>
      <c r="JXR24" s="252"/>
      <c r="JXS24" s="252"/>
      <c r="JXT24" s="252"/>
      <c r="JXU24" s="252"/>
      <c r="JXV24" s="252"/>
      <c r="JXW24" s="252"/>
      <c r="JXX24" s="252"/>
      <c r="JXY24" s="252"/>
      <c r="JXZ24" s="252"/>
      <c r="JYA24" s="252"/>
      <c r="JYB24" s="252"/>
      <c r="JYC24" s="252"/>
      <c r="JYD24" s="252"/>
      <c r="JYE24" s="252"/>
      <c r="JYF24" s="252"/>
      <c r="JYG24" s="252"/>
      <c r="JYH24" s="252"/>
      <c r="JYI24" s="252"/>
      <c r="JYJ24" s="252"/>
      <c r="JYK24" s="252"/>
      <c r="JYL24" s="252"/>
      <c r="JYM24" s="252"/>
      <c r="JYN24" s="252"/>
      <c r="JYO24" s="252"/>
      <c r="JYP24" s="252"/>
      <c r="JYQ24" s="252"/>
      <c r="JYR24" s="252"/>
      <c r="JYS24" s="252"/>
      <c r="JYT24" s="252"/>
      <c r="JYU24" s="252"/>
      <c r="JYV24" s="252"/>
      <c r="JYW24" s="252"/>
      <c r="JYX24" s="252"/>
      <c r="JYY24" s="252"/>
      <c r="JYZ24" s="252"/>
      <c r="JZA24" s="252"/>
      <c r="JZB24" s="252"/>
      <c r="JZC24" s="252"/>
      <c r="JZD24" s="252"/>
      <c r="JZE24" s="252"/>
      <c r="JZF24" s="252"/>
      <c r="JZG24" s="252"/>
      <c r="JZH24" s="252"/>
      <c r="JZI24" s="252"/>
      <c r="JZJ24" s="252"/>
      <c r="JZK24" s="252"/>
      <c r="JZL24" s="252"/>
      <c r="JZM24" s="252"/>
      <c r="JZN24" s="252"/>
      <c r="JZO24" s="252"/>
      <c r="JZP24" s="252"/>
      <c r="JZQ24" s="252"/>
      <c r="JZR24" s="252"/>
      <c r="JZS24" s="252"/>
      <c r="JZT24" s="252"/>
      <c r="JZU24" s="252"/>
      <c r="JZV24" s="252"/>
      <c r="JZW24" s="252"/>
      <c r="JZX24" s="252"/>
      <c r="JZY24" s="252"/>
      <c r="JZZ24" s="252"/>
      <c r="KAA24" s="252"/>
      <c r="KAB24" s="252"/>
      <c r="KAC24" s="252"/>
      <c r="KAD24" s="252"/>
      <c r="KAE24" s="252"/>
      <c r="KAF24" s="252"/>
      <c r="KAG24" s="252"/>
      <c r="KAH24" s="252"/>
      <c r="KAI24" s="252"/>
      <c r="KAJ24" s="252"/>
      <c r="KAK24" s="252"/>
      <c r="KAL24" s="252"/>
      <c r="KAM24" s="252"/>
      <c r="KAN24" s="252"/>
      <c r="KAO24" s="252"/>
      <c r="KAP24" s="252"/>
      <c r="KAQ24" s="252"/>
      <c r="KAR24" s="252"/>
      <c r="KAS24" s="252"/>
      <c r="KAT24" s="252"/>
      <c r="KAU24" s="252"/>
      <c r="KAV24" s="252"/>
      <c r="KAW24" s="252"/>
      <c r="KAX24" s="252"/>
      <c r="KAY24" s="252"/>
      <c r="KAZ24" s="252"/>
      <c r="KBA24" s="252"/>
      <c r="KBB24" s="252"/>
      <c r="KBC24" s="252"/>
      <c r="KBD24" s="252"/>
      <c r="KBE24" s="252"/>
      <c r="KBF24" s="252"/>
      <c r="KBG24" s="252"/>
      <c r="KBH24" s="252"/>
      <c r="KBI24" s="252"/>
      <c r="KBJ24" s="252"/>
      <c r="KBK24" s="252"/>
      <c r="KBL24" s="252"/>
      <c r="KBM24" s="252"/>
      <c r="KBN24" s="252"/>
      <c r="KBO24" s="252"/>
      <c r="KBP24" s="252"/>
      <c r="KBQ24" s="252"/>
      <c r="KBR24" s="252"/>
      <c r="KBS24" s="252"/>
      <c r="KBT24" s="252"/>
      <c r="KBU24" s="252"/>
      <c r="KBV24" s="252"/>
      <c r="KBW24" s="252"/>
      <c r="KBX24" s="252"/>
      <c r="KBY24" s="252"/>
      <c r="KBZ24" s="252"/>
      <c r="KCA24" s="252"/>
      <c r="KCB24" s="252"/>
      <c r="KCC24" s="252"/>
      <c r="KCD24" s="252"/>
      <c r="KCE24" s="252"/>
      <c r="KCF24" s="252"/>
      <c r="KCG24" s="252"/>
      <c r="KCH24" s="252"/>
      <c r="KCI24" s="252"/>
      <c r="KCJ24" s="252"/>
      <c r="KCK24" s="252"/>
      <c r="KCL24" s="252"/>
      <c r="KCM24" s="252"/>
      <c r="KCN24" s="252"/>
      <c r="KCO24" s="252"/>
      <c r="KCP24" s="252"/>
      <c r="KCQ24" s="252"/>
      <c r="KCR24" s="252"/>
      <c r="KCS24" s="252"/>
      <c r="KCT24" s="252"/>
      <c r="KCU24" s="252"/>
      <c r="KCV24" s="252"/>
      <c r="KCW24" s="252"/>
      <c r="KCX24" s="252"/>
      <c r="KCY24" s="252"/>
      <c r="KCZ24" s="252"/>
      <c r="KDA24" s="252"/>
      <c r="KDB24" s="252"/>
      <c r="KDC24" s="252"/>
      <c r="KDD24" s="252"/>
      <c r="KDE24" s="252"/>
      <c r="KDF24" s="252"/>
      <c r="KDG24" s="252"/>
      <c r="KDH24" s="252"/>
      <c r="KDI24" s="252"/>
      <c r="KDJ24" s="252"/>
      <c r="KDK24" s="252"/>
      <c r="KDL24" s="252"/>
      <c r="KDM24" s="252"/>
      <c r="KDN24" s="252"/>
      <c r="KDO24" s="252"/>
      <c r="KDP24" s="252"/>
      <c r="KDQ24" s="252"/>
      <c r="KDR24" s="252"/>
      <c r="KDS24" s="252"/>
      <c r="KDT24" s="252"/>
      <c r="KDU24" s="252"/>
      <c r="KDV24" s="252"/>
      <c r="KDW24" s="252"/>
      <c r="KDX24" s="252"/>
      <c r="KDY24" s="252"/>
      <c r="KDZ24" s="252"/>
      <c r="KEA24" s="252"/>
      <c r="KEB24" s="252"/>
      <c r="KEC24" s="252"/>
      <c r="KED24" s="252"/>
      <c r="KEE24" s="252"/>
      <c r="KEF24" s="252"/>
      <c r="KEG24" s="252"/>
      <c r="KEH24" s="252"/>
      <c r="KEI24" s="252"/>
      <c r="KEJ24" s="252"/>
      <c r="KEK24" s="252"/>
      <c r="KEL24" s="252"/>
      <c r="KEM24" s="252"/>
      <c r="KEN24" s="252"/>
      <c r="KEO24" s="252"/>
      <c r="KEP24" s="252"/>
      <c r="KEQ24" s="252"/>
      <c r="KER24" s="252"/>
      <c r="KES24" s="252"/>
      <c r="KET24" s="252"/>
      <c r="KEU24" s="252"/>
      <c r="KEV24" s="252"/>
      <c r="KEW24" s="252"/>
      <c r="KEX24" s="252"/>
      <c r="KEY24" s="252"/>
      <c r="KEZ24" s="252"/>
      <c r="KFA24" s="252"/>
      <c r="KFB24" s="252"/>
      <c r="KFC24" s="252"/>
      <c r="KFD24" s="252"/>
      <c r="KFE24" s="252"/>
      <c r="KFF24" s="252"/>
      <c r="KFG24" s="252"/>
      <c r="KFH24" s="252"/>
      <c r="KFI24" s="252"/>
      <c r="KFJ24" s="252"/>
      <c r="KFK24" s="252"/>
      <c r="KFL24" s="252"/>
      <c r="KFM24" s="252"/>
      <c r="KFN24" s="252"/>
      <c r="KFO24" s="252"/>
      <c r="KFP24" s="252"/>
      <c r="KFQ24" s="252"/>
      <c r="KFR24" s="252"/>
      <c r="KFS24" s="252"/>
      <c r="KFT24" s="252"/>
      <c r="KFU24" s="252"/>
      <c r="KFV24" s="252"/>
      <c r="KFW24" s="252"/>
      <c r="KFX24" s="252"/>
      <c r="KFY24" s="252"/>
      <c r="KFZ24" s="252"/>
      <c r="KGA24" s="252"/>
      <c r="KGB24" s="252"/>
      <c r="KGC24" s="252"/>
      <c r="KGD24" s="252"/>
      <c r="KGE24" s="252"/>
      <c r="KGF24" s="252"/>
      <c r="KGG24" s="252"/>
      <c r="KGH24" s="252"/>
      <c r="KGI24" s="252"/>
      <c r="KGJ24" s="252"/>
      <c r="KGK24" s="252"/>
      <c r="KGL24" s="252"/>
      <c r="KGM24" s="252"/>
      <c r="KGN24" s="252"/>
      <c r="KGO24" s="252"/>
      <c r="KGP24" s="252"/>
      <c r="KGQ24" s="252"/>
      <c r="KGR24" s="252"/>
      <c r="KGS24" s="252"/>
      <c r="KGT24" s="252"/>
      <c r="KGU24" s="252"/>
      <c r="KGV24" s="252"/>
      <c r="KGW24" s="252"/>
      <c r="KGX24" s="252"/>
      <c r="KGY24" s="252"/>
      <c r="KGZ24" s="252"/>
      <c r="KHA24" s="252"/>
      <c r="KHB24" s="252"/>
      <c r="KHC24" s="252"/>
      <c r="KHD24" s="252"/>
      <c r="KHE24" s="252"/>
      <c r="KHF24" s="252"/>
      <c r="KHG24" s="252"/>
      <c r="KHH24" s="252"/>
      <c r="KHI24" s="252"/>
      <c r="KHJ24" s="252"/>
      <c r="KHK24" s="252"/>
      <c r="KHL24" s="252"/>
      <c r="KHM24" s="252"/>
      <c r="KHN24" s="252"/>
      <c r="KHO24" s="252"/>
      <c r="KHP24" s="252"/>
      <c r="KHQ24" s="252"/>
      <c r="KHR24" s="252"/>
      <c r="KHS24" s="252"/>
      <c r="KHT24" s="252"/>
      <c r="KHU24" s="252"/>
      <c r="KHV24" s="252"/>
      <c r="KHW24" s="252"/>
      <c r="KHX24" s="252"/>
      <c r="KHY24" s="252"/>
      <c r="KHZ24" s="252"/>
      <c r="KIA24" s="252"/>
      <c r="KIB24" s="252"/>
      <c r="KIC24" s="252"/>
      <c r="KID24" s="252"/>
      <c r="KIE24" s="252"/>
      <c r="KIF24" s="252"/>
      <c r="KIG24" s="252"/>
      <c r="KIH24" s="252"/>
      <c r="KII24" s="252"/>
      <c r="KIJ24" s="252"/>
      <c r="KIK24" s="252"/>
      <c r="KIL24" s="252"/>
      <c r="KIM24" s="252"/>
      <c r="KIN24" s="252"/>
      <c r="KIO24" s="252"/>
      <c r="KIP24" s="252"/>
      <c r="KIQ24" s="252"/>
      <c r="KIR24" s="252"/>
      <c r="KIS24" s="252"/>
      <c r="KIT24" s="252"/>
      <c r="KIU24" s="252"/>
      <c r="KIV24" s="252"/>
      <c r="KIW24" s="252"/>
      <c r="KIX24" s="252"/>
      <c r="KIY24" s="252"/>
      <c r="KIZ24" s="252"/>
      <c r="KJA24" s="252"/>
      <c r="KJB24" s="252"/>
      <c r="KJC24" s="252"/>
      <c r="KJD24" s="252"/>
      <c r="KJE24" s="252"/>
      <c r="KJF24" s="252"/>
      <c r="KJG24" s="252"/>
      <c r="KJH24" s="252"/>
      <c r="KJI24" s="252"/>
      <c r="KJJ24" s="252"/>
      <c r="KJK24" s="252"/>
      <c r="KJL24" s="252"/>
      <c r="KJM24" s="252"/>
      <c r="KJN24" s="252"/>
      <c r="KJO24" s="252"/>
      <c r="KJP24" s="252"/>
      <c r="KJQ24" s="252"/>
      <c r="KJR24" s="252"/>
      <c r="KJS24" s="252"/>
      <c r="KJT24" s="252"/>
      <c r="KJU24" s="252"/>
      <c r="KJV24" s="252"/>
      <c r="KJW24" s="252"/>
      <c r="KJX24" s="252"/>
      <c r="KJY24" s="252"/>
      <c r="KJZ24" s="252"/>
      <c r="KKA24" s="252"/>
      <c r="KKB24" s="252"/>
      <c r="KKC24" s="252"/>
      <c r="KKD24" s="252"/>
      <c r="KKE24" s="252"/>
      <c r="KKF24" s="252"/>
      <c r="KKG24" s="252"/>
      <c r="KKH24" s="252"/>
      <c r="KKI24" s="252"/>
      <c r="KKJ24" s="252"/>
      <c r="KKK24" s="252"/>
      <c r="KKL24" s="252"/>
      <c r="KKM24" s="252"/>
      <c r="KKN24" s="252"/>
      <c r="KKO24" s="252"/>
      <c r="KKP24" s="252"/>
      <c r="KKQ24" s="252"/>
      <c r="KKR24" s="252"/>
      <c r="KKS24" s="252"/>
      <c r="KKT24" s="252"/>
      <c r="KKU24" s="252"/>
      <c r="KKV24" s="252"/>
      <c r="KKW24" s="252"/>
      <c r="KKX24" s="252"/>
      <c r="KKY24" s="252"/>
      <c r="KKZ24" s="252"/>
      <c r="KLA24" s="252"/>
      <c r="KLB24" s="252"/>
      <c r="KLC24" s="252"/>
      <c r="KLD24" s="252"/>
      <c r="KLE24" s="252"/>
      <c r="KLF24" s="252"/>
      <c r="KLG24" s="252"/>
      <c r="KLH24" s="252"/>
      <c r="KLI24" s="252"/>
      <c r="KLJ24" s="252"/>
      <c r="KLK24" s="252"/>
      <c r="KLL24" s="252"/>
      <c r="KLM24" s="252"/>
      <c r="KLN24" s="252"/>
      <c r="KLO24" s="252"/>
      <c r="KLP24" s="252"/>
      <c r="KLQ24" s="252"/>
      <c r="KLR24" s="252"/>
      <c r="KLS24" s="252"/>
      <c r="KLT24" s="252"/>
      <c r="KLU24" s="252"/>
      <c r="KLV24" s="252"/>
      <c r="KLW24" s="252"/>
      <c r="KLX24" s="252"/>
      <c r="KLY24" s="252"/>
      <c r="KLZ24" s="252"/>
      <c r="KMA24" s="252"/>
      <c r="KMB24" s="252"/>
      <c r="KMC24" s="252"/>
      <c r="KMD24" s="252"/>
      <c r="KME24" s="252"/>
      <c r="KMF24" s="252"/>
      <c r="KMG24" s="252"/>
      <c r="KMH24" s="252"/>
      <c r="KMI24" s="252"/>
      <c r="KMJ24" s="252"/>
      <c r="KMK24" s="252"/>
      <c r="KML24" s="252"/>
      <c r="KMM24" s="252"/>
      <c r="KMN24" s="252"/>
      <c r="KMO24" s="252"/>
      <c r="KMP24" s="252"/>
      <c r="KMQ24" s="252"/>
      <c r="KMR24" s="252"/>
      <c r="KMS24" s="252"/>
      <c r="KMT24" s="252"/>
      <c r="KMU24" s="252"/>
      <c r="KMV24" s="252"/>
      <c r="KMW24" s="252"/>
      <c r="KMX24" s="252"/>
      <c r="KMY24" s="252"/>
      <c r="KMZ24" s="252"/>
      <c r="KNA24" s="252"/>
      <c r="KNB24" s="252"/>
      <c r="KNC24" s="252"/>
      <c r="KND24" s="252"/>
      <c r="KNE24" s="252"/>
      <c r="KNF24" s="252"/>
      <c r="KNG24" s="252"/>
      <c r="KNH24" s="252"/>
      <c r="KNI24" s="252"/>
      <c r="KNJ24" s="252"/>
      <c r="KNK24" s="252"/>
      <c r="KNL24" s="252"/>
      <c r="KNM24" s="252"/>
      <c r="KNN24" s="252"/>
      <c r="KNO24" s="252"/>
      <c r="KNP24" s="252"/>
      <c r="KNQ24" s="252"/>
      <c r="KNR24" s="252"/>
      <c r="KNS24" s="252"/>
      <c r="KNT24" s="252"/>
      <c r="KNU24" s="252"/>
      <c r="KNV24" s="252"/>
      <c r="KNW24" s="252"/>
      <c r="KNX24" s="252"/>
      <c r="KNY24" s="252"/>
      <c r="KNZ24" s="252"/>
      <c r="KOA24" s="252"/>
      <c r="KOB24" s="252"/>
      <c r="KOC24" s="252"/>
      <c r="KOD24" s="252"/>
      <c r="KOE24" s="252"/>
      <c r="KOF24" s="252"/>
      <c r="KOG24" s="252"/>
      <c r="KOH24" s="252"/>
      <c r="KOI24" s="252"/>
      <c r="KOJ24" s="252"/>
      <c r="KOK24" s="252"/>
      <c r="KOL24" s="252"/>
      <c r="KOM24" s="252"/>
      <c r="KON24" s="252"/>
      <c r="KOO24" s="252"/>
      <c r="KOP24" s="252"/>
      <c r="KOQ24" s="252"/>
      <c r="KOR24" s="252"/>
      <c r="KOS24" s="252"/>
      <c r="KOT24" s="252"/>
      <c r="KOU24" s="252"/>
      <c r="KOV24" s="252"/>
      <c r="KOW24" s="252"/>
      <c r="KOX24" s="252"/>
      <c r="KOY24" s="252"/>
      <c r="KOZ24" s="252"/>
      <c r="KPA24" s="252"/>
      <c r="KPB24" s="252"/>
      <c r="KPC24" s="252"/>
      <c r="KPD24" s="252"/>
      <c r="KPE24" s="252"/>
      <c r="KPF24" s="252"/>
      <c r="KPG24" s="252"/>
      <c r="KPH24" s="252"/>
      <c r="KPI24" s="252"/>
      <c r="KPJ24" s="252"/>
      <c r="KPK24" s="252"/>
      <c r="KPL24" s="252"/>
      <c r="KPM24" s="252"/>
      <c r="KPN24" s="252"/>
      <c r="KPO24" s="252"/>
      <c r="KPP24" s="252"/>
      <c r="KPQ24" s="252"/>
      <c r="KPR24" s="252"/>
      <c r="KPS24" s="252"/>
      <c r="KPT24" s="252"/>
      <c r="KPU24" s="252"/>
      <c r="KPV24" s="252"/>
      <c r="KPW24" s="252"/>
      <c r="KPX24" s="252"/>
      <c r="KPY24" s="252"/>
      <c r="KPZ24" s="252"/>
      <c r="KQA24" s="252"/>
      <c r="KQB24" s="252"/>
      <c r="KQC24" s="252"/>
      <c r="KQD24" s="252"/>
      <c r="KQE24" s="252"/>
      <c r="KQF24" s="252"/>
      <c r="KQG24" s="252"/>
      <c r="KQH24" s="252"/>
      <c r="KQI24" s="252"/>
      <c r="KQJ24" s="252"/>
      <c r="KQK24" s="252"/>
      <c r="KQL24" s="252"/>
      <c r="KQM24" s="252"/>
      <c r="KQN24" s="252"/>
      <c r="KQO24" s="252"/>
      <c r="KQP24" s="252"/>
      <c r="KQQ24" s="252"/>
      <c r="KQR24" s="252"/>
      <c r="KQS24" s="252"/>
      <c r="KQT24" s="252"/>
      <c r="KQU24" s="252"/>
      <c r="KQV24" s="252"/>
      <c r="KQW24" s="252"/>
      <c r="KQX24" s="252"/>
      <c r="KQY24" s="252"/>
      <c r="KQZ24" s="252"/>
      <c r="KRA24" s="252"/>
      <c r="KRB24" s="252"/>
      <c r="KRC24" s="252"/>
      <c r="KRD24" s="252"/>
      <c r="KRE24" s="252"/>
      <c r="KRF24" s="252"/>
      <c r="KRG24" s="252"/>
      <c r="KRH24" s="252"/>
      <c r="KRI24" s="252"/>
      <c r="KRJ24" s="252"/>
      <c r="KRK24" s="252"/>
      <c r="KRL24" s="252"/>
      <c r="KRM24" s="252"/>
      <c r="KRN24" s="252"/>
      <c r="KRO24" s="252"/>
      <c r="KRP24" s="252"/>
      <c r="KRQ24" s="252"/>
      <c r="KRR24" s="252"/>
      <c r="KRS24" s="252"/>
      <c r="KRT24" s="252"/>
      <c r="KRU24" s="252"/>
      <c r="KRV24" s="252"/>
      <c r="KRW24" s="252"/>
      <c r="KRX24" s="252"/>
      <c r="KRY24" s="252"/>
      <c r="KRZ24" s="252"/>
      <c r="KSA24" s="252"/>
      <c r="KSB24" s="252"/>
      <c r="KSC24" s="252"/>
      <c r="KSD24" s="252"/>
      <c r="KSE24" s="252"/>
      <c r="KSF24" s="252"/>
      <c r="KSG24" s="252"/>
      <c r="KSH24" s="252"/>
      <c r="KSI24" s="252"/>
      <c r="KSJ24" s="252"/>
      <c r="KSK24" s="252"/>
      <c r="KSL24" s="252"/>
      <c r="KSM24" s="252"/>
      <c r="KSN24" s="252"/>
      <c r="KSO24" s="252"/>
      <c r="KSP24" s="252"/>
      <c r="KSQ24" s="252"/>
      <c r="KSR24" s="252"/>
      <c r="KSS24" s="252"/>
      <c r="KST24" s="252"/>
      <c r="KSU24" s="252"/>
      <c r="KSV24" s="252"/>
      <c r="KSW24" s="252"/>
      <c r="KSX24" s="252"/>
      <c r="KSY24" s="252"/>
      <c r="KSZ24" s="252"/>
      <c r="KTA24" s="252"/>
      <c r="KTB24" s="252"/>
      <c r="KTC24" s="252"/>
      <c r="KTD24" s="252"/>
      <c r="KTE24" s="252"/>
      <c r="KTF24" s="252"/>
      <c r="KTG24" s="252"/>
      <c r="KTH24" s="252"/>
      <c r="KTI24" s="252"/>
      <c r="KTJ24" s="252"/>
      <c r="KTK24" s="252"/>
      <c r="KTL24" s="252"/>
      <c r="KTM24" s="252"/>
      <c r="KTN24" s="252"/>
      <c r="KTO24" s="252"/>
      <c r="KTP24" s="252"/>
      <c r="KTQ24" s="252"/>
      <c r="KTR24" s="252"/>
      <c r="KTS24" s="252"/>
      <c r="KTT24" s="252"/>
      <c r="KTU24" s="252"/>
      <c r="KTV24" s="252"/>
      <c r="KTW24" s="252"/>
      <c r="KTX24" s="252"/>
      <c r="KTY24" s="252"/>
      <c r="KTZ24" s="252"/>
      <c r="KUA24" s="252"/>
      <c r="KUB24" s="252"/>
      <c r="KUC24" s="252"/>
      <c r="KUD24" s="252"/>
      <c r="KUE24" s="252"/>
      <c r="KUF24" s="252"/>
      <c r="KUG24" s="252"/>
      <c r="KUH24" s="252"/>
      <c r="KUI24" s="252"/>
      <c r="KUJ24" s="252"/>
      <c r="KUK24" s="252"/>
      <c r="KUL24" s="252"/>
      <c r="KUM24" s="252"/>
      <c r="KUN24" s="252"/>
      <c r="KUO24" s="252"/>
      <c r="KUP24" s="252"/>
      <c r="KUQ24" s="252"/>
      <c r="KUR24" s="252"/>
      <c r="KUS24" s="252"/>
      <c r="KUT24" s="252"/>
      <c r="KUU24" s="252"/>
      <c r="KUV24" s="252"/>
      <c r="KUW24" s="252"/>
      <c r="KUX24" s="252"/>
      <c r="KUY24" s="252"/>
      <c r="KUZ24" s="252"/>
      <c r="KVA24" s="252"/>
      <c r="KVB24" s="252"/>
      <c r="KVC24" s="252"/>
      <c r="KVD24" s="252"/>
      <c r="KVE24" s="252"/>
      <c r="KVF24" s="252"/>
      <c r="KVG24" s="252"/>
      <c r="KVH24" s="252"/>
      <c r="KVI24" s="252"/>
      <c r="KVJ24" s="252"/>
      <c r="KVK24" s="252"/>
      <c r="KVL24" s="252"/>
      <c r="KVM24" s="252"/>
      <c r="KVN24" s="252"/>
      <c r="KVO24" s="252"/>
      <c r="KVP24" s="252"/>
      <c r="KVQ24" s="252"/>
      <c r="KVR24" s="252"/>
      <c r="KVS24" s="252"/>
      <c r="KVT24" s="252"/>
      <c r="KVU24" s="252"/>
      <c r="KVV24" s="252"/>
      <c r="KVW24" s="252"/>
      <c r="KVX24" s="252"/>
      <c r="KVY24" s="252"/>
      <c r="KVZ24" s="252"/>
      <c r="KWA24" s="252"/>
      <c r="KWB24" s="252"/>
      <c r="KWC24" s="252"/>
      <c r="KWD24" s="252"/>
      <c r="KWE24" s="252"/>
      <c r="KWF24" s="252"/>
      <c r="KWG24" s="252"/>
      <c r="KWH24" s="252"/>
      <c r="KWI24" s="252"/>
      <c r="KWJ24" s="252"/>
      <c r="KWK24" s="252"/>
      <c r="KWL24" s="252"/>
      <c r="KWM24" s="252"/>
      <c r="KWN24" s="252"/>
      <c r="KWO24" s="252"/>
      <c r="KWP24" s="252"/>
      <c r="KWQ24" s="252"/>
      <c r="KWR24" s="252"/>
      <c r="KWS24" s="252"/>
      <c r="KWT24" s="252"/>
      <c r="KWU24" s="252"/>
      <c r="KWV24" s="252"/>
      <c r="KWW24" s="252"/>
      <c r="KWX24" s="252"/>
      <c r="KWY24" s="252"/>
      <c r="KWZ24" s="252"/>
      <c r="KXA24" s="252"/>
      <c r="KXB24" s="252"/>
      <c r="KXC24" s="252"/>
      <c r="KXD24" s="252"/>
      <c r="KXE24" s="252"/>
      <c r="KXF24" s="252"/>
      <c r="KXG24" s="252"/>
      <c r="KXH24" s="252"/>
      <c r="KXI24" s="252"/>
      <c r="KXJ24" s="252"/>
      <c r="KXK24" s="252"/>
      <c r="KXL24" s="252"/>
      <c r="KXM24" s="252"/>
      <c r="KXN24" s="252"/>
      <c r="KXO24" s="252"/>
      <c r="KXP24" s="252"/>
      <c r="KXQ24" s="252"/>
      <c r="KXR24" s="252"/>
      <c r="KXS24" s="252"/>
      <c r="KXT24" s="252"/>
      <c r="KXU24" s="252"/>
      <c r="KXV24" s="252"/>
      <c r="KXW24" s="252"/>
      <c r="KXX24" s="252"/>
      <c r="KXY24" s="252"/>
      <c r="KXZ24" s="252"/>
      <c r="KYA24" s="252"/>
      <c r="KYB24" s="252"/>
      <c r="KYC24" s="252"/>
      <c r="KYD24" s="252"/>
      <c r="KYE24" s="252"/>
      <c r="KYF24" s="252"/>
      <c r="KYG24" s="252"/>
      <c r="KYH24" s="252"/>
      <c r="KYI24" s="252"/>
      <c r="KYJ24" s="252"/>
      <c r="KYK24" s="252"/>
      <c r="KYL24" s="252"/>
      <c r="KYM24" s="252"/>
      <c r="KYN24" s="252"/>
      <c r="KYO24" s="252"/>
      <c r="KYP24" s="252"/>
      <c r="KYQ24" s="252"/>
      <c r="KYR24" s="252"/>
      <c r="KYS24" s="252"/>
      <c r="KYT24" s="252"/>
      <c r="KYU24" s="252"/>
      <c r="KYV24" s="252"/>
      <c r="KYW24" s="252"/>
      <c r="KYX24" s="252"/>
      <c r="KYY24" s="252"/>
      <c r="KYZ24" s="252"/>
      <c r="KZA24" s="252"/>
      <c r="KZB24" s="252"/>
      <c r="KZC24" s="252"/>
      <c r="KZD24" s="252"/>
      <c r="KZE24" s="252"/>
      <c r="KZF24" s="252"/>
      <c r="KZG24" s="252"/>
      <c r="KZH24" s="252"/>
      <c r="KZI24" s="252"/>
      <c r="KZJ24" s="252"/>
      <c r="KZK24" s="252"/>
      <c r="KZL24" s="252"/>
      <c r="KZM24" s="252"/>
      <c r="KZN24" s="252"/>
      <c r="KZO24" s="252"/>
      <c r="KZP24" s="252"/>
      <c r="KZQ24" s="252"/>
      <c r="KZR24" s="252"/>
      <c r="KZS24" s="252"/>
      <c r="KZT24" s="252"/>
      <c r="KZU24" s="252"/>
      <c r="KZV24" s="252"/>
      <c r="KZW24" s="252"/>
      <c r="KZX24" s="252"/>
      <c r="KZY24" s="252"/>
      <c r="KZZ24" s="252"/>
      <c r="LAA24" s="252"/>
      <c r="LAB24" s="252"/>
      <c r="LAC24" s="252"/>
      <c r="LAD24" s="252"/>
      <c r="LAE24" s="252"/>
      <c r="LAF24" s="252"/>
      <c r="LAG24" s="252"/>
      <c r="LAH24" s="252"/>
      <c r="LAI24" s="252"/>
      <c r="LAJ24" s="252"/>
      <c r="LAK24" s="252"/>
      <c r="LAL24" s="252"/>
      <c r="LAM24" s="252"/>
      <c r="LAN24" s="252"/>
      <c r="LAO24" s="252"/>
      <c r="LAP24" s="252"/>
      <c r="LAQ24" s="252"/>
      <c r="LAR24" s="252"/>
      <c r="LAS24" s="252"/>
      <c r="LAT24" s="252"/>
      <c r="LAU24" s="252"/>
      <c r="LAV24" s="252"/>
      <c r="LAW24" s="252"/>
      <c r="LAX24" s="252"/>
      <c r="LAY24" s="252"/>
      <c r="LAZ24" s="252"/>
      <c r="LBA24" s="252"/>
      <c r="LBB24" s="252"/>
      <c r="LBC24" s="252"/>
      <c r="LBD24" s="252"/>
      <c r="LBE24" s="252"/>
      <c r="LBF24" s="252"/>
      <c r="LBG24" s="252"/>
      <c r="LBH24" s="252"/>
      <c r="LBI24" s="252"/>
      <c r="LBJ24" s="252"/>
      <c r="LBK24" s="252"/>
      <c r="LBL24" s="252"/>
      <c r="LBM24" s="252"/>
      <c r="LBN24" s="252"/>
      <c r="LBO24" s="252"/>
      <c r="LBP24" s="252"/>
      <c r="LBQ24" s="252"/>
      <c r="LBR24" s="252"/>
      <c r="LBS24" s="252"/>
      <c r="LBT24" s="252"/>
      <c r="LBU24" s="252"/>
      <c r="LBV24" s="252"/>
      <c r="LBW24" s="252"/>
      <c r="LBX24" s="252"/>
      <c r="LBY24" s="252"/>
      <c r="LBZ24" s="252"/>
      <c r="LCA24" s="252"/>
      <c r="LCB24" s="252"/>
      <c r="LCC24" s="252"/>
      <c r="LCD24" s="252"/>
      <c r="LCE24" s="252"/>
      <c r="LCF24" s="252"/>
      <c r="LCG24" s="252"/>
      <c r="LCH24" s="252"/>
      <c r="LCI24" s="252"/>
      <c r="LCJ24" s="252"/>
      <c r="LCK24" s="252"/>
      <c r="LCL24" s="252"/>
      <c r="LCM24" s="252"/>
      <c r="LCN24" s="252"/>
      <c r="LCO24" s="252"/>
      <c r="LCP24" s="252"/>
      <c r="LCQ24" s="252"/>
      <c r="LCR24" s="252"/>
      <c r="LCS24" s="252"/>
      <c r="LCT24" s="252"/>
      <c r="LCU24" s="252"/>
      <c r="LCV24" s="252"/>
      <c r="LCW24" s="252"/>
      <c r="LCX24" s="252"/>
      <c r="LCY24" s="252"/>
      <c r="LCZ24" s="252"/>
      <c r="LDA24" s="252"/>
      <c r="LDB24" s="252"/>
      <c r="LDC24" s="252"/>
      <c r="LDD24" s="252"/>
      <c r="LDE24" s="252"/>
      <c r="LDF24" s="252"/>
      <c r="LDG24" s="252"/>
      <c r="LDH24" s="252"/>
      <c r="LDI24" s="252"/>
      <c r="LDJ24" s="252"/>
      <c r="LDK24" s="252"/>
      <c r="LDL24" s="252"/>
      <c r="LDM24" s="252"/>
      <c r="LDN24" s="252"/>
      <c r="LDO24" s="252"/>
      <c r="LDP24" s="252"/>
      <c r="LDQ24" s="252"/>
      <c r="LDR24" s="252"/>
      <c r="LDS24" s="252"/>
      <c r="LDT24" s="252"/>
      <c r="LDU24" s="252"/>
      <c r="LDV24" s="252"/>
      <c r="LDW24" s="252"/>
      <c r="LDX24" s="252"/>
      <c r="LDY24" s="252"/>
      <c r="LDZ24" s="252"/>
      <c r="LEA24" s="252"/>
      <c r="LEB24" s="252"/>
      <c r="LEC24" s="252"/>
      <c r="LED24" s="252"/>
      <c r="LEE24" s="252"/>
      <c r="LEF24" s="252"/>
      <c r="LEG24" s="252"/>
      <c r="LEH24" s="252"/>
      <c r="LEI24" s="252"/>
      <c r="LEJ24" s="252"/>
      <c r="LEK24" s="252"/>
      <c r="LEL24" s="252"/>
      <c r="LEM24" s="252"/>
      <c r="LEN24" s="252"/>
      <c r="LEO24" s="252"/>
      <c r="LEP24" s="252"/>
      <c r="LEQ24" s="252"/>
      <c r="LER24" s="252"/>
      <c r="LES24" s="252"/>
      <c r="LET24" s="252"/>
      <c r="LEU24" s="252"/>
      <c r="LEV24" s="252"/>
      <c r="LEW24" s="252"/>
      <c r="LEX24" s="252"/>
      <c r="LEY24" s="252"/>
      <c r="LEZ24" s="252"/>
      <c r="LFA24" s="252"/>
      <c r="LFB24" s="252"/>
      <c r="LFC24" s="252"/>
      <c r="LFD24" s="252"/>
      <c r="LFE24" s="252"/>
      <c r="LFF24" s="252"/>
      <c r="LFG24" s="252"/>
      <c r="LFH24" s="252"/>
      <c r="LFI24" s="252"/>
      <c r="LFJ24" s="252"/>
      <c r="LFK24" s="252"/>
      <c r="LFL24" s="252"/>
      <c r="LFM24" s="252"/>
      <c r="LFN24" s="252"/>
      <c r="LFO24" s="252"/>
      <c r="LFP24" s="252"/>
      <c r="LFQ24" s="252"/>
      <c r="LFR24" s="252"/>
      <c r="LFS24" s="252"/>
      <c r="LFT24" s="252"/>
      <c r="LFU24" s="252"/>
      <c r="LFV24" s="252"/>
      <c r="LFW24" s="252"/>
      <c r="LFX24" s="252"/>
      <c r="LFY24" s="252"/>
      <c r="LFZ24" s="252"/>
      <c r="LGA24" s="252"/>
      <c r="LGB24" s="252"/>
      <c r="LGC24" s="252"/>
      <c r="LGD24" s="252"/>
      <c r="LGE24" s="252"/>
      <c r="LGF24" s="252"/>
      <c r="LGG24" s="252"/>
      <c r="LGH24" s="252"/>
      <c r="LGI24" s="252"/>
      <c r="LGJ24" s="252"/>
      <c r="LGK24" s="252"/>
      <c r="LGL24" s="252"/>
      <c r="LGM24" s="252"/>
      <c r="LGN24" s="252"/>
      <c r="LGO24" s="252"/>
      <c r="LGP24" s="252"/>
      <c r="LGQ24" s="252"/>
      <c r="LGR24" s="252"/>
      <c r="LGS24" s="252"/>
      <c r="LGT24" s="252"/>
      <c r="LGU24" s="252"/>
      <c r="LGV24" s="252"/>
      <c r="LGW24" s="252"/>
      <c r="LGX24" s="252"/>
      <c r="LGY24" s="252"/>
      <c r="LGZ24" s="252"/>
      <c r="LHA24" s="252"/>
      <c r="LHB24" s="252"/>
      <c r="LHC24" s="252"/>
      <c r="LHD24" s="252"/>
      <c r="LHE24" s="252"/>
      <c r="LHF24" s="252"/>
      <c r="LHG24" s="252"/>
      <c r="LHH24" s="252"/>
      <c r="LHI24" s="252"/>
      <c r="LHJ24" s="252"/>
      <c r="LHK24" s="252"/>
      <c r="LHL24" s="252"/>
      <c r="LHM24" s="252"/>
      <c r="LHN24" s="252"/>
      <c r="LHO24" s="252"/>
      <c r="LHP24" s="252"/>
      <c r="LHQ24" s="252"/>
      <c r="LHR24" s="252"/>
      <c r="LHS24" s="252"/>
      <c r="LHT24" s="252"/>
      <c r="LHU24" s="252"/>
      <c r="LHV24" s="252"/>
      <c r="LHW24" s="252"/>
      <c r="LHX24" s="252"/>
      <c r="LHY24" s="252"/>
      <c r="LHZ24" s="252"/>
      <c r="LIA24" s="252"/>
      <c r="LIB24" s="252"/>
      <c r="LIC24" s="252"/>
      <c r="LID24" s="252"/>
      <c r="LIE24" s="252"/>
      <c r="LIF24" s="252"/>
      <c r="LIG24" s="252"/>
      <c r="LIH24" s="252"/>
      <c r="LII24" s="252"/>
      <c r="LIJ24" s="252"/>
      <c r="LIK24" s="252"/>
      <c r="LIL24" s="252"/>
      <c r="LIM24" s="252"/>
      <c r="LIN24" s="252"/>
      <c r="LIO24" s="252"/>
      <c r="LIP24" s="252"/>
      <c r="LIQ24" s="252"/>
      <c r="LIR24" s="252"/>
      <c r="LIS24" s="252"/>
      <c r="LIT24" s="252"/>
      <c r="LIU24" s="252"/>
      <c r="LIV24" s="252"/>
      <c r="LIW24" s="252"/>
      <c r="LIX24" s="252"/>
      <c r="LIY24" s="252"/>
      <c r="LIZ24" s="252"/>
      <c r="LJA24" s="252"/>
      <c r="LJB24" s="252"/>
      <c r="LJC24" s="252"/>
      <c r="LJD24" s="252"/>
      <c r="LJE24" s="252"/>
      <c r="LJF24" s="252"/>
      <c r="LJG24" s="252"/>
      <c r="LJH24" s="252"/>
      <c r="LJI24" s="252"/>
      <c r="LJJ24" s="252"/>
      <c r="LJK24" s="252"/>
      <c r="LJL24" s="252"/>
      <c r="LJM24" s="252"/>
      <c r="LJN24" s="252"/>
      <c r="LJO24" s="252"/>
      <c r="LJP24" s="252"/>
      <c r="LJQ24" s="252"/>
      <c r="LJR24" s="252"/>
      <c r="LJS24" s="252"/>
      <c r="LJT24" s="252"/>
      <c r="LJU24" s="252"/>
      <c r="LJV24" s="252"/>
      <c r="LJW24" s="252"/>
      <c r="LJX24" s="252"/>
      <c r="LJY24" s="252"/>
      <c r="LJZ24" s="252"/>
      <c r="LKA24" s="252"/>
      <c r="LKB24" s="252"/>
      <c r="LKC24" s="252"/>
      <c r="LKD24" s="252"/>
      <c r="LKE24" s="252"/>
      <c r="LKF24" s="252"/>
      <c r="LKG24" s="252"/>
      <c r="LKH24" s="252"/>
      <c r="LKI24" s="252"/>
      <c r="LKJ24" s="252"/>
      <c r="LKK24" s="252"/>
      <c r="LKL24" s="252"/>
      <c r="LKM24" s="252"/>
      <c r="LKN24" s="252"/>
      <c r="LKO24" s="252"/>
      <c r="LKP24" s="252"/>
      <c r="LKQ24" s="252"/>
      <c r="LKR24" s="252"/>
      <c r="LKS24" s="252"/>
      <c r="LKT24" s="252"/>
      <c r="LKU24" s="252"/>
      <c r="LKV24" s="252"/>
      <c r="LKW24" s="252"/>
      <c r="LKX24" s="252"/>
      <c r="LKY24" s="252"/>
      <c r="LKZ24" s="252"/>
      <c r="LLA24" s="252"/>
      <c r="LLB24" s="252"/>
      <c r="LLC24" s="252"/>
      <c r="LLD24" s="252"/>
      <c r="LLE24" s="252"/>
      <c r="LLF24" s="252"/>
      <c r="LLG24" s="252"/>
      <c r="LLH24" s="252"/>
      <c r="LLI24" s="252"/>
      <c r="LLJ24" s="252"/>
      <c r="LLK24" s="252"/>
      <c r="LLL24" s="252"/>
      <c r="LLM24" s="252"/>
      <c r="LLN24" s="252"/>
      <c r="LLO24" s="252"/>
      <c r="LLP24" s="252"/>
      <c r="LLQ24" s="252"/>
      <c r="LLR24" s="252"/>
      <c r="LLS24" s="252"/>
      <c r="LLT24" s="252"/>
      <c r="LLU24" s="252"/>
      <c r="LLV24" s="252"/>
      <c r="LLW24" s="252"/>
      <c r="LLX24" s="252"/>
      <c r="LLY24" s="252"/>
      <c r="LLZ24" s="252"/>
      <c r="LMA24" s="252"/>
      <c r="LMB24" s="252"/>
      <c r="LMC24" s="252"/>
      <c r="LMD24" s="252"/>
      <c r="LME24" s="252"/>
      <c r="LMF24" s="252"/>
      <c r="LMG24" s="252"/>
      <c r="LMH24" s="252"/>
      <c r="LMI24" s="252"/>
      <c r="LMJ24" s="252"/>
      <c r="LMK24" s="252"/>
      <c r="LML24" s="252"/>
      <c r="LMM24" s="252"/>
      <c r="LMN24" s="252"/>
      <c r="LMO24" s="252"/>
      <c r="LMP24" s="252"/>
      <c r="LMQ24" s="252"/>
      <c r="LMR24" s="252"/>
      <c r="LMS24" s="252"/>
      <c r="LMT24" s="252"/>
      <c r="LMU24" s="252"/>
      <c r="LMV24" s="252"/>
      <c r="LMW24" s="252"/>
      <c r="LMX24" s="252"/>
      <c r="LMY24" s="252"/>
      <c r="LMZ24" s="252"/>
      <c r="LNA24" s="252"/>
      <c r="LNB24" s="252"/>
      <c r="LNC24" s="252"/>
      <c r="LND24" s="252"/>
      <c r="LNE24" s="252"/>
      <c r="LNF24" s="252"/>
      <c r="LNG24" s="252"/>
      <c r="LNH24" s="252"/>
      <c r="LNI24" s="252"/>
      <c r="LNJ24" s="252"/>
      <c r="LNK24" s="252"/>
      <c r="LNL24" s="252"/>
      <c r="LNM24" s="252"/>
      <c r="LNN24" s="252"/>
      <c r="LNO24" s="252"/>
      <c r="LNP24" s="252"/>
      <c r="LNQ24" s="252"/>
      <c r="LNR24" s="252"/>
      <c r="LNS24" s="252"/>
      <c r="LNT24" s="252"/>
      <c r="LNU24" s="252"/>
      <c r="LNV24" s="252"/>
      <c r="LNW24" s="252"/>
      <c r="LNX24" s="252"/>
      <c r="LNY24" s="252"/>
      <c r="LNZ24" s="252"/>
      <c r="LOA24" s="252"/>
      <c r="LOB24" s="252"/>
      <c r="LOC24" s="252"/>
      <c r="LOD24" s="252"/>
      <c r="LOE24" s="252"/>
      <c r="LOF24" s="252"/>
      <c r="LOG24" s="252"/>
      <c r="LOH24" s="252"/>
      <c r="LOI24" s="252"/>
      <c r="LOJ24" s="252"/>
      <c r="LOK24" s="252"/>
      <c r="LOL24" s="252"/>
      <c r="LOM24" s="252"/>
      <c r="LON24" s="252"/>
      <c r="LOO24" s="252"/>
      <c r="LOP24" s="252"/>
      <c r="LOQ24" s="252"/>
      <c r="LOR24" s="252"/>
      <c r="LOS24" s="252"/>
      <c r="LOT24" s="252"/>
      <c r="LOU24" s="252"/>
      <c r="LOV24" s="252"/>
      <c r="LOW24" s="252"/>
      <c r="LOX24" s="252"/>
      <c r="LOY24" s="252"/>
      <c r="LOZ24" s="252"/>
      <c r="LPA24" s="252"/>
      <c r="LPB24" s="252"/>
      <c r="LPC24" s="252"/>
      <c r="LPD24" s="252"/>
      <c r="LPE24" s="252"/>
      <c r="LPF24" s="252"/>
      <c r="LPG24" s="252"/>
      <c r="LPH24" s="252"/>
      <c r="LPI24" s="252"/>
      <c r="LPJ24" s="252"/>
      <c r="LPK24" s="252"/>
      <c r="LPL24" s="252"/>
      <c r="LPM24" s="252"/>
      <c r="LPN24" s="252"/>
      <c r="LPO24" s="252"/>
      <c r="LPP24" s="252"/>
      <c r="LPQ24" s="252"/>
      <c r="LPR24" s="252"/>
      <c r="LPS24" s="252"/>
      <c r="LPT24" s="252"/>
      <c r="LPU24" s="252"/>
      <c r="LPV24" s="252"/>
      <c r="LPW24" s="252"/>
      <c r="LPX24" s="252"/>
      <c r="LPY24" s="252"/>
      <c r="LPZ24" s="252"/>
      <c r="LQA24" s="252"/>
      <c r="LQB24" s="252"/>
      <c r="LQC24" s="252"/>
      <c r="LQD24" s="252"/>
      <c r="LQE24" s="252"/>
      <c r="LQF24" s="252"/>
      <c r="LQG24" s="252"/>
      <c r="LQH24" s="252"/>
      <c r="LQI24" s="252"/>
      <c r="LQJ24" s="252"/>
      <c r="LQK24" s="252"/>
      <c r="LQL24" s="252"/>
      <c r="LQM24" s="252"/>
      <c r="LQN24" s="252"/>
      <c r="LQO24" s="252"/>
      <c r="LQP24" s="252"/>
      <c r="LQQ24" s="252"/>
      <c r="LQR24" s="252"/>
      <c r="LQS24" s="252"/>
      <c r="LQT24" s="252"/>
      <c r="LQU24" s="252"/>
      <c r="LQV24" s="252"/>
      <c r="LQW24" s="252"/>
      <c r="LQX24" s="252"/>
      <c r="LQY24" s="252"/>
      <c r="LQZ24" s="252"/>
      <c r="LRA24" s="252"/>
      <c r="LRB24" s="252"/>
      <c r="LRC24" s="252"/>
      <c r="LRD24" s="252"/>
      <c r="LRE24" s="252"/>
      <c r="LRF24" s="252"/>
      <c r="LRG24" s="252"/>
      <c r="LRH24" s="252"/>
      <c r="LRI24" s="252"/>
      <c r="LRJ24" s="252"/>
      <c r="LRK24" s="252"/>
      <c r="LRL24" s="252"/>
      <c r="LRM24" s="252"/>
      <c r="LRN24" s="252"/>
      <c r="LRO24" s="252"/>
      <c r="LRP24" s="252"/>
      <c r="LRQ24" s="252"/>
      <c r="LRR24" s="252"/>
      <c r="LRS24" s="252"/>
      <c r="LRT24" s="252"/>
      <c r="LRU24" s="252"/>
      <c r="LRV24" s="252"/>
      <c r="LRW24" s="252"/>
      <c r="LRX24" s="252"/>
      <c r="LRY24" s="252"/>
      <c r="LRZ24" s="252"/>
      <c r="LSA24" s="252"/>
      <c r="LSB24" s="252"/>
      <c r="LSC24" s="252"/>
      <c r="LSD24" s="252"/>
      <c r="LSE24" s="252"/>
      <c r="LSF24" s="252"/>
      <c r="LSG24" s="252"/>
      <c r="LSH24" s="252"/>
      <c r="LSI24" s="252"/>
      <c r="LSJ24" s="252"/>
      <c r="LSK24" s="252"/>
      <c r="LSL24" s="252"/>
      <c r="LSM24" s="252"/>
      <c r="LSN24" s="252"/>
      <c r="LSO24" s="252"/>
      <c r="LSP24" s="252"/>
      <c r="LSQ24" s="252"/>
      <c r="LSR24" s="252"/>
      <c r="LSS24" s="252"/>
      <c r="LST24" s="252"/>
      <c r="LSU24" s="252"/>
      <c r="LSV24" s="252"/>
      <c r="LSW24" s="252"/>
      <c r="LSX24" s="252"/>
      <c r="LSY24" s="252"/>
      <c r="LSZ24" s="252"/>
      <c r="LTA24" s="252"/>
      <c r="LTB24" s="252"/>
      <c r="LTC24" s="252"/>
      <c r="LTD24" s="252"/>
      <c r="LTE24" s="252"/>
      <c r="LTF24" s="252"/>
      <c r="LTG24" s="252"/>
      <c r="LTH24" s="252"/>
      <c r="LTI24" s="252"/>
      <c r="LTJ24" s="252"/>
      <c r="LTK24" s="252"/>
      <c r="LTL24" s="252"/>
      <c r="LTM24" s="252"/>
      <c r="LTN24" s="252"/>
      <c r="LTO24" s="252"/>
      <c r="LTP24" s="252"/>
      <c r="LTQ24" s="252"/>
      <c r="LTR24" s="252"/>
      <c r="LTS24" s="252"/>
      <c r="LTT24" s="252"/>
      <c r="LTU24" s="252"/>
      <c r="LTV24" s="252"/>
      <c r="LTW24" s="252"/>
      <c r="LTX24" s="252"/>
      <c r="LTY24" s="252"/>
      <c r="LTZ24" s="252"/>
      <c r="LUA24" s="252"/>
      <c r="LUB24" s="252"/>
      <c r="LUC24" s="252"/>
      <c r="LUD24" s="252"/>
      <c r="LUE24" s="252"/>
      <c r="LUF24" s="252"/>
      <c r="LUG24" s="252"/>
      <c r="LUH24" s="252"/>
      <c r="LUI24" s="252"/>
      <c r="LUJ24" s="252"/>
      <c r="LUK24" s="252"/>
      <c r="LUL24" s="252"/>
      <c r="LUM24" s="252"/>
      <c r="LUN24" s="252"/>
      <c r="LUO24" s="252"/>
      <c r="LUP24" s="252"/>
      <c r="LUQ24" s="252"/>
      <c r="LUR24" s="252"/>
      <c r="LUS24" s="252"/>
      <c r="LUT24" s="252"/>
      <c r="LUU24" s="252"/>
      <c r="LUV24" s="252"/>
      <c r="LUW24" s="252"/>
      <c r="LUX24" s="252"/>
      <c r="LUY24" s="252"/>
      <c r="LUZ24" s="252"/>
      <c r="LVA24" s="252"/>
      <c r="LVB24" s="252"/>
      <c r="LVC24" s="252"/>
      <c r="LVD24" s="252"/>
      <c r="LVE24" s="252"/>
      <c r="LVF24" s="252"/>
      <c r="LVG24" s="252"/>
      <c r="LVH24" s="252"/>
      <c r="LVI24" s="252"/>
      <c r="LVJ24" s="252"/>
      <c r="LVK24" s="252"/>
      <c r="LVL24" s="252"/>
      <c r="LVM24" s="252"/>
      <c r="LVN24" s="252"/>
      <c r="LVO24" s="252"/>
      <c r="LVP24" s="252"/>
      <c r="LVQ24" s="252"/>
      <c r="LVR24" s="252"/>
      <c r="LVS24" s="252"/>
      <c r="LVT24" s="252"/>
      <c r="LVU24" s="252"/>
      <c r="LVV24" s="252"/>
      <c r="LVW24" s="252"/>
      <c r="LVX24" s="252"/>
      <c r="LVY24" s="252"/>
      <c r="LVZ24" s="252"/>
      <c r="LWA24" s="252"/>
      <c r="LWB24" s="252"/>
      <c r="LWC24" s="252"/>
      <c r="LWD24" s="252"/>
      <c r="LWE24" s="252"/>
      <c r="LWF24" s="252"/>
      <c r="LWG24" s="252"/>
      <c r="LWH24" s="252"/>
      <c r="LWI24" s="252"/>
      <c r="LWJ24" s="252"/>
      <c r="LWK24" s="252"/>
      <c r="LWL24" s="252"/>
      <c r="LWM24" s="252"/>
      <c r="LWN24" s="252"/>
      <c r="LWO24" s="252"/>
      <c r="LWP24" s="252"/>
      <c r="LWQ24" s="252"/>
      <c r="LWR24" s="252"/>
      <c r="LWS24" s="252"/>
      <c r="LWT24" s="252"/>
      <c r="LWU24" s="252"/>
      <c r="LWV24" s="252"/>
      <c r="LWW24" s="252"/>
      <c r="LWX24" s="252"/>
      <c r="LWY24" s="252"/>
      <c r="LWZ24" s="252"/>
      <c r="LXA24" s="252"/>
      <c r="LXB24" s="252"/>
      <c r="LXC24" s="252"/>
      <c r="LXD24" s="252"/>
      <c r="LXE24" s="252"/>
      <c r="LXF24" s="252"/>
      <c r="LXG24" s="252"/>
      <c r="LXH24" s="252"/>
      <c r="LXI24" s="252"/>
      <c r="LXJ24" s="252"/>
      <c r="LXK24" s="252"/>
      <c r="LXL24" s="252"/>
      <c r="LXM24" s="252"/>
      <c r="LXN24" s="252"/>
      <c r="LXO24" s="252"/>
      <c r="LXP24" s="252"/>
      <c r="LXQ24" s="252"/>
      <c r="LXR24" s="252"/>
      <c r="LXS24" s="252"/>
      <c r="LXT24" s="252"/>
      <c r="LXU24" s="252"/>
      <c r="LXV24" s="252"/>
      <c r="LXW24" s="252"/>
      <c r="LXX24" s="252"/>
      <c r="LXY24" s="252"/>
      <c r="LXZ24" s="252"/>
      <c r="LYA24" s="252"/>
      <c r="LYB24" s="252"/>
      <c r="LYC24" s="252"/>
      <c r="LYD24" s="252"/>
      <c r="LYE24" s="252"/>
      <c r="LYF24" s="252"/>
      <c r="LYG24" s="252"/>
      <c r="LYH24" s="252"/>
      <c r="LYI24" s="252"/>
      <c r="LYJ24" s="252"/>
      <c r="LYK24" s="252"/>
      <c r="LYL24" s="252"/>
      <c r="LYM24" s="252"/>
      <c r="LYN24" s="252"/>
      <c r="LYO24" s="252"/>
      <c r="LYP24" s="252"/>
      <c r="LYQ24" s="252"/>
      <c r="LYR24" s="252"/>
      <c r="LYS24" s="252"/>
      <c r="LYT24" s="252"/>
      <c r="LYU24" s="252"/>
      <c r="LYV24" s="252"/>
      <c r="LYW24" s="252"/>
      <c r="LYX24" s="252"/>
      <c r="LYY24" s="252"/>
      <c r="LYZ24" s="252"/>
      <c r="LZA24" s="252"/>
      <c r="LZB24" s="252"/>
      <c r="LZC24" s="252"/>
      <c r="LZD24" s="252"/>
      <c r="LZE24" s="252"/>
      <c r="LZF24" s="252"/>
      <c r="LZG24" s="252"/>
      <c r="LZH24" s="252"/>
      <c r="LZI24" s="252"/>
      <c r="LZJ24" s="252"/>
      <c r="LZK24" s="252"/>
      <c r="LZL24" s="252"/>
      <c r="LZM24" s="252"/>
      <c r="LZN24" s="252"/>
      <c r="LZO24" s="252"/>
      <c r="LZP24" s="252"/>
      <c r="LZQ24" s="252"/>
      <c r="LZR24" s="252"/>
      <c r="LZS24" s="252"/>
      <c r="LZT24" s="252"/>
      <c r="LZU24" s="252"/>
      <c r="LZV24" s="252"/>
      <c r="LZW24" s="252"/>
      <c r="LZX24" s="252"/>
      <c r="LZY24" s="252"/>
      <c r="LZZ24" s="252"/>
      <c r="MAA24" s="252"/>
      <c r="MAB24" s="252"/>
      <c r="MAC24" s="252"/>
      <c r="MAD24" s="252"/>
      <c r="MAE24" s="252"/>
      <c r="MAF24" s="252"/>
      <c r="MAG24" s="252"/>
      <c r="MAH24" s="252"/>
      <c r="MAI24" s="252"/>
      <c r="MAJ24" s="252"/>
      <c r="MAK24" s="252"/>
      <c r="MAL24" s="252"/>
      <c r="MAM24" s="252"/>
      <c r="MAN24" s="252"/>
      <c r="MAO24" s="252"/>
      <c r="MAP24" s="252"/>
      <c r="MAQ24" s="252"/>
      <c r="MAR24" s="252"/>
      <c r="MAS24" s="252"/>
      <c r="MAT24" s="252"/>
      <c r="MAU24" s="252"/>
      <c r="MAV24" s="252"/>
      <c r="MAW24" s="252"/>
      <c r="MAX24" s="252"/>
      <c r="MAY24" s="252"/>
      <c r="MAZ24" s="252"/>
      <c r="MBA24" s="252"/>
      <c r="MBB24" s="252"/>
      <c r="MBC24" s="252"/>
      <c r="MBD24" s="252"/>
      <c r="MBE24" s="252"/>
      <c r="MBF24" s="252"/>
      <c r="MBG24" s="252"/>
      <c r="MBH24" s="252"/>
      <c r="MBI24" s="252"/>
      <c r="MBJ24" s="252"/>
      <c r="MBK24" s="252"/>
      <c r="MBL24" s="252"/>
      <c r="MBM24" s="252"/>
      <c r="MBN24" s="252"/>
      <c r="MBO24" s="252"/>
      <c r="MBP24" s="252"/>
      <c r="MBQ24" s="252"/>
      <c r="MBR24" s="252"/>
      <c r="MBS24" s="252"/>
      <c r="MBT24" s="252"/>
      <c r="MBU24" s="252"/>
      <c r="MBV24" s="252"/>
      <c r="MBW24" s="252"/>
      <c r="MBX24" s="252"/>
      <c r="MBY24" s="252"/>
      <c r="MBZ24" s="252"/>
      <c r="MCA24" s="252"/>
      <c r="MCB24" s="252"/>
      <c r="MCC24" s="252"/>
      <c r="MCD24" s="252"/>
      <c r="MCE24" s="252"/>
      <c r="MCF24" s="252"/>
      <c r="MCG24" s="252"/>
      <c r="MCH24" s="252"/>
      <c r="MCI24" s="252"/>
      <c r="MCJ24" s="252"/>
      <c r="MCK24" s="252"/>
      <c r="MCL24" s="252"/>
      <c r="MCM24" s="252"/>
      <c r="MCN24" s="252"/>
      <c r="MCO24" s="252"/>
      <c r="MCP24" s="252"/>
      <c r="MCQ24" s="252"/>
      <c r="MCR24" s="252"/>
      <c r="MCS24" s="252"/>
      <c r="MCT24" s="252"/>
      <c r="MCU24" s="252"/>
      <c r="MCV24" s="252"/>
      <c r="MCW24" s="252"/>
      <c r="MCX24" s="252"/>
      <c r="MCY24" s="252"/>
      <c r="MCZ24" s="252"/>
      <c r="MDA24" s="252"/>
      <c r="MDB24" s="252"/>
      <c r="MDC24" s="252"/>
      <c r="MDD24" s="252"/>
      <c r="MDE24" s="252"/>
      <c r="MDF24" s="252"/>
      <c r="MDG24" s="252"/>
      <c r="MDH24" s="252"/>
      <c r="MDI24" s="252"/>
      <c r="MDJ24" s="252"/>
      <c r="MDK24" s="252"/>
      <c r="MDL24" s="252"/>
      <c r="MDM24" s="252"/>
      <c r="MDN24" s="252"/>
      <c r="MDO24" s="252"/>
      <c r="MDP24" s="252"/>
      <c r="MDQ24" s="252"/>
      <c r="MDR24" s="252"/>
      <c r="MDS24" s="252"/>
      <c r="MDT24" s="252"/>
      <c r="MDU24" s="252"/>
      <c r="MDV24" s="252"/>
      <c r="MDW24" s="252"/>
      <c r="MDX24" s="252"/>
      <c r="MDY24" s="252"/>
      <c r="MDZ24" s="252"/>
      <c r="MEA24" s="252"/>
      <c r="MEB24" s="252"/>
      <c r="MEC24" s="252"/>
      <c r="MED24" s="252"/>
      <c r="MEE24" s="252"/>
      <c r="MEF24" s="252"/>
      <c r="MEG24" s="252"/>
      <c r="MEH24" s="252"/>
      <c r="MEI24" s="252"/>
      <c r="MEJ24" s="252"/>
      <c r="MEK24" s="252"/>
      <c r="MEL24" s="252"/>
      <c r="MEM24" s="252"/>
      <c r="MEN24" s="252"/>
      <c r="MEO24" s="252"/>
      <c r="MEP24" s="252"/>
      <c r="MEQ24" s="252"/>
      <c r="MER24" s="252"/>
      <c r="MES24" s="252"/>
      <c r="MET24" s="252"/>
      <c r="MEU24" s="252"/>
      <c r="MEV24" s="252"/>
      <c r="MEW24" s="252"/>
      <c r="MEX24" s="252"/>
      <c r="MEY24" s="252"/>
      <c r="MEZ24" s="252"/>
      <c r="MFA24" s="252"/>
      <c r="MFB24" s="252"/>
      <c r="MFC24" s="252"/>
      <c r="MFD24" s="252"/>
      <c r="MFE24" s="252"/>
      <c r="MFF24" s="252"/>
      <c r="MFG24" s="252"/>
      <c r="MFH24" s="252"/>
      <c r="MFI24" s="252"/>
      <c r="MFJ24" s="252"/>
      <c r="MFK24" s="252"/>
      <c r="MFL24" s="252"/>
      <c r="MFM24" s="252"/>
      <c r="MFN24" s="252"/>
      <c r="MFO24" s="252"/>
      <c r="MFP24" s="252"/>
      <c r="MFQ24" s="252"/>
      <c r="MFR24" s="252"/>
      <c r="MFS24" s="252"/>
      <c r="MFT24" s="252"/>
      <c r="MFU24" s="252"/>
      <c r="MFV24" s="252"/>
      <c r="MFW24" s="252"/>
      <c r="MFX24" s="252"/>
      <c r="MFY24" s="252"/>
      <c r="MFZ24" s="252"/>
      <c r="MGA24" s="252"/>
      <c r="MGB24" s="252"/>
      <c r="MGC24" s="252"/>
      <c r="MGD24" s="252"/>
      <c r="MGE24" s="252"/>
      <c r="MGF24" s="252"/>
      <c r="MGG24" s="252"/>
      <c r="MGH24" s="252"/>
      <c r="MGI24" s="252"/>
      <c r="MGJ24" s="252"/>
      <c r="MGK24" s="252"/>
      <c r="MGL24" s="252"/>
      <c r="MGM24" s="252"/>
      <c r="MGN24" s="252"/>
      <c r="MGO24" s="252"/>
      <c r="MGP24" s="252"/>
      <c r="MGQ24" s="252"/>
      <c r="MGR24" s="252"/>
      <c r="MGS24" s="252"/>
      <c r="MGT24" s="252"/>
      <c r="MGU24" s="252"/>
      <c r="MGV24" s="252"/>
      <c r="MGW24" s="252"/>
      <c r="MGX24" s="252"/>
      <c r="MGY24" s="252"/>
      <c r="MGZ24" s="252"/>
      <c r="MHA24" s="252"/>
      <c r="MHB24" s="252"/>
      <c r="MHC24" s="252"/>
      <c r="MHD24" s="252"/>
      <c r="MHE24" s="252"/>
      <c r="MHF24" s="252"/>
      <c r="MHG24" s="252"/>
      <c r="MHH24" s="252"/>
      <c r="MHI24" s="252"/>
      <c r="MHJ24" s="252"/>
      <c r="MHK24" s="252"/>
      <c r="MHL24" s="252"/>
      <c r="MHM24" s="252"/>
      <c r="MHN24" s="252"/>
      <c r="MHO24" s="252"/>
      <c r="MHP24" s="252"/>
      <c r="MHQ24" s="252"/>
      <c r="MHR24" s="252"/>
      <c r="MHS24" s="252"/>
      <c r="MHT24" s="252"/>
      <c r="MHU24" s="252"/>
      <c r="MHV24" s="252"/>
      <c r="MHW24" s="252"/>
      <c r="MHX24" s="252"/>
      <c r="MHY24" s="252"/>
      <c r="MHZ24" s="252"/>
      <c r="MIA24" s="252"/>
      <c r="MIB24" s="252"/>
      <c r="MIC24" s="252"/>
      <c r="MID24" s="252"/>
      <c r="MIE24" s="252"/>
      <c r="MIF24" s="252"/>
      <c r="MIG24" s="252"/>
      <c r="MIH24" s="252"/>
      <c r="MII24" s="252"/>
      <c r="MIJ24" s="252"/>
      <c r="MIK24" s="252"/>
      <c r="MIL24" s="252"/>
      <c r="MIM24" s="252"/>
      <c r="MIN24" s="252"/>
      <c r="MIO24" s="252"/>
      <c r="MIP24" s="252"/>
      <c r="MIQ24" s="252"/>
      <c r="MIR24" s="252"/>
      <c r="MIS24" s="252"/>
      <c r="MIT24" s="252"/>
      <c r="MIU24" s="252"/>
      <c r="MIV24" s="252"/>
      <c r="MIW24" s="252"/>
      <c r="MIX24" s="252"/>
      <c r="MIY24" s="252"/>
      <c r="MIZ24" s="252"/>
      <c r="MJA24" s="252"/>
      <c r="MJB24" s="252"/>
      <c r="MJC24" s="252"/>
      <c r="MJD24" s="252"/>
      <c r="MJE24" s="252"/>
      <c r="MJF24" s="252"/>
      <c r="MJG24" s="252"/>
      <c r="MJH24" s="252"/>
      <c r="MJI24" s="252"/>
      <c r="MJJ24" s="252"/>
      <c r="MJK24" s="252"/>
      <c r="MJL24" s="252"/>
      <c r="MJM24" s="252"/>
      <c r="MJN24" s="252"/>
      <c r="MJO24" s="252"/>
      <c r="MJP24" s="252"/>
      <c r="MJQ24" s="252"/>
      <c r="MJR24" s="252"/>
      <c r="MJS24" s="252"/>
      <c r="MJT24" s="252"/>
      <c r="MJU24" s="252"/>
      <c r="MJV24" s="252"/>
      <c r="MJW24" s="252"/>
      <c r="MJX24" s="252"/>
      <c r="MJY24" s="252"/>
      <c r="MJZ24" s="252"/>
      <c r="MKA24" s="252"/>
      <c r="MKB24" s="252"/>
      <c r="MKC24" s="252"/>
      <c r="MKD24" s="252"/>
      <c r="MKE24" s="252"/>
      <c r="MKF24" s="252"/>
      <c r="MKG24" s="252"/>
      <c r="MKH24" s="252"/>
      <c r="MKI24" s="252"/>
      <c r="MKJ24" s="252"/>
      <c r="MKK24" s="252"/>
      <c r="MKL24" s="252"/>
      <c r="MKM24" s="252"/>
      <c r="MKN24" s="252"/>
      <c r="MKO24" s="252"/>
      <c r="MKP24" s="252"/>
      <c r="MKQ24" s="252"/>
      <c r="MKR24" s="252"/>
      <c r="MKS24" s="252"/>
      <c r="MKT24" s="252"/>
      <c r="MKU24" s="252"/>
      <c r="MKV24" s="252"/>
      <c r="MKW24" s="252"/>
      <c r="MKX24" s="252"/>
      <c r="MKY24" s="252"/>
      <c r="MKZ24" s="252"/>
      <c r="MLA24" s="252"/>
      <c r="MLB24" s="252"/>
      <c r="MLC24" s="252"/>
      <c r="MLD24" s="252"/>
      <c r="MLE24" s="252"/>
      <c r="MLF24" s="252"/>
      <c r="MLG24" s="252"/>
      <c r="MLH24" s="252"/>
      <c r="MLI24" s="252"/>
      <c r="MLJ24" s="252"/>
      <c r="MLK24" s="252"/>
      <c r="MLL24" s="252"/>
      <c r="MLM24" s="252"/>
      <c r="MLN24" s="252"/>
      <c r="MLO24" s="252"/>
      <c r="MLP24" s="252"/>
      <c r="MLQ24" s="252"/>
      <c r="MLR24" s="252"/>
      <c r="MLS24" s="252"/>
      <c r="MLT24" s="252"/>
      <c r="MLU24" s="252"/>
      <c r="MLV24" s="252"/>
      <c r="MLW24" s="252"/>
      <c r="MLX24" s="252"/>
      <c r="MLY24" s="252"/>
      <c r="MLZ24" s="252"/>
      <c r="MMA24" s="252"/>
      <c r="MMB24" s="252"/>
      <c r="MMC24" s="252"/>
      <c r="MMD24" s="252"/>
      <c r="MME24" s="252"/>
      <c r="MMF24" s="252"/>
      <c r="MMG24" s="252"/>
      <c r="MMH24" s="252"/>
      <c r="MMI24" s="252"/>
      <c r="MMJ24" s="252"/>
      <c r="MMK24" s="252"/>
      <c r="MML24" s="252"/>
      <c r="MMM24" s="252"/>
      <c r="MMN24" s="252"/>
      <c r="MMO24" s="252"/>
      <c r="MMP24" s="252"/>
      <c r="MMQ24" s="252"/>
      <c r="MMR24" s="252"/>
      <c r="MMS24" s="252"/>
      <c r="MMT24" s="252"/>
      <c r="MMU24" s="252"/>
      <c r="MMV24" s="252"/>
      <c r="MMW24" s="252"/>
      <c r="MMX24" s="252"/>
      <c r="MMY24" s="252"/>
      <c r="MMZ24" s="252"/>
      <c r="MNA24" s="252"/>
      <c r="MNB24" s="252"/>
      <c r="MNC24" s="252"/>
      <c r="MND24" s="252"/>
      <c r="MNE24" s="252"/>
      <c r="MNF24" s="252"/>
      <c r="MNG24" s="252"/>
      <c r="MNH24" s="252"/>
      <c r="MNI24" s="252"/>
      <c r="MNJ24" s="252"/>
      <c r="MNK24" s="252"/>
      <c r="MNL24" s="252"/>
      <c r="MNM24" s="252"/>
      <c r="MNN24" s="252"/>
      <c r="MNO24" s="252"/>
      <c r="MNP24" s="252"/>
      <c r="MNQ24" s="252"/>
      <c r="MNR24" s="252"/>
      <c r="MNS24" s="252"/>
      <c r="MNT24" s="252"/>
      <c r="MNU24" s="252"/>
      <c r="MNV24" s="252"/>
      <c r="MNW24" s="252"/>
      <c r="MNX24" s="252"/>
      <c r="MNY24" s="252"/>
      <c r="MNZ24" s="252"/>
      <c r="MOA24" s="252"/>
      <c r="MOB24" s="252"/>
      <c r="MOC24" s="252"/>
      <c r="MOD24" s="252"/>
      <c r="MOE24" s="252"/>
      <c r="MOF24" s="252"/>
      <c r="MOG24" s="252"/>
      <c r="MOH24" s="252"/>
      <c r="MOI24" s="252"/>
      <c r="MOJ24" s="252"/>
      <c r="MOK24" s="252"/>
      <c r="MOL24" s="252"/>
      <c r="MOM24" s="252"/>
      <c r="MON24" s="252"/>
      <c r="MOO24" s="252"/>
      <c r="MOP24" s="252"/>
      <c r="MOQ24" s="252"/>
      <c r="MOR24" s="252"/>
      <c r="MOS24" s="252"/>
      <c r="MOT24" s="252"/>
      <c r="MOU24" s="252"/>
      <c r="MOV24" s="252"/>
      <c r="MOW24" s="252"/>
      <c r="MOX24" s="252"/>
      <c r="MOY24" s="252"/>
      <c r="MOZ24" s="252"/>
      <c r="MPA24" s="252"/>
      <c r="MPB24" s="252"/>
      <c r="MPC24" s="252"/>
      <c r="MPD24" s="252"/>
      <c r="MPE24" s="252"/>
      <c r="MPF24" s="252"/>
      <c r="MPG24" s="252"/>
      <c r="MPH24" s="252"/>
      <c r="MPI24" s="252"/>
      <c r="MPJ24" s="252"/>
      <c r="MPK24" s="252"/>
      <c r="MPL24" s="252"/>
      <c r="MPM24" s="252"/>
      <c r="MPN24" s="252"/>
      <c r="MPO24" s="252"/>
      <c r="MPP24" s="252"/>
      <c r="MPQ24" s="252"/>
      <c r="MPR24" s="252"/>
      <c r="MPS24" s="252"/>
      <c r="MPT24" s="252"/>
      <c r="MPU24" s="252"/>
      <c r="MPV24" s="252"/>
      <c r="MPW24" s="252"/>
      <c r="MPX24" s="252"/>
      <c r="MPY24" s="252"/>
      <c r="MPZ24" s="252"/>
      <c r="MQA24" s="252"/>
      <c r="MQB24" s="252"/>
      <c r="MQC24" s="252"/>
      <c r="MQD24" s="252"/>
      <c r="MQE24" s="252"/>
      <c r="MQF24" s="252"/>
      <c r="MQG24" s="252"/>
      <c r="MQH24" s="252"/>
      <c r="MQI24" s="252"/>
      <c r="MQJ24" s="252"/>
      <c r="MQK24" s="252"/>
      <c r="MQL24" s="252"/>
      <c r="MQM24" s="252"/>
      <c r="MQN24" s="252"/>
      <c r="MQO24" s="252"/>
      <c r="MQP24" s="252"/>
      <c r="MQQ24" s="252"/>
      <c r="MQR24" s="252"/>
      <c r="MQS24" s="252"/>
      <c r="MQT24" s="252"/>
      <c r="MQU24" s="252"/>
      <c r="MQV24" s="252"/>
      <c r="MQW24" s="252"/>
      <c r="MQX24" s="252"/>
      <c r="MQY24" s="252"/>
      <c r="MQZ24" s="252"/>
      <c r="MRA24" s="252"/>
      <c r="MRB24" s="252"/>
      <c r="MRC24" s="252"/>
      <c r="MRD24" s="252"/>
      <c r="MRE24" s="252"/>
      <c r="MRF24" s="252"/>
      <c r="MRG24" s="252"/>
      <c r="MRH24" s="252"/>
      <c r="MRI24" s="252"/>
      <c r="MRJ24" s="252"/>
      <c r="MRK24" s="252"/>
      <c r="MRL24" s="252"/>
      <c r="MRM24" s="252"/>
      <c r="MRN24" s="252"/>
      <c r="MRO24" s="252"/>
      <c r="MRP24" s="252"/>
      <c r="MRQ24" s="252"/>
      <c r="MRR24" s="252"/>
      <c r="MRS24" s="252"/>
      <c r="MRT24" s="252"/>
      <c r="MRU24" s="252"/>
      <c r="MRV24" s="252"/>
      <c r="MRW24" s="252"/>
      <c r="MRX24" s="252"/>
      <c r="MRY24" s="252"/>
      <c r="MRZ24" s="252"/>
      <c r="MSA24" s="252"/>
      <c r="MSB24" s="252"/>
      <c r="MSC24" s="252"/>
      <c r="MSD24" s="252"/>
      <c r="MSE24" s="252"/>
      <c r="MSF24" s="252"/>
      <c r="MSG24" s="252"/>
      <c r="MSH24" s="252"/>
      <c r="MSI24" s="252"/>
      <c r="MSJ24" s="252"/>
      <c r="MSK24" s="252"/>
      <c r="MSL24" s="252"/>
      <c r="MSM24" s="252"/>
      <c r="MSN24" s="252"/>
      <c r="MSO24" s="252"/>
      <c r="MSP24" s="252"/>
      <c r="MSQ24" s="252"/>
      <c r="MSR24" s="252"/>
      <c r="MSS24" s="252"/>
      <c r="MST24" s="252"/>
      <c r="MSU24" s="252"/>
      <c r="MSV24" s="252"/>
      <c r="MSW24" s="252"/>
      <c r="MSX24" s="252"/>
      <c r="MSY24" s="252"/>
      <c r="MSZ24" s="252"/>
      <c r="MTA24" s="252"/>
      <c r="MTB24" s="252"/>
      <c r="MTC24" s="252"/>
      <c r="MTD24" s="252"/>
      <c r="MTE24" s="252"/>
      <c r="MTF24" s="252"/>
      <c r="MTG24" s="252"/>
      <c r="MTH24" s="252"/>
      <c r="MTI24" s="252"/>
      <c r="MTJ24" s="252"/>
      <c r="MTK24" s="252"/>
      <c r="MTL24" s="252"/>
      <c r="MTM24" s="252"/>
      <c r="MTN24" s="252"/>
      <c r="MTO24" s="252"/>
      <c r="MTP24" s="252"/>
      <c r="MTQ24" s="252"/>
      <c r="MTR24" s="252"/>
      <c r="MTS24" s="252"/>
      <c r="MTT24" s="252"/>
      <c r="MTU24" s="252"/>
      <c r="MTV24" s="252"/>
      <c r="MTW24" s="252"/>
      <c r="MTX24" s="252"/>
      <c r="MTY24" s="252"/>
      <c r="MTZ24" s="252"/>
      <c r="MUA24" s="252"/>
      <c r="MUB24" s="252"/>
      <c r="MUC24" s="252"/>
      <c r="MUD24" s="252"/>
      <c r="MUE24" s="252"/>
      <c r="MUF24" s="252"/>
      <c r="MUG24" s="252"/>
      <c r="MUH24" s="252"/>
      <c r="MUI24" s="252"/>
      <c r="MUJ24" s="252"/>
      <c r="MUK24" s="252"/>
      <c r="MUL24" s="252"/>
      <c r="MUM24" s="252"/>
      <c r="MUN24" s="252"/>
      <c r="MUO24" s="252"/>
      <c r="MUP24" s="252"/>
      <c r="MUQ24" s="252"/>
      <c r="MUR24" s="252"/>
      <c r="MUS24" s="252"/>
      <c r="MUT24" s="252"/>
      <c r="MUU24" s="252"/>
      <c r="MUV24" s="252"/>
      <c r="MUW24" s="252"/>
      <c r="MUX24" s="252"/>
      <c r="MUY24" s="252"/>
      <c r="MUZ24" s="252"/>
      <c r="MVA24" s="252"/>
      <c r="MVB24" s="252"/>
      <c r="MVC24" s="252"/>
      <c r="MVD24" s="252"/>
      <c r="MVE24" s="252"/>
      <c r="MVF24" s="252"/>
      <c r="MVG24" s="252"/>
      <c r="MVH24" s="252"/>
      <c r="MVI24" s="252"/>
      <c r="MVJ24" s="252"/>
      <c r="MVK24" s="252"/>
      <c r="MVL24" s="252"/>
      <c r="MVM24" s="252"/>
      <c r="MVN24" s="252"/>
      <c r="MVO24" s="252"/>
      <c r="MVP24" s="252"/>
      <c r="MVQ24" s="252"/>
      <c r="MVR24" s="252"/>
      <c r="MVS24" s="252"/>
      <c r="MVT24" s="252"/>
      <c r="MVU24" s="252"/>
      <c r="MVV24" s="252"/>
      <c r="MVW24" s="252"/>
      <c r="MVX24" s="252"/>
      <c r="MVY24" s="252"/>
      <c r="MVZ24" s="252"/>
      <c r="MWA24" s="252"/>
      <c r="MWB24" s="252"/>
      <c r="MWC24" s="252"/>
      <c r="MWD24" s="252"/>
      <c r="MWE24" s="252"/>
      <c r="MWF24" s="252"/>
      <c r="MWG24" s="252"/>
      <c r="MWH24" s="252"/>
      <c r="MWI24" s="252"/>
      <c r="MWJ24" s="252"/>
      <c r="MWK24" s="252"/>
      <c r="MWL24" s="252"/>
      <c r="MWM24" s="252"/>
      <c r="MWN24" s="252"/>
      <c r="MWO24" s="252"/>
      <c r="MWP24" s="252"/>
      <c r="MWQ24" s="252"/>
      <c r="MWR24" s="252"/>
      <c r="MWS24" s="252"/>
      <c r="MWT24" s="252"/>
      <c r="MWU24" s="252"/>
      <c r="MWV24" s="252"/>
      <c r="MWW24" s="252"/>
      <c r="MWX24" s="252"/>
      <c r="MWY24" s="252"/>
      <c r="MWZ24" s="252"/>
      <c r="MXA24" s="252"/>
      <c r="MXB24" s="252"/>
      <c r="MXC24" s="252"/>
      <c r="MXD24" s="252"/>
      <c r="MXE24" s="252"/>
      <c r="MXF24" s="252"/>
      <c r="MXG24" s="252"/>
      <c r="MXH24" s="252"/>
      <c r="MXI24" s="252"/>
      <c r="MXJ24" s="252"/>
      <c r="MXK24" s="252"/>
      <c r="MXL24" s="252"/>
      <c r="MXM24" s="252"/>
      <c r="MXN24" s="252"/>
      <c r="MXO24" s="252"/>
      <c r="MXP24" s="252"/>
      <c r="MXQ24" s="252"/>
      <c r="MXR24" s="252"/>
      <c r="MXS24" s="252"/>
      <c r="MXT24" s="252"/>
      <c r="MXU24" s="252"/>
      <c r="MXV24" s="252"/>
      <c r="MXW24" s="252"/>
      <c r="MXX24" s="252"/>
      <c r="MXY24" s="252"/>
      <c r="MXZ24" s="252"/>
      <c r="MYA24" s="252"/>
      <c r="MYB24" s="252"/>
      <c r="MYC24" s="252"/>
      <c r="MYD24" s="252"/>
      <c r="MYE24" s="252"/>
      <c r="MYF24" s="252"/>
      <c r="MYG24" s="252"/>
      <c r="MYH24" s="252"/>
      <c r="MYI24" s="252"/>
      <c r="MYJ24" s="252"/>
      <c r="MYK24" s="252"/>
      <c r="MYL24" s="252"/>
      <c r="MYM24" s="252"/>
      <c r="MYN24" s="252"/>
      <c r="MYO24" s="252"/>
      <c r="MYP24" s="252"/>
      <c r="MYQ24" s="252"/>
      <c r="MYR24" s="252"/>
      <c r="MYS24" s="252"/>
      <c r="MYT24" s="252"/>
      <c r="MYU24" s="252"/>
      <c r="MYV24" s="252"/>
      <c r="MYW24" s="252"/>
      <c r="MYX24" s="252"/>
      <c r="MYY24" s="252"/>
      <c r="MYZ24" s="252"/>
      <c r="MZA24" s="252"/>
      <c r="MZB24" s="252"/>
      <c r="MZC24" s="252"/>
      <c r="MZD24" s="252"/>
      <c r="MZE24" s="252"/>
      <c r="MZF24" s="252"/>
      <c r="MZG24" s="252"/>
      <c r="MZH24" s="252"/>
      <c r="MZI24" s="252"/>
      <c r="MZJ24" s="252"/>
      <c r="MZK24" s="252"/>
      <c r="MZL24" s="252"/>
      <c r="MZM24" s="252"/>
      <c r="MZN24" s="252"/>
      <c r="MZO24" s="252"/>
      <c r="MZP24" s="252"/>
      <c r="MZQ24" s="252"/>
      <c r="MZR24" s="252"/>
      <c r="MZS24" s="252"/>
      <c r="MZT24" s="252"/>
      <c r="MZU24" s="252"/>
      <c r="MZV24" s="252"/>
      <c r="MZW24" s="252"/>
      <c r="MZX24" s="252"/>
      <c r="MZY24" s="252"/>
      <c r="MZZ24" s="252"/>
      <c r="NAA24" s="252"/>
      <c r="NAB24" s="252"/>
      <c r="NAC24" s="252"/>
      <c r="NAD24" s="252"/>
      <c r="NAE24" s="252"/>
      <c r="NAF24" s="252"/>
      <c r="NAG24" s="252"/>
      <c r="NAH24" s="252"/>
      <c r="NAI24" s="252"/>
      <c r="NAJ24" s="252"/>
      <c r="NAK24" s="252"/>
      <c r="NAL24" s="252"/>
      <c r="NAM24" s="252"/>
      <c r="NAN24" s="252"/>
      <c r="NAO24" s="252"/>
      <c r="NAP24" s="252"/>
      <c r="NAQ24" s="252"/>
      <c r="NAR24" s="252"/>
      <c r="NAS24" s="252"/>
      <c r="NAT24" s="252"/>
      <c r="NAU24" s="252"/>
      <c r="NAV24" s="252"/>
      <c r="NAW24" s="252"/>
      <c r="NAX24" s="252"/>
      <c r="NAY24" s="252"/>
      <c r="NAZ24" s="252"/>
      <c r="NBA24" s="252"/>
      <c r="NBB24" s="252"/>
      <c r="NBC24" s="252"/>
      <c r="NBD24" s="252"/>
      <c r="NBE24" s="252"/>
      <c r="NBF24" s="252"/>
      <c r="NBG24" s="252"/>
      <c r="NBH24" s="252"/>
      <c r="NBI24" s="252"/>
      <c r="NBJ24" s="252"/>
      <c r="NBK24" s="252"/>
      <c r="NBL24" s="252"/>
      <c r="NBM24" s="252"/>
      <c r="NBN24" s="252"/>
      <c r="NBO24" s="252"/>
      <c r="NBP24" s="252"/>
      <c r="NBQ24" s="252"/>
      <c r="NBR24" s="252"/>
      <c r="NBS24" s="252"/>
      <c r="NBT24" s="252"/>
      <c r="NBU24" s="252"/>
      <c r="NBV24" s="252"/>
      <c r="NBW24" s="252"/>
      <c r="NBX24" s="252"/>
      <c r="NBY24" s="252"/>
      <c r="NBZ24" s="252"/>
      <c r="NCA24" s="252"/>
      <c r="NCB24" s="252"/>
      <c r="NCC24" s="252"/>
      <c r="NCD24" s="252"/>
      <c r="NCE24" s="252"/>
      <c r="NCF24" s="252"/>
      <c r="NCG24" s="252"/>
      <c r="NCH24" s="252"/>
      <c r="NCI24" s="252"/>
      <c r="NCJ24" s="252"/>
      <c r="NCK24" s="252"/>
      <c r="NCL24" s="252"/>
      <c r="NCM24" s="252"/>
      <c r="NCN24" s="252"/>
      <c r="NCO24" s="252"/>
      <c r="NCP24" s="252"/>
      <c r="NCQ24" s="252"/>
      <c r="NCR24" s="252"/>
      <c r="NCS24" s="252"/>
      <c r="NCT24" s="252"/>
      <c r="NCU24" s="252"/>
      <c r="NCV24" s="252"/>
      <c r="NCW24" s="252"/>
      <c r="NCX24" s="252"/>
      <c r="NCY24" s="252"/>
      <c r="NCZ24" s="252"/>
      <c r="NDA24" s="252"/>
      <c r="NDB24" s="252"/>
      <c r="NDC24" s="252"/>
      <c r="NDD24" s="252"/>
      <c r="NDE24" s="252"/>
      <c r="NDF24" s="252"/>
      <c r="NDG24" s="252"/>
      <c r="NDH24" s="252"/>
      <c r="NDI24" s="252"/>
      <c r="NDJ24" s="252"/>
      <c r="NDK24" s="252"/>
      <c r="NDL24" s="252"/>
      <c r="NDM24" s="252"/>
      <c r="NDN24" s="252"/>
      <c r="NDO24" s="252"/>
      <c r="NDP24" s="252"/>
      <c r="NDQ24" s="252"/>
      <c r="NDR24" s="252"/>
      <c r="NDS24" s="252"/>
      <c r="NDT24" s="252"/>
      <c r="NDU24" s="252"/>
      <c r="NDV24" s="252"/>
      <c r="NDW24" s="252"/>
      <c r="NDX24" s="252"/>
      <c r="NDY24" s="252"/>
      <c r="NDZ24" s="252"/>
      <c r="NEA24" s="252"/>
      <c r="NEB24" s="252"/>
      <c r="NEC24" s="252"/>
      <c r="NED24" s="252"/>
      <c r="NEE24" s="252"/>
      <c r="NEF24" s="252"/>
      <c r="NEG24" s="252"/>
      <c r="NEH24" s="252"/>
      <c r="NEI24" s="252"/>
      <c r="NEJ24" s="252"/>
      <c r="NEK24" s="252"/>
      <c r="NEL24" s="252"/>
      <c r="NEM24" s="252"/>
      <c r="NEN24" s="252"/>
      <c r="NEO24" s="252"/>
      <c r="NEP24" s="252"/>
      <c r="NEQ24" s="252"/>
      <c r="NER24" s="252"/>
      <c r="NES24" s="252"/>
      <c r="NET24" s="252"/>
      <c r="NEU24" s="252"/>
      <c r="NEV24" s="252"/>
      <c r="NEW24" s="252"/>
      <c r="NEX24" s="252"/>
      <c r="NEY24" s="252"/>
      <c r="NEZ24" s="252"/>
      <c r="NFA24" s="252"/>
      <c r="NFB24" s="252"/>
      <c r="NFC24" s="252"/>
      <c r="NFD24" s="252"/>
      <c r="NFE24" s="252"/>
      <c r="NFF24" s="252"/>
      <c r="NFG24" s="252"/>
      <c r="NFH24" s="252"/>
      <c r="NFI24" s="252"/>
      <c r="NFJ24" s="252"/>
      <c r="NFK24" s="252"/>
      <c r="NFL24" s="252"/>
      <c r="NFM24" s="252"/>
      <c r="NFN24" s="252"/>
      <c r="NFO24" s="252"/>
      <c r="NFP24" s="252"/>
      <c r="NFQ24" s="252"/>
      <c r="NFR24" s="252"/>
      <c r="NFS24" s="252"/>
      <c r="NFT24" s="252"/>
      <c r="NFU24" s="252"/>
      <c r="NFV24" s="252"/>
      <c r="NFW24" s="252"/>
      <c r="NFX24" s="252"/>
      <c r="NFY24" s="252"/>
      <c r="NFZ24" s="252"/>
      <c r="NGA24" s="252"/>
      <c r="NGB24" s="252"/>
      <c r="NGC24" s="252"/>
      <c r="NGD24" s="252"/>
      <c r="NGE24" s="252"/>
      <c r="NGF24" s="252"/>
      <c r="NGG24" s="252"/>
      <c r="NGH24" s="252"/>
      <c r="NGI24" s="252"/>
      <c r="NGJ24" s="252"/>
      <c r="NGK24" s="252"/>
      <c r="NGL24" s="252"/>
      <c r="NGM24" s="252"/>
      <c r="NGN24" s="252"/>
      <c r="NGO24" s="252"/>
      <c r="NGP24" s="252"/>
      <c r="NGQ24" s="252"/>
      <c r="NGR24" s="252"/>
      <c r="NGS24" s="252"/>
      <c r="NGT24" s="252"/>
      <c r="NGU24" s="252"/>
      <c r="NGV24" s="252"/>
      <c r="NGW24" s="252"/>
      <c r="NGX24" s="252"/>
      <c r="NGY24" s="252"/>
      <c r="NGZ24" s="252"/>
      <c r="NHA24" s="252"/>
      <c r="NHB24" s="252"/>
      <c r="NHC24" s="252"/>
      <c r="NHD24" s="252"/>
      <c r="NHE24" s="252"/>
      <c r="NHF24" s="252"/>
      <c r="NHG24" s="252"/>
      <c r="NHH24" s="252"/>
      <c r="NHI24" s="252"/>
      <c r="NHJ24" s="252"/>
      <c r="NHK24" s="252"/>
      <c r="NHL24" s="252"/>
      <c r="NHM24" s="252"/>
      <c r="NHN24" s="252"/>
      <c r="NHO24" s="252"/>
      <c r="NHP24" s="252"/>
      <c r="NHQ24" s="252"/>
      <c r="NHR24" s="252"/>
      <c r="NHS24" s="252"/>
      <c r="NHT24" s="252"/>
      <c r="NHU24" s="252"/>
      <c r="NHV24" s="252"/>
      <c r="NHW24" s="252"/>
      <c r="NHX24" s="252"/>
      <c r="NHY24" s="252"/>
      <c r="NHZ24" s="252"/>
      <c r="NIA24" s="252"/>
      <c r="NIB24" s="252"/>
      <c r="NIC24" s="252"/>
      <c r="NID24" s="252"/>
      <c r="NIE24" s="252"/>
      <c r="NIF24" s="252"/>
      <c r="NIG24" s="252"/>
      <c r="NIH24" s="252"/>
      <c r="NII24" s="252"/>
      <c r="NIJ24" s="252"/>
      <c r="NIK24" s="252"/>
      <c r="NIL24" s="252"/>
      <c r="NIM24" s="252"/>
      <c r="NIN24" s="252"/>
      <c r="NIO24" s="252"/>
      <c r="NIP24" s="252"/>
      <c r="NIQ24" s="252"/>
      <c r="NIR24" s="252"/>
      <c r="NIS24" s="252"/>
      <c r="NIT24" s="252"/>
      <c r="NIU24" s="252"/>
      <c r="NIV24" s="252"/>
      <c r="NIW24" s="252"/>
      <c r="NIX24" s="252"/>
      <c r="NIY24" s="252"/>
      <c r="NIZ24" s="252"/>
      <c r="NJA24" s="252"/>
      <c r="NJB24" s="252"/>
      <c r="NJC24" s="252"/>
      <c r="NJD24" s="252"/>
      <c r="NJE24" s="252"/>
      <c r="NJF24" s="252"/>
      <c r="NJG24" s="252"/>
      <c r="NJH24" s="252"/>
      <c r="NJI24" s="252"/>
      <c r="NJJ24" s="252"/>
      <c r="NJK24" s="252"/>
      <c r="NJL24" s="252"/>
      <c r="NJM24" s="252"/>
      <c r="NJN24" s="252"/>
      <c r="NJO24" s="252"/>
      <c r="NJP24" s="252"/>
      <c r="NJQ24" s="252"/>
      <c r="NJR24" s="252"/>
      <c r="NJS24" s="252"/>
      <c r="NJT24" s="252"/>
      <c r="NJU24" s="252"/>
      <c r="NJV24" s="252"/>
      <c r="NJW24" s="252"/>
      <c r="NJX24" s="252"/>
      <c r="NJY24" s="252"/>
      <c r="NJZ24" s="252"/>
      <c r="NKA24" s="252"/>
      <c r="NKB24" s="252"/>
      <c r="NKC24" s="252"/>
      <c r="NKD24" s="252"/>
      <c r="NKE24" s="252"/>
      <c r="NKF24" s="252"/>
      <c r="NKG24" s="252"/>
      <c r="NKH24" s="252"/>
      <c r="NKI24" s="252"/>
      <c r="NKJ24" s="252"/>
      <c r="NKK24" s="252"/>
      <c r="NKL24" s="252"/>
      <c r="NKM24" s="252"/>
      <c r="NKN24" s="252"/>
      <c r="NKO24" s="252"/>
      <c r="NKP24" s="252"/>
      <c r="NKQ24" s="252"/>
      <c r="NKR24" s="252"/>
      <c r="NKS24" s="252"/>
      <c r="NKT24" s="252"/>
      <c r="NKU24" s="252"/>
      <c r="NKV24" s="252"/>
      <c r="NKW24" s="252"/>
      <c r="NKX24" s="252"/>
      <c r="NKY24" s="252"/>
      <c r="NKZ24" s="252"/>
      <c r="NLA24" s="252"/>
      <c r="NLB24" s="252"/>
      <c r="NLC24" s="252"/>
      <c r="NLD24" s="252"/>
      <c r="NLE24" s="252"/>
      <c r="NLF24" s="252"/>
      <c r="NLG24" s="252"/>
      <c r="NLH24" s="252"/>
      <c r="NLI24" s="252"/>
      <c r="NLJ24" s="252"/>
      <c r="NLK24" s="252"/>
      <c r="NLL24" s="252"/>
      <c r="NLM24" s="252"/>
      <c r="NLN24" s="252"/>
      <c r="NLO24" s="252"/>
      <c r="NLP24" s="252"/>
      <c r="NLQ24" s="252"/>
      <c r="NLR24" s="252"/>
      <c r="NLS24" s="252"/>
      <c r="NLT24" s="252"/>
      <c r="NLU24" s="252"/>
      <c r="NLV24" s="252"/>
      <c r="NLW24" s="252"/>
      <c r="NLX24" s="252"/>
      <c r="NLY24" s="252"/>
      <c r="NLZ24" s="252"/>
      <c r="NMA24" s="252"/>
      <c r="NMB24" s="252"/>
      <c r="NMC24" s="252"/>
      <c r="NMD24" s="252"/>
      <c r="NME24" s="252"/>
      <c r="NMF24" s="252"/>
      <c r="NMG24" s="252"/>
      <c r="NMH24" s="252"/>
      <c r="NMI24" s="252"/>
      <c r="NMJ24" s="252"/>
      <c r="NMK24" s="252"/>
      <c r="NML24" s="252"/>
      <c r="NMM24" s="252"/>
      <c r="NMN24" s="252"/>
      <c r="NMO24" s="252"/>
      <c r="NMP24" s="252"/>
      <c r="NMQ24" s="252"/>
      <c r="NMR24" s="252"/>
      <c r="NMS24" s="252"/>
      <c r="NMT24" s="252"/>
      <c r="NMU24" s="252"/>
      <c r="NMV24" s="252"/>
      <c r="NMW24" s="252"/>
      <c r="NMX24" s="252"/>
      <c r="NMY24" s="252"/>
      <c r="NMZ24" s="252"/>
      <c r="NNA24" s="252"/>
      <c r="NNB24" s="252"/>
      <c r="NNC24" s="252"/>
      <c r="NND24" s="252"/>
      <c r="NNE24" s="252"/>
      <c r="NNF24" s="252"/>
      <c r="NNG24" s="252"/>
      <c r="NNH24" s="252"/>
      <c r="NNI24" s="252"/>
      <c r="NNJ24" s="252"/>
      <c r="NNK24" s="252"/>
      <c r="NNL24" s="252"/>
      <c r="NNM24" s="252"/>
      <c r="NNN24" s="252"/>
      <c r="NNO24" s="252"/>
      <c r="NNP24" s="252"/>
      <c r="NNQ24" s="252"/>
      <c r="NNR24" s="252"/>
      <c r="NNS24" s="252"/>
      <c r="NNT24" s="252"/>
      <c r="NNU24" s="252"/>
      <c r="NNV24" s="252"/>
      <c r="NNW24" s="252"/>
      <c r="NNX24" s="252"/>
      <c r="NNY24" s="252"/>
      <c r="NNZ24" s="252"/>
      <c r="NOA24" s="252"/>
      <c r="NOB24" s="252"/>
      <c r="NOC24" s="252"/>
      <c r="NOD24" s="252"/>
      <c r="NOE24" s="252"/>
      <c r="NOF24" s="252"/>
      <c r="NOG24" s="252"/>
      <c r="NOH24" s="252"/>
      <c r="NOI24" s="252"/>
      <c r="NOJ24" s="252"/>
      <c r="NOK24" s="252"/>
      <c r="NOL24" s="252"/>
      <c r="NOM24" s="252"/>
      <c r="NON24" s="252"/>
      <c r="NOO24" s="252"/>
      <c r="NOP24" s="252"/>
      <c r="NOQ24" s="252"/>
      <c r="NOR24" s="252"/>
      <c r="NOS24" s="252"/>
      <c r="NOT24" s="252"/>
      <c r="NOU24" s="252"/>
      <c r="NOV24" s="252"/>
      <c r="NOW24" s="252"/>
      <c r="NOX24" s="252"/>
      <c r="NOY24" s="252"/>
      <c r="NOZ24" s="252"/>
      <c r="NPA24" s="252"/>
      <c r="NPB24" s="252"/>
      <c r="NPC24" s="252"/>
      <c r="NPD24" s="252"/>
      <c r="NPE24" s="252"/>
      <c r="NPF24" s="252"/>
      <c r="NPG24" s="252"/>
      <c r="NPH24" s="252"/>
      <c r="NPI24" s="252"/>
      <c r="NPJ24" s="252"/>
      <c r="NPK24" s="252"/>
      <c r="NPL24" s="252"/>
      <c r="NPM24" s="252"/>
      <c r="NPN24" s="252"/>
      <c r="NPO24" s="252"/>
      <c r="NPP24" s="252"/>
      <c r="NPQ24" s="252"/>
      <c r="NPR24" s="252"/>
      <c r="NPS24" s="252"/>
      <c r="NPT24" s="252"/>
      <c r="NPU24" s="252"/>
      <c r="NPV24" s="252"/>
      <c r="NPW24" s="252"/>
      <c r="NPX24" s="252"/>
      <c r="NPY24" s="252"/>
      <c r="NPZ24" s="252"/>
      <c r="NQA24" s="252"/>
      <c r="NQB24" s="252"/>
      <c r="NQC24" s="252"/>
      <c r="NQD24" s="252"/>
      <c r="NQE24" s="252"/>
      <c r="NQF24" s="252"/>
      <c r="NQG24" s="252"/>
      <c r="NQH24" s="252"/>
      <c r="NQI24" s="252"/>
      <c r="NQJ24" s="252"/>
      <c r="NQK24" s="252"/>
      <c r="NQL24" s="252"/>
      <c r="NQM24" s="252"/>
      <c r="NQN24" s="252"/>
      <c r="NQO24" s="252"/>
      <c r="NQP24" s="252"/>
      <c r="NQQ24" s="252"/>
      <c r="NQR24" s="252"/>
      <c r="NQS24" s="252"/>
      <c r="NQT24" s="252"/>
      <c r="NQU24" s="252"/>
      <c r="NQV24" s="252"/>
      <c r="NQW24" s="252"/>
      <c r="NQX24" s="252"/>
      <c r="NQY24" s="252"/>
      <c r="NQZ24" s="252"/>
      <c r="NRA24" s="252"/>
      <c r="NRB24" s="252"/>
      <c r="NRC24" s="252"/>
      <c r="NRD24" s="252"/>
      <c r="NRE24" s="252"/>
      <c r="NRF24" s="252"/>
      <c r="NRG24" s="252"/>
      <c r="NRH24" s="252"/>
      <c r="NRI24" s="252"/>
      <c r="NRJ24" s="252"/>
      <c r="NRK24" s="252"/>
      <c r="NRL24" s="252"/>
      <c r="NRM24" s="252"/>
      <c r="NRN24" s="252"/>
      <c r="NRO24" s="252"/>
      <c r="NRP24" s="252"/>
      <c r="NRQ24" s="252"/>
      <c r="NRR24" s="252"/>
      <c r="NRS24" s="252"/>
      <c r="NRT24" s="252"/>
      <c r="NRU24" s="252"/>
      <c r="NRV24" s="252"/>
      <c r="NRW24" s="252"/>
      <c r="NRX24" s="252"/>
      <c r="NRY24" s="252"/>
      <c r="NRZ24" s="252"/>
      <c r="NSA24" s="252"/>
      <c r="NSB24" s="252"/>
      <c r="NSC24" s="252"/>
      <c r="NSD24" s="252"/>
      <c r="NSE24" s="252"/>
      <c r="NSF24" s="252"/>
      <c r="NSG24" s="252"/>
      <c r="NSH24" s="252"/>
      <c r="NSI24" s="252"/>
      <c r="NSJ24" s="252"/>
      <c r="NSK24" s="252"/>
      <c r="NSL24" s="252"/>
      <c r="NSM24" s="252"/>
      <c r="NSN24" s="252"/>
      <c r="NSO24" s="252"/>
      <c r="NSP24" s="252"/>
      <c r="NSQ24" s="252"/>
      <c r="NSR24" s="252"/>
      <c r="NSS24" s="252"/>
      <c r="NST24" s="252"/>
      <c r="NSU24" s="252"/>
      <c r="NSV24" s="252"/>
      <c r="NSW24" s="252"/>
      <c r="NSX24" s="252"/>
      <c r="NSY24" s="252"/>
      <c r="NSZ24" s="252"/>
      <c r="NTA24" s="252"/>
      <c r="NTB24" s="252"/>
      <c r="NTC24" s="252"/>
      <c r="NTD24" s="252"/>
      <c r="NTE24" s="252"/>
      <c r="NTF24" s="252"/>
      <c r="NTG24" s="252"/>
      <c r="NTH24" s="252"/>
      <c r="NTI24" s="252"/>
      <c r="NTJ24" s="252"/>
      <c r="NTK24" s="252"/>
      <c r="NTL24" s="252"/>
      <c r="NTM24" s="252"/>
      <c r="NTN24" s="252"/>
      <c r="NTO24" s="252"/>
      <c r="NTP24" s="252"/>
      <c r="NTQ24" s="252"/>
      <c r="NTR24" s="252"/>
      <c r="NTS24" s="252"/>
      <c r="NTT24" s="252"/>
      <c r="NTU24" s="252"/>
      <c r="NTV24" s="252"/>
      <c r="NTW24" s="252"/>
      <c r="NTX24" s="252"/>
      <c r="NTY24" s="252"/>
      <c r="NTZ24" s="252"/>
      <c r="NUA24" s="252"/>
      <c r="NUB24" s="252"/>
      <c r="NUC24" s="252"/>
      <c r="NUD24" s="252"/>
      <c r="NUE24" s="252"/>
      <c r="NUF24" s="252"/>
      <c r="NUG24" s="252"/>
      <c r="NUH24" s="252"/>
      <c r="NUI24" s="252"/>
      <c r="NUJ24" s="252"/>
      <c r="NUK24" s="252"/>
      <c r="NUL24" s="252"/>
      <c r="NUM24" s="252"/>
      <c r="NUN24" s="252"/>
      <c r="NUO24" s="252"/>
      <c r="NUP24" s="252"/>
      <c r="NUQ24" s="252"/>
      <c r="NUR24" s="252"/>
      <c r="NUS24" s="252"/>
      <c r="NUT24" s="252"/>
      <c r="NUU24" s="252"/>
      <c r="NUV24" s="252"/>
      <c r="NUW24" s="252"/>
      <c r="NUX24" s="252"/>
      <c r="NUY24" s="252"/>
      <c r="NUZ24" s="252"/>
      <c r="NVA24" s="252"/>
      <c r="NVB24" s="252"/>
      <c r="NVC24" s="252"/>
      <c r="NVD24" s="252"/>
      <c r="NVE24" s="252"/>
      <c r="NVF24" s="252"/>
      <c r="NVG24" s="252"/>
      <c r="NVH24" s="252"/>
      <c r="NVI24" s="252"/>
      <c r="NVJ24" s="252"/>
      <c r="NVK24" s="252"/>
      <c r="NVL24" s="252"/>
      <c r="NVM24" s="252"/>
      <c r="NVN24" s="252"/>
      <c r="NVO24" s="252"/>
      <c r="NVP24" s="252"/>
      <c r="NVQ24" s="252"/>
      <c r="NVR24" s="252"/>
      <c r="NVS24" s="252"/>
      <c r="NVT24" s="252"/>
      <c r="NVU24" s="252"/>
      <c r="NVV24" s="252"/>
      <c r="NVW24" s="252"/>
      <c r="NVX24" s="252"/>
      <c r="NVY24" s="252"/>
      <c r="NVZ24" s="252"/>
      <c r="NWA24" s="252"/>
      <c r="NWB24" s="252"/>
      <c r="NWC24" s="252"/>
      <c r="NWD24" s="252"/>
      <c r="NWE24" s="252"/>
      <c r="NWF24" s="252"/>
      <c r="NWG24" s="252"/>
      <c r="NWH24" s="252"/>
      <c r="NWI24" s="252"/>
      <c r="NWJ24" s="252"/>
      <c r="NWK24" s="252"/>
      <c r="NWL24" s="252"/>
      <c r="NWM24" s="252"/>
      <c r="NWN24" s="252"/>
      <c r="NWO24" s="252"/>
      <c r="NWP24" s="252"/>
      <c r="NWQ24" s="252"/>
      <c r="NWR24" s="252"/>
      <c r="NWS24" s="252"/>
      <c r="NWT24" s="252"/>
      <c r="NWU24" s="252"/>
      <c r="NWV24" s="252"/>
      <c r="NWW24" s="252"/>
      <c r="NWX24" s="252"/>
      <c r="NWY24" s="252"/>
      <c r="NWZ24" s="252"/>
      <c r="NXA24" s="252"/>
      <c r="NXB24" s="252"/>
      <c r="NXC24" s="252"/>
      <c r="NXD24" s="252"/>
      <c r="NXE24" s="252"/>
      <c r="NXF24" s="252"/>
      <c r="NXG24" s="252"/>
      <c r="NXH24" s="252"/>
      <c r="NXI24" s="252"/>
      <c r="NXJ24" s="252"/>
      <c r="NXK24" s="252"/>
      <c r="NXL24" s="252"/>
      <c r="NXM24" s="252"/>
      <c r="NXN24" s="252"/>
      <c r="NXO24" s="252"/>
      <c r="NXP24" s="252"/>
      <c r="NXQ24" s="252"/>
      <c r="NXR24" s="252"/>
      <c r="NXS24" s="252"/>
      <c r="NXT24" s="252"/>
      <c r="NXU24" s="252"/>
      <c r="NXV24" s="252"/>
      <c r="NXW24" s="252"/>
      <c r="NXX24" s="252"/>
      <c r="NXY24" s="252"/>
      <c r="NXZ24" s="252"/>
      <c r="NYA24" s="252"/>
      <c r="NYB24" s="252"/>
      <c r="NYC24" s="252"/>
      <c r="NYD24" s="252"/>
      <c r="NYE24" s="252"/>
      <c r="NYF24" s="252"/>
      <c r="NYG24" s="252"/>
      <c r="NYH24" s="252"/>
      <c r="NYI24" s="252"/>
      <c r="NYJ24" s="252"/>
      <c r="NYK24" s="252"/>
      <c r="NYL24" s="252"/>
      <c r="NYM24" s="252"/>
      <c r="NYN24" s="252"/>
      <c r="NYO24" s="252"/>
      <c r="NYP24" s="252"/>
      <c r="NYQ24" s="252"/>
      <c r="NYR24" s="252"/>
      <c r="NYS24" s="252"/>
      <c r="NYT24" s="252"/>
      <c r="NYU24" s="252"/>
      <c r="NYV24" s="252"/>
      <c r="NYW24" s="252"/>
      <c r="NYX24" s="252"/>
      <c r="NYY24" s="252"/>
      <c r="NYZ24" s="252"/>
      <c r="NZA24" s="252"/>
      <c r="NZB24" s="252"/>
      <c r="NZC24" s="252"/>
      <c r="NZD24" s="252"/>
      <c r="NZE24" s="252"/>
      <c r="NZF24" s="252"/>
      <c r="NZG24" s="252"/>
      <c r="NZH24" s="252"/>
      <c r="NZI24" s="252"/>
      <c r="NZJ24" s="252"/>
      <c r="NZK24" s="252"/>
      <c r="NZL24" s="252"/>
      <c r="NZM24" s="252"/>
      <c r="NZN24" s="252"/>
      <c r="NZO24" s="252"/>
      <c r="NZP24" s="252"/>
      <c r="NZQ24" s="252"/>
      <c r="NZR24" s="252"/>
      <c r="NZS24" s="252"/>
      <c r="NZT24" s="252"/>
      <c r="NZU24" s="252"/>
      <c r="NZV24" s="252"/>
      <c r="NZW24" s="252"/>
      <c r="NZX24" s="252"/>
      <c r="NZY24" s="252"/>
      <c r="NZZ24" s="252"/>
      <c r="OAA24" s="252"/>
      <c r="OAB24" s="252"/>
      <c r="OAC24" s="252"/>
      <c r="OAD24" s="252"/>
      <c r="OAE24" s="252"/>
      <c r="OAF24" s="252"/>
      <c r="OAG24" s="252"/>
      <c r="OAH24" s="252"/>
      <c r="OAI24" s="252"/>
      <c r="OAJ24" s="252"/>
      <c r="OAK24" s="252"/>
      <c r="OAL24" s="252"/>
      <c r="OAM24" s="252"/>
      <c r="OAN24" s="252"/>
      <c r="OAO24" s="252"/>
      <c r="OAP24" s="252"/>
      <c r="OAQ24" s="252"/>
      <c r="OAR24" s="252"/>
      <c r="OAS24" s="252"/>
      <c r="OAT24" s="252"/>
      <c r="OAU24" s="252"/>
      <c r="OAV24" s="252"/>
      <c r="OAW24" s="252"/>
      <c r="OAX24" s="252"/>
      <c r="OAY24" s="252"/>
      <c r="OAZ24" s="252"/>
      <c r="OBA24" s="252"/>
      <c r="OBB24" s="252"/>
      <c r="OBC24" s="252"/>
      <c r="OBD24" s="252"/>
      <c r="OBE24" s="252"/>
      <c r="OBF24" s="252"/>
      <c r="OBG24" s="252"/>
      <c r="OBH24" s="252"/>
      <c r="OBI24" s="252"/>
      <c r="OBJ24" s="252"/>
      <c r="OBK24" s="252"/>
      <c r="OBL24" s="252"/>
      <c r="OBM24" s="252"/>
      <c r="OBN24" s="252"/>
      <c r="OBO24" s="252"/>
      <c r="OBP24" s="252"/>
      <c r="OBQ24" s="252"/>
      <c r="OBR24" s="252"/>
      <c r="OBS24" s="252"/>
      <c r="OBT24" s="252"/>
      <c r="OBU24" s="252"/>
      <c r="OBV24" s="252"/>
      <c r="OBW24" s="252"/>
      <c r="OBX24" s="252"/>
      <c r="OBY24" s="252"/>
      <c r="OBZ24" s="252"/>
      <c r="OCA24" s="252"/>
      <c r="OCB24" s="252"/>
      <c r="OCC24" s="252"/>
      <c r="OCD24" s="252"/>
      <c r="OCE24" s="252"/>
      <c r="OCF24" s="252"/>
      <c r="OCG24" s="252"/>
      <c r="OCH24" s="252"/>
      <c r="OCI24" s="252"/>
      <c r="OCJ24" s="252"/>
      <c r="OCK24" s="252"/>
      <c r="OCL24" s="252"/>
      <c r="OCM24" s="252"/>
      <c r="OCN24" s="252"/>
      <c r="OCO24" s="252"/>
      <c r="OCP24" s="252"/>
      <c r="OCQ24" s="252"/>
      <c r="OCR24" s="252"/>
      <c r="OCS24" s="252"/>
      <c r="OCT24" s="252"/>
      <c r="OCU24" s="252"/>
      <c r="OCV24" s="252"/>
      <c r="OCW24" s="252"/>
      <c r="OCX24" s="252"/>
      <c r="OCY24" s="252"/>
      <c r="OCZ24" s="252"/>
      <c r="ODA24" s="252"/>
      <c r="ODB24" s="252"/>
      <c r="ODC24" s="252"/>
      <c r="ODD24" s="252"/>
      <c r="ODE24" s="252"/>
      <c r="ODF24" s="252"/>
      <c r="ODG24" s="252"/>
      <c r="ODH24" s="252"/>
      <c r="ODI24" s="252"/>
      <c r="ODJ24" s="252"/>
      <c r="ODK24" s="252"/>
      <c r="ODL24" s="252"/>
      <c r="ODM24" s="252"/>
      <c r="ODN24" s="252"/>
      <c r="ODO24" s="252"/>
      <c r="ODP24" s="252"/>
      <c r="ODQ24" s="252"/>
      <c r="ODR24" s="252"/>
      <c r="ODS24" s="252"/>
      <c r="ODT24" s="252"/>
      <c r="ODU24" s="252"/>
      <c r="ODV24" s="252"/>
      <c r="ODW24" s="252"/>
      <c r="ODX24" s="252"/>
      <c r="ODY24" s="252"/>
      <c r="ODZ24" s="252"/>
      <c r="OEA24" s="252"/>
      <c r="OEB24" s="252"/>
      <c r="OEC24" s="252"/>
      <c r="OED24" s="252"/>
      <c r="OEE24" s="252"/>
      <c r="OEF24" s="252"/>
      <c r="OEG24" s="252"/>
      <c r="OEH24" s="252"/>
      <c r="OEI24" s="252"/>
      <c r="OEJ24" s="252"/>
      <c r="OEK24" s="252"/>
      <c r="OEL24" s="252"/>
      <c r="OEM24" s="252"/>
      <c r="OEN24" s="252"/>
      <c r="OEO24" s="252"/>
      <c r="OEP24" s="252"/>
      <c r="OEQ24" s="252"/>
      <c r="OER24" s="252"/>
      <c r="OES24" s="252"/>
      <c r="OET24" s="252"/>
      <c r="OEU24" s="252"/>
      <c r="OEV24" s="252"/>
      <c r="OEW24" s="252"/>
      <c r="OEX24" s="252"/>
      <c r="OEY24" s="252"/>
      <c r="OEZ24" s="252"/>
      <c r="OFA24" s="252"/>
      <c r="OFB24" s="252"/>
      <c r="OFC24" s="252"/>
      <c r="OFD24" s="252"/>
      <c r="OFE24" s="252"/>
      <c r="OFF24" s="252"/>
      <c r="OFG24" s="252"/>
      <c r="OFH24" s="252"/>
      <c r="OFI24" s="252"/>
      <c r="OFJ24" s="252"/>
      <c r="OFK24" s="252"/>
      <c r="OFL24" s="252"/>
      <c r="OFM24" s="252"/>
      <c r="OFN24" s="252"/>
      <c r="OFO24" s="252"/>
      <c r="OFP24" s="252"/>
      <c r="OFQ24" s="252"/>
      <c r="OFR24" s="252"/>
      <c r="OFS24" s="252"/>
      <c r="OFT24" s="252"/>
      <c r="OFU24" s="252"/>
      <c r="OFV24" s="252"/>
      <c r="OFW24" s="252"/>
      <c r="OFX24" s="252"/>
      <c r="OFY24" s="252"/>
      <c r="OFZ24" s="252"/>
      <c r="OGA24" s="252"/>
      <c r="OGB24" s="252"/>
      <c r="OGC24" s="252"/>
      <c r="OGD24" s="252"/>
      <c r="OGE24" s="252"/>
      <c r="OGF24" s="252"/>
      <c r="OGG24" s="252"/>
      <c r="OGH24" s="252"/>
      <c r="OGI24" s="252"/>
      <c r="OGJ24" s="252"/>
      <c r="OGK24" s="252"/>
      <c r="OGL24" s="252"/>
      <c r="OGM24" s="252"/>
      <c r="OGN24" s="252"/>
      <c r="OGO24" s="252"/>
      <c r="OGP24" s="252"/>
      <c r="OGQ24" s="252"/>
      <c r="OGR24" s="252"/>
      <c r="OGS24" s="252"/>
      <c r="OGT24" s="252"/>
      <c r="OGU24" s="252"/>
      <c r="OGV24" s="252"/>
      <c r="OGW24" s="252"/>
      <c r="OGX24" s="252"/>
      <c r="OGY24" s="252"/>
      <c r="OGZ24" s="252"/>
      <c r="OHA24" s="252"/>
      <c r="OHB24" s="252"/>
      <c r="OHC24" s="252"/>
      <c r="OHD24" s="252"/>
      <c r="OHE24" s="252"/>
      <c r="OHF24" s="252"/>
      <c r="OHG24" s="252"/>
      <c r="OHH24" s="252"/>
      <c r="OHI24" s="252"/>
      <c r="OHJ24" s="252"/>
      <c r="OHK24" s="252"/>
      <c r="OHL24" s="252"/>
      <c r="OHM24" s="252"/>
      <c r="OHN24" s="252"/>
      <c r="OHO24" s="252"/>
      <c r="OHP24" s="252"/>
      <c r="OHQ24" s="252"/>
      <c r="OHR24" s="252"/>
      <c r="OHS24" s="252"/>
      <c r="OHT24" s="252"/>
      <c r="OHU24" s="252"/>
      <c r="OHV24" s="252"/>
      <c r="OHW24" s="252"/>
      <c r="OHX24" s="252"/>
      <c r="OHY24" s="252"/>
      <c r="OHZ24" s="252"/>
      <c r="OIA24" s="252"/>
      <c r="OIB24" s="252"/>
      <c r="OIC24" s="252"/>
      <c r="OID24" s="252"/>
      <c r="OIE24" s="252"/>
      <c r="OIF24" s="252"/>
      <c r="OIG24" s="252"/>
      <c r="OIH24" s="252"/>
      <c r="OII24" s="252"/>
      <c r="OIJ24" s="252"/>
      <c r="OIK24" s="252"/>
      <c r="OIL24" s="252"/>
      <c r="OIM24" s="252"/>
      <c r="OIN24" s="252"/>
      <c r="OIO24" s="252"/>
      <c r="OIP24" s="252"/>
      <c r="OIQ24" s="252"/>
      <c r="OIR24" s="252"/>
      <c r="OIS24" s="252"/>
      <c r="OIT24" s="252"/>
      <c r="OIU24" s="252"/>
      <c r="OIV24" s="252"/>
      <c r="OIW24" s="252"/>
      <c r="OIX24" s="252"/>
      <c r="OIY24" s="252"/>
      <c r="OIZ24" s="252"/>
      <c r="OJA24" s="252"/>
      <c r="OJB24" s="252"/>
      <c r="OJC24" s="252"/>
      <c r="OJD24" s="252"/>
      <c r="OJE24" s="252"/>
      <c r="OJF24" s="252"/>
      <c r="OJG24" s="252"/>
      <c r="OJH24" s="252"/>
      <c r="OJI24" s="252"/>
      <c r="OJJ24" s="252"/>
      <c r="OJK24" s="252"/>
      <c r="OJL24" s="252"/>
      <c r="OJM24" s="252"/>
      <c r="OJN24" s="252"/>
      <c r="OJO24" s="252"/>
      <c r="OJP24" s="252"/>
      <c r="OJQ24" s="252"/>
      <c r="OJR24" s="252"/>
      <c r="OJS24" s="252"/>
      <c r="OJT24" s="252"/>
      <c r="OJU24" s="252"/>
      <c r="OJV24" s="252"/>
      <c r="OJW24" s="252"/>
      <c r="OJX24" s="252"/>
      <c r="OJY24" s="252"/>
      <c r="OJZ24" s="252"/>
      <c r="OKA24" s="252"/>
      <c r="OKB24" s="252"/>
      <c r="OKC24" s="252"/>
      <c r="OKD24" s="252"/>
      <c r="OKE24" s="252"/>
      <c r="OKF24" s="252"/>
      <c r="OKG24" s="252"/>
      <c r="OKH24" s="252"/>
      <c r="OKI24" s="252"/>
      <c r="OKJ24" s="252"/>
      <c r="OKK24" s="252"/>
      <c r="OKL24" s="252"/>
      <c r="OKM24" s="252"/>
      <c r="OKN24" s="252"/>
      <c r="OKO24" s="252"/>
      <c r="OKP24" s="252"/>
      <c r="OKQ24" s="252"/>
      <c r="OKR24" s="252"/>
      <c r="OKS24" s="252"/>
      <c r="OKT24" s="252"/>
      <c r="OKU24" s="252"/>
      <c r="OKV24" s="252"/>
      <c r="OKW24" s="252"/>
      <c r="OKX24" s="252"/>
      <c r="OKY24" s="252"/>
      <c r="OKZ24" s="252"/>
      <c r="OLA24" s="252"/>
      <c r="OLB24" s="252"/>
      <c r="OLC24" s="252"/>
      <c r="OLD24" s="252"/>
      <c r="OLE24" s="252"/>
      <c r="OLF24" s="252"/>
      <c r="OLG24" s="252"/>
      <c r="OLH24" s="252"/>
      <c r="OLI24" s="252"/>
      <c r="OLJ24" s="252"/>
      <c r="OLK24" s="252"/>
      <c r="OLL24" s="252"/>
      <c r="OLM24" s="252"/>
      <c r="OLN24" s="252"/>
      <c r="OLO24" s="252"/>
      <c r="OLP24" s="252"/>
      <c r="OLQ24" s="252"/>
      <c r="OLR24" s="252"/>
      <c r="OLS24" s="252"/>
      <c r="OLT24" s="252"/>
      <c r="OLU24" s="252"/>
      <c r="OLV24" s="252"/>
      <c r="OLW24" s="252"/>
      <c r="OLX24" s="252"/>
      <c r="OLY24" s="252"/>
      <c r="OLZ24" s="252"/>
      <c r="OMA24" s="252"/>
      <c r="OMB24" s="252"/>
      <c r="OMC24" s="252"/>
      <c r="OMD24" s="252"/>
      <c r="OME24" s="252"/>
      <c r="OMF24" s="252"/>
      <c r="OMG24" s="252"/>
      <c r="OMH24" s="252"/>
      <c r="OMI24" s="252"/>
      <c r="OMJ24" s="252"/>
      <c r="OMK24" s="252"/>
      <c r="OML24" s="252"/>
      <c r="OMM24" s="252"/>
      <c r="OMN24" s="252"/>
      <c r="OMO24" s="252"/>
      <c r="OMP24" s="252"/>
      <c r="OMQ24" s="252"/>
      <c r="OMR24" s="252"/>
      <c r="OMS24" s="252"/>
      <c r="OMT24" s="252"/>
      <c r="OMU24" s="252"/>
      <c r="OMV24" s="252"/>
      <c r="OMW24" s="252"/>
      <c r="OMX24" s="252"/>
      <c r="OMY24" s="252"/>
      <c r="OMZ24" s="252"/>
      <c r="ONA24" s="252"/>
      <c r="ONB24" s="252"/>
      <c r="ONC24" s="252"/>
      <c r="OND24" s="252"/>
      <c r="ONE24" s="252"/>
      <c r="ONF24" s="252"/>
      <c r="ONG24" s="252"/>
      <c r="ONH24" s="252"/>
      <c r="ONI24" s="252"/>
      <c r="ONJ24" s="252"/>
      <c r="ONK24" s="252"/>
      <c r="ONL24" s="252"/>
      <c r="ONM24" s="252"/>
      <c r="ONN24" s="252"/>
      <c r="ONO24" s="252"/>
      <c r="ONP24" s="252"/>
      <c r="ONQ24" s="252"/>
      <c r="ONR24" s="252"/>
      <c r="ONS24" s="252"/>
      <c r="ONT24" s="252"/>
      <c r="ONU24" s="252"/>
      <c r="ONV24" s="252"/>
      <c r="ONW24" s="252"/>
      <c r="ONX24" s="252"/>
      <c r="ONY24" s="252"/>
      <c r="ONZ24" s="252"/>
      <c r="OOA24" s="252"/>
      <c r="OOB24" s="252"/>
      <c r="OOC24" s="252"/>
      <c r="OOD24" s="252"/>
      <c r="OOE24" s="252"/>
      <c r="OOF24" s="252"/>
      <c r="OOG24" s="252"/>
      <c r="OOH24" s="252"/>
      <c r="OOI24" s="252"/>
      <c r="OOJ24" s="252"/>
      <c r="OOK24" s="252"/>
      <c r="OOL24" s="252"/>
      <c r="OOM24" s="252"/>
      <c r="OON24" s="252"/>
      <c r="OOO24" s="252"/>
      <c r="OOP24" s="252"/>
      <c r="OOQ24" s="252"/>
      <c r="OOR24" s="252"/>
      <c r="OOS24" s="252"/>
      <c r="OOT24" s="252"/>
      <c r="OOU24" s="252"/>
      <c r="OOV24" s="252"/>
      <c r="OOW24" s="252"/>
      <c r="OOX24" s="252"/>
      <c r="OOY24" s="252"/>
      <c r="OOZ24" s="252"/>
      <c r="OPA24" s="252"/>
      <c r="OPB24" s="252"/>
      <c r="OPC24" s="252"/>
      <c r="OPD24" s="252"/>
      <c r="OPE24" s="252"/>
      <c r="OPF24" s="252"/>
      <c r="OPG24" s="252"/>
      <c r="OPH24" s="252"/>
      <c r="OPI24" s="252"/>
      <c r="OPJ24" s="252"/>
      <c r="OPK24" s="252"/>
      <c r="OPL24" s="252"/>
      <c r="OPM24" s="252"/>
      <c r="OPN24" s="252"/>
      <c r="OPO24" s="252"/>
      <c r="OPP24" s="252"/>
      <c r="OPQ24" s="252"/>
      <c r="OPR24" s="252"/>
      <c r="OPS24" s="252"/>
      <c r="OPT24" s="252"/>
      <c r="OPU24" s="252"/>
      <c r="OPV24" s="252"/>
      <c r="OPW24" s="252"/>
      <c r="OPX24" s="252"/>
      <c r="OPY24" s="252"/>
      <c r="OPZ24" s="252"/>
      <c r="OQA24" s="252"/>
      <c r="OQB24" s="252"/>
      <c r="OQC24" s="252"/>
      <c r="OQD24" s="252"/>
      <c r="OQE24" s="252"/>
      <c r="OQF24" s="252"/>
      <c r="OQG24" s="252"/>
      <c r="OQH24" s="252"/>
      <c r="OQI24" s="252"/>
      <c r="OQJ24" s="252"/>
      <c r="OQK24" s="252"/>
      <c r="OQL24" s="252"/>
      <c r="OQM24" s="252"/>
      <c r="OQN24" s="252"/>
      <c r="OQO24" s="252"/>
      <c r="OQP24" s="252"/>
      <c r="OQQ24" s="252"/>
      <c r="OQR24" s="252"/>
      <c r="OQS24" s="252"/>
      <c r="OQT24" s="252"/>
      <c r="OQU24" s="252"/>
      <c r="OQV24" s="252"/>
      <c r="OQW24" s="252"/>
      <c r="OQX24" s="252"/>
      <c r="OQY24" s="252"/>
      <c r="OQZ24" s="252"/>
      <c r="ORA24" s="252"/>
      <c r="ORB24" s="252"/>
      <c r="ORC24" s="252"/>
      <c r="ORD24" s="252"/>
      <c r="ORE24" s="252"/>
      <c r="ORF24" s="252"/>
      <c r="ORG24" s="252"/>
      <c r="ORH24" s="252"/>
      <c r="ORI24" s="252"/>
      <c r="ORJ24" s="252"/>
      <c r="ORK24" s="252"/>
      <c r="ORL24" s="252"/>
      <c r="ORM24" s="252"/>
      <c r="ORN24" s="252"/>
      <c r="ORO24" s="252"/>
      <c r="ORP24" s="252"/>
      <c r="ORQ24" s="252"/>
      <c r="ORR24" s="252"/>
      <c r="ORS24" s="252"/>
      <c r="ORT24" s="252"/>
      <c r="ORU24" s="252"/>
      <c r="ORV24" s="252"/>
      <c r="ORW24" s="252"/>
      <c r="ORX24" s="252"/>
      <c r="ORY24" s="252"/>
      <c r="ORZ24" s="252"/>
      <c r="OSA24" s="252"/>
      <c r="OSB24" s="252"/>
      <c r="OSC24" s="252"/>
      <c r="OSD24" s="252"/>
      <c r="OSE24" s="252"/>
      <c r="OSF24" s="252"/>
      <c r="OSG24" s="252"/>
      <c r="OSH24" s="252"/>
      <c r="OSI24" s="252"/>
      <c r="OSJ24" s="252"/>
      <c r="OSK24" s="252"/>
      <c r="OSL24" s="252"/>
      <c r="OSM24" s="252"/>
      <c r="OSN24" s="252"/>
      <c r="OSO24" s="252"/>
      <c r="OSP24" s="252"/>
      <c r="OSQ24" s="252"/>
      <c r="OSR24" s="252"/>
      <c r="OSS24" s="252"/>
      <c r="OST24" s="252"/>
      <c r="OSU24" s="252"/>
      <c r="OSV24" s="252"/>
      <c r="OSW24" s="252"/>
      <c r="OSX24" s="252"/>
      <c r="OSY24" s="252"/>
      <c r="OSZ24" s="252"/>
      <c r="OTA24" s="252"/>
      <c r="OTB24" s="252"/>
      <c r="OTC24" s="252"/>
      <c r="OTD24" s="252"/>
      <c r="OTE24" s="252"/>
      <c r="OTF24" s="252"/>
      <c r="OTG24" s="252"/>
      <c r="OTH24" s="252"/>
      <c r="OTI24" s="252"/>
      <c r="OTJ24" s="252"/>
      <c r="OTK24" s="252"/>
      <c r="OTL24" s="252"/>
      <c r="OTM24" s="252"/>
      <c r="OTN24" s="252"/>
      <c r="OTO24" s="252"/>
      <c r="OTP24" s="252"/>
      <c r="OTQ24" s="252"/>
      <c r="OTR24" s="252"/>
      <c r="OTS24" s="252"/>
      <c r="OTT24" s="252"/>
      <c r="OTU24" s="252"/>
      <c r="OTV24" s="252"/>
      <c r="OTW24" s="252"/>
      <c r="OTX24" s="252"/>
      <c r="OTY24" s="252"/>
      <c r="OTZ24" s="252"/>
      <c r="OUA24" s="252"/>
      <c r="OUB24" s="252"/>
      <c r="OUC24" s="252"/>
      <c r="OUD24" s="252"/>
      <c r="OUE24" s="252"/>
      <c r="OUF24" s="252"/>
      <c r="OUG24" s="252"/>
      <c r="OUH24" s="252"/>
      <c r="OUI24" s="252"/>
      <c r="OUJ24" s="252"/>
      <c r="OUK24" s="252"/>
      <c r="OUL24" s="252"/>
      <c r="OUM24" s="252"/>
      <c r="OUN24" s="252"/>
      <c r="OUO24" s="252"/>
      <c r="OUP24" s="252"/>
      <c r="OUQ24" s="252"/>
      <c r="OUR24" s="252"/>
      <c r="OUS24" s="252"/>
      <c r="OUT24" s="252"/>
      <c r="OUU24" s="252"/>
      <c r="OUV24" s="252"/>
      <c r="OUW24" s="252"/>
      <c r="OUX24" s="252"/>
      <c r="OUY24" s="252"/>
      <c r="OUZ24" s="252"/>
      <c r="OVA24" s="252"/>
      <c r="OVB24" s="252"/>
      <c r="OVC24" s="252"/>
      <c r="OVD24" s="252"/>
      <c r="OVE24" s="252"/>
      <c r="OVF24" s="252"/>
      <c r="OVG24" s="252"/>
      <c r="OVH24" s="252"/>
      <c r="OVI24" s="252"/>
      <c r="OVJ24" s="252"/>
      <c r="OVK24" s="252"/>
      <c r="OVL24" s="252"/>
      <c r="OVM24" s="252"/>
      <c r="OVN24" s="252"/>
      <c r="OVO24" s="252"/>
      <c r="OVP24" s="252"/>
      <c r="OVQ24" s="252"/>
      <c r="OVR24" s="252"/>
      <c r="OVS24" s="252"/>
      <c r="OVT24" s="252"/>
      <c r="OVU24" s="252"/>
      <c r="OVV24" s="252"/>
      <c r="OVW24" s="252"/>
      <c r="OVX24" s="252"/>
      <c r="OVY24" s="252"/>
      <c r="OVZ24" s="252"/>
      <c r="OWA24" s="252"/>
      <c r="OWB24" s="252"/>
      <c r="OWC24" s="252"/>
      <c r="OWD24" s="252"/>
      <c r="OWE24" s="252"/>
      <c r="OWF24" s="252"/>
      <c r="OWG24" s="252"/>
      <c r="OWH24" s="252"/>
      <c r="OWI24" s="252"/>
      <c r="OWJ24" s="252"/>
      <c r="OWK24" s="252"/>
      <c r="OWL24" s="252"/>
      <c r="OWM24" s="252"/>
      <c r="OWN24" s="252"/>
      <c r="OWO24" s="252"/>
      <c r="OWP24" s="252"/>
      <c r="OWQ24" s="252"/>
      <c r="OWR24" s="252"/>
      <c r="OWS24" s="252"/>
      <c r="OWT24" s="252"/>
      <c r="OWU24" s="252"/>
      <c r="OWV24" s="252"/>
      <c r="OWW24" s="252"/>
      <c r="OWX24" s="252"/>
      <c r="OWY24" s="252"/>
      <c r="OWZ24" s="252"/>
      <c r="OXA24" s="252"/>
      <c r="OXB24" s="252"/>
      <c r="OXC24" s="252"/>
      <c r="OXD24" s="252"/>
      <c r="OXE24" s="252"/>
      <c r="OXF24" s="252"/>
      <c r="OXG24" s="252"/>
      <c r="OXH24" s="252"/>
      <c r="OXI24" s="252"/>
      <c r="OXJ24" s="252"/>
      <c r="OXK24" s="252"/>
      <c r="OXL24" s="252"/>
      <c r="OXM24" s="252"/>
      <c r="OXN24" s="252"/>
      <c r="OXO24" s="252"/>
      <c r="OXP24" s="252"/>
      <c r="OXQ24" s="252"/>
      <c r="OXR24" s="252"/>
      <c r="OXS24" s="252"/>
      <c r="OXT24" s="252"/>
      <c r="OXU24" s="252"/>
      <c r="OXV24" s="252"/>
      <c r="OXW24" s="252"/>
      <c r="OXX24" s="252"/>
      <c r="OXY24" s="252"/>
      <c r="OXZ24" s="252"/>
      <c r="OYA24" s="252"/>
      <c r="OYB24" s="252"/>
      <c r="OYC24" s="252"/>
      <c r="OYD24" s="252"/>
      <c r="OYE24" s="252"/>
      <c r="OYF24" s="252"/>
      <c r="OYG24" s="252"/>
      <c r="OYH24" s="252"/>
      <c r="OYI24" s="252"/>
      <c r="OYJ24" s="252"/>
      <c r="OYK24" s="252"/>
      <c r="OYL24" s="252"/>
      <c r="OYM24" s="252"/>
      <c r="OYN24" s="252"/>
      <c r="OYO24" s="252"/>
      <c r="OYP24" s="252"/>
      <c r="OYQ24" s="252"/>
      <c r="OYR24" s="252"/>
      <c r="OYS24" s="252"/>
      <c r="OYT24" s="252"/>
      <c r="OYU24" s="252"/>
      <c r="OYV24" s="252"/>
      <c r="OYW24" s="252"/>
      <c r="OYX24" s="252"/>
      <c r="OYY24" s="252"/>
      <c r="OYZ24" s="252"/>
      <c r="OZA24" s="252"/>
      <c r="OZB24" s="252"/>
      <c r="OZC24" s="252"/>
      <c r="OZD24" s="252"/>
      <c r="OZE24" s="252"/>
      <c r="OZF24" s="252"/>
      <c r="OZG24" s="252"/>
      <c r="OZH24" s="252"/>
      <c r="OZI24" s="252"/>
      <c r="OZJ24" s="252"/>
      <c r="OZK24" s="252"/>
      <c r="OZL24" s="252"/>
      <c r="OZM24" s="252"/>
      <c r="OZN24" s="252"/>
      <c r="OZO24" s="252"/>
      <c r="OZP24" s="252"/>
      <c r="OZQ24" s="252"/>
      <c r="OZR24" s="252"/>
      <c r="OZS24" s="252"/>
      <c r="OZT24" s="252"/>
      <c r="OZU24" s="252"/>
      <c r="OZV24" s="252"/>
      <c r="OZW24" s="252"/>
      <c r="OZX24" s="252"/>
      <c r="OZY24" s="252"/>
      <c r="OZZ24" s="252"/>
      <c r="PAA24" s="252"/>
      <c r="PAB24" s="252"/>
      <c r="PAC24" s="252"/>
      <c r="PAD24" s="252"/>
      <c r="PAE24" s="252"/>
      <c r="PAF24" s="252"/>
      <c r="PAG24" s="252"/>
      <c r="PAH24" s="252"/>
      <c r="PAI24" s="252"/>
      <c r="PAJ24" s="252"/>
      <c r="PAK24" s="252"/>
      <c r="PAL24" s="252"/>
      <c r="PAM24" s="252"/>
      <c r="PAN24" s="252"/>
      <c r="PAO24" s="252"/>
      <c r="PAP24" s="252"/>
      <c r="PAQ24" s="252"/>
      <c r="PAR24" s="252"/>
      <c r="PAS24" s="252"/>
      <c r="PAT24" s="252"/>
      <c r="PAU24" s="252"/>
      <c r="PAV24" s="252"/>
      <c r="PAW24" s="252"/>
      <c r="PAX24" s="252"/>
      <c r="PAY24" s="252"/>
      <c r="PAZ24" s="252"/>
      <c r="PBA24" s="252"/>
      <c r="PBB24" s="252"/>
      <c r="PBC24" s="252"/>
      <c r="PBD24" s="252"/>
      <c r="PBE24" s="252"/>
      <c r="PBF24" s="252"/>
      <c r="PBG24" s="252"/>
      <c r="PBH24" s="252"/>
      <c r="PBI24" s="252"/>
      <c r="PBJ24" s="252"/>
      <c r="PBK24" s="252"/>
      <c r="PBL24" s="252"/>
      <c r="PBM24" s="252"/>
      <c r="PBN24" s="252"/>
      <c r="PBO24" s="252"/>
      <c r="PBP24" s="252"/>
      <c r="PBQ24" s="252"/>
      <c r="PBR24" s="252"/>
      <c r="PBS24" s="252"/>
      <c r="PBT24" s="252"/>
      <c r="PBU24" s="252"/>
      <c r="PBV24" s="252"/>
      <c r="PBW24" s="252"/>
      <c r="PBX24" s="252"/>
      <c r="PBY24" s="252"/>
      <c r="PBZ24" s="252"/>
      <c r="PCA24" s="252"/>
      <c r="PCB24" s="252"/>
      <c r="PCC24" s="252"/>
      <c r="PCD24" s="252"/>
      <c r="PCE24" s="252"/>
      <c r="PCF24" s="252"/>
      <c r="PCG24" s="252"/>
      <c r="PCH24" s="252"/>
      <c r="PCI24" s="252"/>
      <c r="PCJ24" s="252"/>
      <c r="PCK24" s="252"/>
      <c r="PCL24" s="252"/>
      <c r="PCM24" s="252"/>
      <c r="PCN24" s="252"/>
      <c r="PCO24" s="252"/>
      <c r="PCP24" s="252"/>
      <c r="PCQ24" s="252"/>
      <c r="PCR24" s="252"/>
      <c r="PCS24" s="252"/>
      <c r="PCT24" s="252"/>
      <c r="PCU24" s="252"/>
      <c r="PCV24" s="252"/>
      <c r="PCW24" s="252"/>
      <c r="PCX24" s="252"/>
      <c r="PCY24" s="252"/>
      <c r="PCZ24" s="252"/>
      <c r="PDA24" s="252"/>
      <c r="PDB24" s="252"/>
      <c r="PDC24" s="252"/>
      <c r="PDD24" s="252"/>
      <c r="PDE24" s="252"/>
      <c r="PDF24" s="252"/>
      <c r="PDG24" s="252"/>
      <c r="PDH24" s="252"/>
      <c r="PDI24" s="252"/>
      <c r="PDJ24" s="252"/>
      <c r="PDK24" s="252"/>
      <c r="PDL24" s="252"/>
      <c r="PDM24" s="252"/>
      <c r="PDN24" s="252"/>
      <c r="PDO24" s="252"/>
      <c r="PDP24" s="252"/>
      <c r="PDQ24" s="252"/>
      <c r="PDR24" s="252"/>
      <c r="PDS24" s="252"/>
      <c r="PDT24" s="252"/>
      <c r="PDU24" s="252"/>
      <c r="PDV24" s="252"/>
      <c r="PDW24" s="252"/>
      <c r="PDX24" s="252"/>
      <c r="PDY24" s="252"/>
      <c r="PDZ24" s="252"/>
      <c r="PEA24" s="252"/>
      <c r="PEB24" s="252"/>
      <c r="PEC24" s="252"/>
      <c r="PED24" s="252"/>
      <c r="PEE24" s="252"/>
      <c r="PEF24" s="252"/>
      <c r="PEG24" s="252"/>
      <c r="PEH24" s="252"/>
      <c r="PEI24" s="252"/>
      <c r="PEJ24" s="252"/>
      <c r="PEK24" s="252"/>
      <c r="PEL24" s="252"/>
      <c r="PEM24" s="252"/>
      <c r="PEN24" s="252"/>
      <c r="PEO24" s="252"/>
      <c r="PEP24" s="252"/>
      <c r="PEQ24" s="252"/>
      <c r="PER24" s="252"/>
      <c r="PES24" s="252"/>
      <c r="PET24" s="252"/>
      <c r="PEU24" s="252"/>
      <c r="PEV24" s="252"/>
      <c r="PEW24" s="252"/>
      <c r="PEX24" s="252"/>
      <c r="PEY24" s="252"/>
      <c r="PEZ24" s="252"/>
      <c r="PFA24" s="252"/>
      <c r="PFB24" s="252"/>
      <c r="PFC24" s="252"/>
      <c r="PFD24" s="252"/>
      <c r="PFE24" s="252"/>
      <c r="PFF24" s="252"/>
      <c r="PFG24" s="252"/>
      <c r="PFH24" s="252"/>
      <c r="PFI24" s="252"/>
      <c r="PFJ24" s="252"/>
      <c r="PFK24" s="252"/>
      <c r="PFL24" s="252"/>
      <c r="PFM24" s="252"/>
      <c r="PFN24" s="252"/>
      <c r="PFO24" s="252"/>
      <c r="PFP24" s="252"/>
      <c r="PFQ24" s="252"/>
      <c r="PFR24" s="252"/>
      <c r="PFS24" s="252"/>
      <c r="PFT24" s="252"/>
      <c r="PFU24" s="252"/>
      <c r="PFV24" s="252"/>
      <c r="PFW24" s="252"/>
      <c r="PFX24" s="252"/>
      <c r="PFY24" s="252"/>
      <c r="PFZ24" s="252"/>
      <c r="PGA24" s="252"/>
      <c r="PGB24" s="252"/>
      <c r="PGC24" s="252"/>
      <c r="PGD24" s="252"/>
      <c r="PGE24" s="252"/>
      <c r="PGF24" s="252"/>
      <c r="PGG24" s="252"/>
      <c r="PGH24" s="252"/>
      <c r="PGI24" s="252"/>
      <c r="PGJ24" s="252"/>
      <c r="PGK24" s="252"/>
      <c r="PGL24" s="252"/>
      <c r="PGM24" s="252"/>
      <c r="PGN24" s="252"/>
      <c r="PGO24" s="252"/>
      <c r="PGP24" s="252"/>
      <c r="PGQ24" s="252"/>
      <c r="PGR24" s="252"/>
      <c r="PGS24" s="252"/>
      <c r="PGT24" s="252"/>
      <c r="PGU24" s="252"/>
      <c r="PGV24" s="252"/>
      <c r="PGW24" s="252"/>
      <c r="PGX24" s="252"/>
      <c r="PGY24" s="252"/>
      <c r="PGZ24" s="252"/>
      <c r="PHA24" s="252"/>
      <c r="PHB24" s="252"/>
      <c r="PHC24" s="252"/>
      <c r="PHD24" s="252"/>
      <c r="PHE24" s="252"/>
      <c r="PHF24" s="252"/>
      <c r="PHG24" s="252"/>
      <c r="PHH24" s="252"/>
      <c r="PHI24" s="252"/>
      <c r="PHJ24" s="252"/>
      <c r="PHK24" s="252"/>
      <c r="PHL24" s="252"/>
      <c r="PHM24" s="252"/>
      <c r="PHN24" s="252"/>
      <c r="PHO24" s="252"/>
      <c r="PHP24" s="252"/>
      <c r="PHQ24" s="252"/>
      <c r="PHR24" s="252"/>
      <c r="PHS24" s="252"/>
      <c r="PHT24" s="252"/>
      <c r="PHU24" s="252"/>
      <c r="PHV24" s="252"/>
      <c r="PHW24" s="252"/>
      <c r="PHX24" s="252"/>
      <c r="PHY24" s="252"/>
      <c r="PHZ24" s="252"/>
      <c r="PIA24" s="252"/>
      <c r="PIB24" s="252"/>
      <c r="PIC24" s="252"/>
      <c r="PID24" s="252"/>
      <c r="PIE24" s="252"/>
      <c r="PIF24" s="252"/>
      <c r="PIG24" s="252"/>
      <c r="PIH24" s="252"/>
      <c r="PII24" s="252"/>
      <c r="PIJ24" s="252"/>
      <c r="PIK24" s="252"/>
      <c r="PIL24" s="252"/>
      <c r="PIM24" s="252"/>
      <c r="PIN24" s="252"/>
      <c r="PIO24" s="252"/>
      <c r="PIP24" s="252"/>
      <c r="PIQ24" s="252"/>
      <c r="PIR24" s="252"/>
      <c r="PIS24" s="252"/>
      <c r="PIT24" s="252"/>
      <c r="PIU24" s="252"/>
      <c r="PIV24" s="252"/>
      <c r="PIW24" s="252"/>
      <c r="PIX24" s="252"/>
      <c r="PIY24" s="252"/>
      <c r="PIZ24" s="252"/>
      <c r="PJA24" s="252"/>
      <c r="PJB24" s="252"/>
      <c r="PJC24" s="252"/>
      <c r="PJD24" s="252"/>
      <c r="PJE24" s="252"/>
      <c r="PJF24" s="252"/>
      <c r="PJG24" s="252"/>
      <c r="PJH24" s="252"/>
      <c r="PJI24" s="252"/>
      <c r="PJJ24" s="252"/>
      <c r="PJK24" s="252"/>
      <c r="PJL24" s="252"/>
      <c r="PJM24" s="252"/>
      <c r="PJN24" s="252"/>
      <c r="PJO24" s="252"/>
      <c r="PJP24" s="252"/>
      <c r="PJQ24" s="252"/>
      <c r="PJR24" s="252"/>
      <c r="PJS24" s="252"/>
      <c r="PJT24" s="252"/>
      <c r="PJU24" s="252"/>
      <c r="PJV24" s="252"/>
      <c r="PJW24" s="252"/>
      <c r="PJX24" s="252"/>
      <c r="PJY24" s="252"/>
      <c r="PJZ24" s="252"/>
      <c r="PKA24" s="252"/>
      <c r="PKB24" s="252"/>
      <c r="PKC24" s="252"/>
      <c r="PKD24" s="252"/>
      <c r="PKE24" s="252"/>
      <c r="PKF24" s="252"/>
      <c r="PKG24" s="252"/>
      <c r="PKH24" s="252"/>
      <c r="PKI24" s="252"/>
      <c r="PKJ24" s="252"/>
      <c r="PKK24" s="252"/>
      <c r="PKL24" s="252"/>
      <c r="PKM24" s="252"/>
      <c r="PKN24" s="252"/>
      <c r="PKO24" s="252"/>
      <c r="PKP24" s="252"/>
      <c r="PKQ24" s="252"/>
      <c r="PKR24" s="252"/>
      <c r="PKS24" s="252"/>
      <c r="PKT24" s="252"/>
      <c r="PKU24" s="252"/>
      <c r="PKV24" s="252"/>
      <c r="PKW24" s="252"/>
      <c r="PKX24" s="252"/>
      <c r="PKY24" s="252"/>
      <c r="PKZ24" s="252"/>
      <c r="PLA24" s="252"/>
      <c r="PLB24" s="252"/>
      <c r="PLC24" s="252"/>
      <c r="PLD24" s="252"/>
      <c r="PLE24" s="252"/>
      <c r="PLF24" s="252"/>
      <c r="PLG24" s="252"/>
      <c r="PLH24" s="252"/>
      <c r="PLI24" s="252"/>
      <c r="PLJ24" s="252"/>
      <c r="PLK24" s="252"/>
      <c r="PLL24" s="252"/>
      <c r="PLM24" s="252"/>
      <c r="PLN24" s="252"/>
      <c r="PLO24" s="252"/>
      <c r="PLP24" s="252"/>
      <c r="PLQ24" s="252"/>
      <c r="PLR24" s="252"/>
      <c r="PLS24" s="252"/>
      <c r="PLT24" s="252"/>
      <c r="PLU24" s="252"/>
      <c r="PLV24" s="252"/>
      <c r="PLW24" s="252"/>
      <c r="PLX24" s="252"/>
      <c r="PLY24" s="252"/>
      <c r="PLZ24" s="252"/>
      <c r="PMA24" s="252"/>
      <c r="PMB24" s="252"/>
      <c r="PMC24" s="252"/>
      <c r="PMD24" s="252"/>
      <c r="PME24" s="252"/>
      <c r="PMF24" s="252"/>
      <c r="PMG24" s="252"/>
      <c r="PMH24" s="252"/>
      <c r="PMI24" s="252"/>
      <c r="PMJ24" s="252"/>
      <c r="PMK24" s="252"/>
      <c r="PML24" s="252"/>
      <c r="PMM24" s="252"/>
      <c r="PMN24" s="252"/>
      <c r="PMO24" s="252"/>
      <c r="PMP24" s="252"/>
      <c r="PMQ24" s="252"/>
      <c r="PMR24" s="252"/>
      <c r="PMS24" s="252"/>
      <c r="PMT24" s="252"/>
      <c r="PMU24" s="252"/>
      <c r="PMV24" s="252"/>
      <c r="PMW24" s="252"/>
      <c r="PMX24" s="252"/>
      <c r="PMY24" s="252"/>
      <c r="PMZ24" s="252"/>
      <c r="PNA24" s="252"/>
      <c r="PNB24" s="252"/>
      <c r="PNC24" s="252"/>
      <c r="PND24" s="252"/>
      <c r="PNE24" s="252"/>
      <c r="PNF24" s="252"/>
      <c r="PNG24" s="252"/>
      <c r="PNH24" s="252"/>
      <c r="PNI24" s="252"/>
      <c r="PNJ24" s="252"/>
      <c r="PNK24" s="252"/>
      <c r="PNL24" s="252"/>
      <c r="PNM24" s="252"/>
      <c r="PNN24" s="252"/>
      <c r="PNO24" s="252"/>
      <c r="PNP24" s="252"/>
      <c r="PNQ24" s="252"/>
      <c r="PNR24" s="252"/>
      <c r="PNS24" s="252"/>
      <c r="PNT24" s="252"/>
      <c r="PNU24" s="252"/>
      <c r="PNV24" s="252"/>
      <c r="PNW24" s="252"/>
      <c r="PNX24" s="252"/>
      <c r="PNY24" s="252"/>
      <c r="PNZ24" s="252"/>
      <c r="POA24" s="252"/>
      <c r="POB24" s="252"/>
      <c r="POC24" s="252"/>
      <c r="POD24" s="252"/>
      <c r="POE24" s="252"/>
      <c r="POF24" s="252"/>
      <c r="POG24" s="252"/>
      <c r="POH24" s="252"/>
      <c r="POI24" s="252"/>
      <c r="POJ24" s="252"/>
      <c r="POK24" s="252"/>
      <c r="POL24" s="252"/>
      <c r="POM24" s="252"/>
      <c r="PON24" s="252"/>
      <c r="POO24" s="252"/>
      <c r="POP24" s="252"/>
      <c r="POQ24" s="252"/>
      <c r="POR24" s="252"/>
      <c r="POS24" s="252"/>
      <c r="POT24" s="252"/>
      <c r="POU24" s="252"/>
      <c r="POV24" s="252"/>
      <c r="POW24" s="252"/>
      <c r="POX24" s="252"/>
      <c r="POY24" s="252"/>
      <c r="POZ24" s="252"/>
      <c r="PPA24" s="252"/>
      <c r="PPB24" s="252"/>
      <c r="PPC24" s="252"/>
      <c r="PPD24" s="252"/>
      <c r="PPE24" s="252"/>
      <c r="PPF24" s="252"/>
      <c r="PPG24" s="252"/>
      <c r="PPH24" s="252"/>
      <c r="PPI24" s="252"/>
      <c r="PPJ24" s="252"/>
      <c r="PPK24" s="252"/>
      <c r="PPL24" s="252"/>
      <c r="PPM24" s="252"/>
      <c r="PPN24" s="252"/>
      <c r="PPO24" s="252"/>
      <c r="PPP24" s="252"/>
      <c r="PPQ24" s="252"/>
      <c r="PPR24" s="252"/>
      <c r="PPS24" s="252"/>
      <c r="PPT24" s="252"/>
      <c r="PPU24" s="252"/>
      <c r="PPV24" s="252"/>
      <c r="PPW24" s="252"/>
      <c r="PPX24" s="252"/>
      <c r="PPY24" s="252"/>
      <c r="PPZ24" s="252"/>
      <c r="PQA24" s="252"/>
      <c r="PQB24" s="252"/>
      <c r="PQC24" s="252"/>
      <c r="PQD24" s="252"/>
      <c r="PQE24" s="252"/>
      <c r="PQF24" s="252"/>
      <c r="PQG24" s="252"/>
      <c r="PQH24" s="252"/>
      <c r="PQI24" s="252"/>
      <c r="PQJ24" s="252"/>
      <c r="PQK24" s="252"/>
      <c r="PQL24" s="252"/>
      <c r="PQM24" s="252"/>
      <c r="PQN24" s="252"/>
      <c r="PQO24" s="252"/>
      <c r="PQP24" s="252"/>
      <c r="PQQ24" s="252"/>
      <c r="PQR24" s="252"/>
      <c r="PQS24" s="252"/>
      <c r="PQT24" s="252"/>
      <c r="PQU24" s="252"/>
      <c r="PQV24" s="252"/>
      <c r="PQW24" s="252"/>
      <c r="PQX24" s="252"/>
      <c r="PQY24" s="252"/>
      <c r="PQZ24" s="252"/>
      <c r="PRA24" s="252"/>
      <c r="PRB24" s="252"/>
      <c r="PRC24" s="252"/>
      <c r="PRD24" s="252"/>
      <c r="PRE24" s="252"/>
      <c r="PRF24" s="252"/>
      <c r="PRG24" s="252"/>
      <c r="PRH24" s="252"/>
      <c r="PRI24" s="252"/>
      <c r="PRJ24" s="252"/>
      <c r="PRK24" s="252"/>
      <c r="PRL24" s="252"/>
      <c r="PRM24" s="252"/>
      <c r="PRN24" s="252"/>
      <c r="PRO24" s="252"/>
      <c r="PRP24" s="252"/>
      <c r="PRQ24" s="252"/>
      <c r="PRR24" s="252"/>
      <c r="PRS24" s="252"/>
      <c r="PRT24" s="252"/>
      <c r="PRU24" s="252"/>
      <c r="PRV24" s="252"/>
      <c r="PRW24" s="252"/>
      <c r="PRX24" s="252"/>
      <c r="PRY24" s="252"/>
      <c r="PRZ24" s="252"/>
      <c r="PSA24" s="252"/>
      <c r="PSB24" s="252"/>
      <c r="PSC24" s="252"/>
      <c r="PSD24" s="252"/>
      <c r="PSE24" s="252"/>
      <c r="PSF24" s="252"/>
      <c r="PSG24" s="252"/>
      <c r="PSH24" s="252"/>
      <c r="PSI24" s="252"/>
      <c r="PSJ24" s="252"/>
      <c r="PSK24" s="252"/>
      <c r="PSL24" s="252"/>
      <c r="PSM24" s="252"/>
      <c r="PSN24" s="252"/>
      <c r="PSO24" s="252"/>
      <c r="PSP24" s="252"/>
      <c r="PSQ24" s="252"/>
      <c r="PSR24" s="252"/>
      <c r="PSS24" s="252"/>
      <c r="PST24" s="252"/>
      <c r="PSU24" s="252"/>
      <c r="PSV24" s="252"/>
      <c r="PSW24" s="252"/>
      <c r="PSX24" s="252"/>
      <c r="PSY24" s="252"/>
      <c r="PSZ24" s="252"/>
      <c r="PTA24" s="252"/>
      <c r="PTB24" s="252"/>
      <c r="PTC24" s="252"/>
      <c r="PTD24" s="252"/>
      <c r="PTE24" s="252"/>
      <c r="PTF24" s="252"/>
      <c r="PTG24" s="252"/>
      <c r="PTH24" s="252"/>
      <c r="PTI24" s="252"/>
      <c r="PTJ24" s="252"/>
      <c r="PTK24" s="252"/>
      <c r="PTL24" s="252"/>
      <c r="PTM24" s="252"/>
      <c r="PTN24" s="252"/>
      <c r="PTO24" s="252"/>
      <c r="PTP24" s="252"/>
      <c r="PTQ24" s="252"/>
      <c r="PTR24" s="252"/>
      <c r="PTS24" s="252"/>
      <c r="PTT24" s="252"/>
      <c r="PTU24" s="252"/>
      <c r="PTV24" s="252"/>
      <c r="PTW24" s="252"/>
      <c r="PTX24" s="252"/>
      <c r="PTY24" s="252"/>
      <c r="PTZ24" s="252"/>
      <c r="PUA24" s="252"/>
      <c r="PUB24" s="252"/>
      <c r="PUC24" s="252"/>
      <c r="PUD24" s="252"/>
      <c r="PUE24" s="252"/>
      <c r="PUF24" s="252"/>
      <c r="PUG24" s="252"/>
      <c r="PUH24" s="252"/>
      <c r="PUI24" s="252"/>
      <c r="PUJ24" s="252"/>
      <c r="PUK24" s="252"/>
      <c r="PUL24" s="252"/>
      <c r="PUM24" s="252"/>
      <c r="PUN24" s="252"/>
      <c r="PUO24" s="252"/>
      <c r="PUP24" s="252"/>
      <c r="PUQ24" s="252"/>
      <c r="PUR24" s="252"/>
      <c r="PUS24" s="252"/>
      <c r="PUT24" s="252"/>
      <c r="PUU24" s="252"/>
      <c r="PUV24" s="252"/>
      <c r="PUW24" s="252"/>
      <c r="PUX24" s="252"/>
      <c r="PUY24" s="252"/>
      <c r="PUZ24" s="252"/>
      <c r="PVA24" s="252"/>
      <c r="PVB24" s="252"/>
      <c r="PVC24" s="252"/>
      <c r="PVD24" s="252"/>
      <c r="PVE24" s="252"/>
      <c r="PVF24" s="252"/>
      <c r="PVG24" s="252"/>
      <c r="PVH24" s="252"/>
      <c r="PVI24" s="252"/>
      <c r="PVJ24" s="252"/>
      <c r="PVK24" s="252"/>
      <c r="PVL24" s="252"/>
      <c r="PVM24" s="252"/>
      <c r="PVN24" s="252"/>
      <c r="PVO24" s="252"/>
      <c r="PVP24" s="252"/>
      <c r="PVQ24" s="252"/>
      <c r="PVR24" s="252"/>
      <c r="PVS24" s="252"/>
      <c r="PVT24" s="252"/>
      <c r="PVU24" s="252"/>
      <c r="PVV24" s="252"/>
      <c r="PVW24" s="252"/>
      <c r="PVX24" s="252"/>
      <c r="PVY24" s="252"/>
      <c r="PVZ24" s="252"/>
      <c r="PWA24" s="252"/>
      <c r="PWB24" s="252"/>
      <c r="PWC24" s="252"/>
      <c r="PWD24" s="252"/>
      <c r="PWE24" s="252"/>
      <c r="PWF24" s="252"/>
      <c r="PWG24" s="252"/>
      <c r="PWH24" s="252"/>
      <c r="PWI24" s="252"/>
      <c r="PWJ24" s="252"/>
      <c r="PWK24" s="252"/>
      <c r="PWL24" s="252"/>
      <c r="PWM24" s="252"/>
      <c r="PWN24" s="252"/>
      <c r="PWO24" s="252"/>
      <c r="PWP24" s="252"/>
      <c r="PWQ24" s="252"/>
      <c r="PWR24" s="252"/>
      <c r="PWS24" s="252"/>
      <c r="PWT24" s="252"/>
      <c r="PWU24" s="252"/>
      <c r="PWV24" s="252"/>
      <c r="PWW24" s="252"/>
      <c r="PWX24" s="252"/>
      <c r="PWY24" s="252"/>
      <c r="PWZ24" s="252"/>
      <c r="PXA24" s="252"/>
      <c r="PXB24" s="252"/>
      <c r="PXC24" s="252"/>
      <c r="PXD24" s="252"/>
      <c r="PXE24" s="252"/>
      <c r="PXF24" s="252"/>
      <c r="PXG24" s="252"/>
      <c r="PXH24" s="252"/>
      <c r="PXI24" s="252"/>
      <c r="PXJ24" s="252"/>
      <c r="PXK24" s="252"/>
      <c r="PXL24" s="252"/>
      <c r="PXM24" s="252"/>
      <c r="PXN24" s="252"/>
      <c r="PXO24" s="252"/>
      <c r="PXP24" s="252"/>
      <c r="PXQ24" s="252"/>
      <c r="PXR24" s="252"/>
      <c r="PXS24" s="252"/>
      <c r="PXT24" s="252"/>
      <c r="PXU24" s="252"/>
      <c r="PXV24" s="252"/>
      <c r="PXW24" s="252"/>
      <c r="PXX24" s="252"/>
      <c r="PXY24" s="252"/>
      <c r="PXZ24" s="252"/>
      <c r="PYA24" s="252"/>
      <c r="PYB24" s="252"/>
      <c r="PYC24" s="252"/>
      <c r="PYD24" s="252"/>
      <c r="PYE24" s="252"/>
      <c r="PYF24" s="252"/>
      <c r="PYG24" s="252"/>
      <c r="PYH24" s="252"/>
      <c r="PYI24" s="252"/>
      <c r="PYJ24" s="252"/>
      <c r="PYK24" s="252"/>
      <c r="PYL24" s="252"/>
      <c r="PYM24" s="252"/>
      <c r="PYN24" s="252"/>
      <c r="PYO24" s="252"/>
      <c r="PYP24" s="252"/>
      <c r="PYQ24" s="252"/>
      <c r="PYR24" s="252"/>
      <c r="PYS24" s="252"/>
      <c r="PYT24" s="252"/>
      <c r="PYU24" s="252"/>
      <c r="PYV24" s="252"/>
      <c r="PYW24" s="252"/>
      <c r="PYX24" s="252"/>
      <c r="PYY24" s="252"/>
      <c r="PYZ24" s="252"/>
      <c r="PZA24" s="252"/>
      <c r="PZB24" s="252"/>
      <c r="PZC24" s="252"/>
      <c r="PZD24" s="252"/>
      <c r="PZE24" s="252"/>
      <c r="PZF24" s="252"/>
      <c r="PZG24" s="252"/>
      <c r="PZH24" s="252"/>
      <c r="PZI24" s="252"/>
      <c r="PZJ24" s="252"/>
      <c r="PZK24" s="252"/>
      <c r="PZL24" s="252"/>
      <c r="PZM24" s="252"/>
      <c r="PZN24" s="252"/>
      <c r="PZO24" s="252"/>
      <c r="PZP24" s="252"/>
      <c r="PZQ24" s="252"/>
      <c r="PZR24" s="252"/>
      <c r="PZS24" s="252"/>
      <c r="PZT24" s="252"/>
      <c r="PZU24" s="252"/>
      <c r="PZV24" s="252"/>
      <c r="PZW24" s="252"/>
      <c r="PZX24" s="252"/>
      <c r="PZY24" s="252"/>
      <c r="PZZ24" s="252"/>
      <c r="QAA24" s="252"/>
      <c r="QAB24" s="252"/>
      <c r="QAC24" s="252"/>
      <c r="QAD24" s="252"/>
      <c r="QAE24" s="252"/>
      <c r="QAF24" s="252"/>
      <c r="QAG24" s="252"/>
      <c r="QAH24" s="252"/>
      <c r="QAI24" s="252"/>
      <c r="QAJ24" s="252"/>
      <c r="QAK24" s="252"/>
      <c r="QAL24" s="252"/>
      <c r="QAM24" s="252"/>
      <c r="QAN24" s="252"/>
      <c r="QAO24" s="252"/>
      <c r="QAP24" s="252"/>
      <c r="QAQ24" s="252"/>
      <c r="QAR24" s="252"/>
      <c r="QAS24" s="252"/>
      <c r="QAT24" s="252"/>
      <c r="QAU24" s="252"/>
      <c r="QAV24" s="252"/>
      <c r="QAW24" s="252"/>
      <c r="QAX24" s="252"/>
      <c r="QAY24" s="252"/>
      <c r="QAZ24" s="252"/>
      <c r="QBA24" s="252"/>
      <c r="QBB24" s="252"/>
      <c r="QBC24" s="252"/>
      <c r="QBD24" s="252"/>
      <c r="QBE24" s="252"/>
      <c r="QBF24" s="252"/>
      <c r="QBG24" s="252"/>
      <c r="QBH24" s="252"/>
      <c r="QBI24" s="252"/>
      <c r="QBJ24" s="252"/>
      <c r="QBK24" s="252"/>
      <c r="QBL24" s="252"/>
      <c r="QBM24" s="252"/>
      <c r="QBN24" s="252"/>
      <c r="QBO24" s="252"/>
      <c r="QBP24" s="252"/>
      <c r="QBQ24" s="252"/>
      <c r="QBR24" s="252"/>
      <c r="QBS24" s="252"/>
      <c r="QBT24" s="252"/>
      <c r="QBU24" s="252"/>
      <c r="QBV24" s="252"/>
      <c r="QBW24" s="252"/>
      <c r="QBX24" s="252"/>
      <c r="QBY24" s="252"/>
      <c r="QBZ24" s="252"/>
      <c r="QCA24" s="252"/>
      <c r="QCB24" s="252"/>
      <c r="QCC24" s="252"/>
      <c r="QCD24" s="252"/>
      <c r="QCE24" s="252"/>
      <c r="QCF24" s="252"/>
      <c r="QCG24" s="252"/>
      <c r="QCH24" s="252"/>
      <c r="QCI24" s="252"/>
      <c r="QCJ24" s="252"/>
      <c r="QCK24" s="252"/>
      <c r="QCL24" s="252"/>
      <c r="QCM24" s="252"/>
      <c r="QCN24" s="252"/>
      <c r="QCO24" s="252"/>
      <c r="QCP24" s="252"/>
      <c r="QCQ24" s="252"/>
      <c r="QCR24" s="252"/>
      <c r="QCS24" s="252"/>
      <c r="QCT24" s="252"/>
      <c r="QCU24" s="252"/>
      <c r="QCV24" s="252"/>
      <c r="QCW24" s="252"/>
      <c r="QCX24" s="252"/>
      <c r="QCY24" s="252"/>
      <c r="QCZ24" s="252"/>
      <c r="QDA24" s="252"/>
      <c r="QDB24" s="252"/>
      <c r="QDC24" s="252"/>
      <c r="QDD24" s="252"/>
      <c r="QDE24" s="252"/>
      <c r="QDF24" s="252"/>
      <c r="QDG24" s="252"/>
      <c r="QDH24" s="252"/>
      <c r="QDI24" s="252"/>
      <c r="QDJ24" s="252"/>
      <c r="QDK24" s="252"/>
      <c r="QDL24" s="252"/>
      <c r="QDM24" s="252"/>
      <c r="QDN24" s="252"/>
      <c r="QDO24" s="252"/>
      <c r="QDP24" s="252"/>
      <c r="QDQ24" s="252"/>
      <c r="QDR24" s="252"/>
      <c r="QDS24" s="252"/>
      <c r="QDT24" s="252"/>
      <c r="QDU24" s="252"/>
      <c r="QDV24" s="252"/>
      <c r="QDW24" s="252"/>
      <c r="QDX24" s="252"/>
      <c r="QDY24" s="252"/>
      <c r="QDZ24" s="252"/>
      <c r="QEA24" s="252"/>
      <c r="QEB24" s="252"/>
      <c r="QEC24" s="252"/>
      <c r="QED24" s="252"/>
      <c r="QEE24" s="252"/>
      <c r="QEF24" s="252"/>
      <c r="QEG24" s="252"/>
      <c r="QEH24" s="252"/>
      <c r="QEI24" s="252"/>
      <c r="QEJ24" s="252"/>
      <c r="QEK24" s="252"/>
      <c r="QEL24" s="252"/>
      <c r="QEM24" s="252"/>
      <c r="QEN24" s="252"/>
      <c r="QEO24" s="252"/>
      <c r="QEP24" s="252"/>
      <c r="QEQ24" s="252"/>
      <c r="QER24" s="252"/>
      <c r="QES24" s="252"/>
      <c r="QET24" s="252"/>
      <c r="QEU24" s="252"/>
      <c r="QEV24" s="252"/>
      <c r="QEW24" s="252"/>
      <c r="QEX24" s="252"/>
      <c r="QEY24" s="252"/>
      <c r="QEZ24" s="252"/>
      <c r="QFA24" s="252"/>
      <c r="QFB24" s="252"/>
      <c r="QFC24" s="252"/>
      <c r="QFD24" s="252"/>
      <c r="QFE24" s="252"/>
      <c r="QFF24" s="252"/>
      <c r="QFG24" s="252"/>
      <c r="QFH24" s="252"/>
      <c r="QFI24" s="252"/>
      <c r="QFJ24" s="252"/>
      <c r="QFK24" s="252"/>
      <c r="QFL24" s="252"/>
      <c r="QFM24" s="252"/>
      <c r="QFN24" s="252"/>
      <c r="QFO24" s="252"/>
      <c r="QFP24" s="252"/>
      <c r="QFQ24" s="252"/>
      <c r="QFR24" s="252"/>
      <c r="QFS24" s="252"/>
      <c r="QFT24" s="252"/>
      <c r="QFU24" s="252"/>
      <c r="QFV24" s="252"/>
      <c r="QFW24" s="252"/>
      <c r="QFX24" s="252"/>
      <c r="QFY24" s="252"/>
      <c r="QFZ24" s="252"/>
      <c r="QGA24" s="252"/>
      <c r="QGB24" s="252"/>
      <c r="QGC24" s="252"/>
      <c r="QGD24" s="252"/>
      <c r="QGE24" s="252"/>
      <c r="QGF24" s="252"/>
      <c r="QGG24" s="252"/>
      <c r="QGH24" s="252"/>
      <c r="QGI24" s="252"/>
      <c r="QGJ24" s="252"/>
      <c r="QGK24" s="252"/>
      <c r="QGL24" s="252"/>
      <c r="QGM24" s="252"/>
      <c r="QGN24" s="252"/>
      <c r="QGO24" s="252"/>
      <c r="QGP24" s="252"/>
      <c r="QGQ24" s="252"/>
      <c r="QGR24" s="252"/>
      <c r="QGS24" s="252"/>
      <c r="QGT24" s="252"/>
      <c r="QGU24" s="252"/>
      <c r="QGV24" s="252"/>
      <c r="QGW24" s="252"/>
      <c r="QGX24" s="252"/>
      <c r="QGY24" s="252"/>
      <c r="QGZ24" s="252"/>
      <c r="QHA24" s="252"/>
      <c r="QHB24" s="252"/>
      <c r="QHC24" s="252"/>
      <c r="QHD24" s="252"/>
      <c r="QHE24" s="252"/>
      <c r="QHF24" s="252"/>
      <c r="QHG24" s="252"/>
      <c r="QHH24" s="252"/>
      <c r="QHI24" s="252"/>
      <c r="QHJ24" s="252"/>
      <c r="QHK24" s="252"/>
      <c r="QHL24" s="252"/>
      <c r="QHM24" s="252"/>
      <c r="QHN24" s="252"/>
      <c r="QHO24" s="252"/>
      <c r="QHP24" s="252"/>
      <c r="QHQ24" s="252"/>
      <c r="QHR24" s="252"/>
      <c r="QHS24" s="252"/>
      <c r="QHT24" s="252"/>
      <c r="QHU24" s="252"/>
      <c r="QHV24" s="252"/>
      <c r="QHW24" s="252"/>
      <c r="QHX24" s="252"/>
      <c r="QHY24" s="252"/>
      <c r="QHZ24" s="252"/>
      <c r="QIA24" s="252"/>
      <c r="QIB24" s="252"/>
      <c r="QIC24" s="252"/>
      <c r="QID24" s="252"/>
      <c r="QIE24" s="252"/>
      <c r="QIF24" s="252"/>
      <c r="QIG24" s="252"/>
      <c r="QIH24" s="252"/>
      <c r="QII24" s="252"/>
      <c r="QIJ24" s="252"/>
      <c r="QIK24" s="252"/>
      <c r="QIL24" s="252"/>
      <c r="QIM24" s="252"/>
      <c r="QIN24" s="252"/>
      <c r="QIO24" s="252"/>
      <c r="QIP24" s="252"/>
      <c r="QIQ24" s="252"/>
      <c r="QIR24" s="252"/>
      <c r="QIS24" s="252"/>
      <c r="QIT24" s="252"/>
      <c r="QIU24" s="252"/>
      <c r="QIV24" s="252"/>
      <c r="QIW24" s="252"/>
      <c r="QIX24" s="252"/>
      <c r="QIY24" s="252"/>
      <c r="QIZ24" s="252"/>
      <c r="QJA24" s="252"/>
      <c r="QJB24" s="252"/>
      <c r="QJC24" s="252"/>
      <c r="QJD24" s="252"/>
      <c r="QJE24" s="252"/>
      <c r="QJF24" s="252"/>
      <c r="QJG24" s="252"/>
      <c r="QJH24" s="252"/>
      <c r="QJI24" s="252"/>
      <c r="QJJ24" s="252"/>
      <c r="QJK24" s="252"/>
      <c r="QJL24" s="252"/>
      <c r="QJM24" s="252"/>
      <c r="QJN24" s="252"/>
      <c r="QJO24" s="252"/>
      <c r="QJP24" s="252"/>
      <c r="QJQ24" s="252"/>
      <c r="QJR24" s="252"/>
      <c r="QJS24" s="252"/>
      <c r="QJT24" s="252"/>
      <c r="QJU24" s="252"/>
      <c r="QJV24" s="252"/>
      <c r="QJW24" s="252"/>
      <c r="QJX24" s="252"/>
      <c r="QJY24" s="252"/>
      <c r="QJZ24" s="252"/>
      <c r="QKA24" s="252"/>
      <c r="QKB24" s="252"/>
      <c r="QKC24" s="252"/>
      <c r="QKD24" s="252"/>
      <c r="QKE24" s="252"/>
      <c r="QKF24" s="252"/>
      <c r="QKG24" s="252"/>
      <c r="QKH24" s="252"/>
      <c r="QKI24" s="252"/>
      <c r="QKJ24" s="252"/>
      <c r="QKK24" s="252"/>
      <c r="QKL24" s="252"/>
      <c r="QKM24" s="252"/>
      <c r="QKN24" s="252"/>
      <c r="QKO24" s="252"/>
      <c r="QKP24" s="252"/>
      <c r="QKQ24" s="252"/>
      <c r="QKR24" s="252"/>
      <c r="QKS24" s="252"/>
      <c r="QKT24" s="252"/>
      <c r="QKU24" s="252"/>
      <c r="QKV24" s="252"/>
      <c r="QKW24" s="252"/>
      <c r="QKX24" s="252"/>
      <c r="QKY24" s="252"/>
      <c r="QKZ24" s="252"/>
      <c r="QLA24" s="252"/>
      <c r="QLB24" s="252"/>
      <c r="QLC24" s="252"/>
      <c r="QLD24" s="252"/>
      <c r="QLE24" s="252"/>
      <c r="QLF24" s="252"/>
      <c r="QLG24" s="252"/>
      <c r="QLH24" s="252"/>
      <c r="QLI24" s="252"/>
      <c r="QLJ24" s="252"/>
      <c r="QLK24" s="252"/>
      <c r="QLL24" s="252"/>
      <c r="QLM24" s="252"/>
      <c r="QLN24" s="252"/>
      <c r="QLO24" s="252"/>
      <c r="QLP24" s="252"/>
      <c r="QLQ24" s="252"/>
      <c r="QLR24" s="252"/>
      <c r="QLS24" s="252"/>
      <c r="QLT24" s="252"/>
      <c r="QLU24" s="252"/>
      <c r="QLV24" s="252"/>
      <c r="QLW24" s="252"/>
      <c r="QLX24" s="252"/>
      <c r="QLY24" s="252"/>
      <c r="QLZ24" s="252"/>
      <c r="QMA24" s="252"/>
      <c r="QMB24" s="252"/>
      <c r="QMC24" s="252"/>
      <c r="QMD24" s="252"/>
      <c r="QME24" s="252"/>
      <c r="QMF24" s="252"/>
      <c r="QMG24" s="252"/>
      <c r="QMH24" s="252"/>
      <c r="QMI24" s="252"/>
      <c r="QMJ24" s="252"/>
      <c r="QMK24" s="252"/>
      <c r="QML24" s="252"/>
      <c r="QMM24" s="252"/>
      <c r="QMN24" s="252"/>
      <c r="QMO24" s="252"/>
      <c r="QMP24" s="252"/>
      <c r="QMQ24" s="252"/>
      <c r="QMR24" s="252"/>
      <c r="QMS24" s="252"/>
      <c r="QMT24" s="252"/>
      <c r="QMU24" s="252"/>
      <c r="QMV24" s="252"/>
      <c r="QMW24" s="252"/>
      <c r="QMX24" s="252"/>
      <c r="QMY24" s="252"/>
      <c r="QMZ24" s="252"/>
      <c r="QNA24" s="252"/>
      <c r="QNB24" s="252"/>
      <c r="QNC24" s="252"/>
      <c r="QND24" s="252"/>
      <c r="QNE24" s="252"/>
      <c r="QNF24" s="252"/>
      <c r="QNG24" s="252"/>
      <c r="QNH24" s="252"/>
      <c r="QNI24" s="252"/>
      <c r="QNJ24" s="252"/>
      <c r="QNK24" s="252"/>
      <c r="QNL24" s="252"/>
      <c r="QNM24" s="252"/>
      <c r="QNN24" s="252"/>
      <c r="QNO24" s="252"/>
      <c r="QNP24" s="252"/>
      <c r="QNQ24" s="252"/>
      <c r="QNR24" s="252"/>
      <c r="QNS24" s="252"/>
      <c r="QNT24" s="252"/>
      <c r="QNU24" s="252"/>
      <c r="QNV24" s="252"/>
      <c r="QNW24" s="252"/>
      <c r="QNX24" s="252"/>
      <c r="QNY24" s="252"/>
      <c r="QNZ24" s="252"/>
      <c r="QOA24" s="252"/>
      <c r="QOB24" s="252"/>
      <c r="QOC24" s="252"/>
      <c r="QOD24" s="252"/>
      <c r="QOE24" s="252"/>
      <c r="QOF24" s="252"/>
      <c r="QOG24" s="252"/>
      <c r="QOH24" s="252"/>
      <c r="QOI24" s="252"/>
      <c r="QOJ24" s="252"/>
      <c r="QOK24" s="252"/>
      <c r="QOL24" s="252"/>
      <c r="QOM24" s="252"/>
      <c r="QON24" s="252"/>
      <c r="QOO24" s="252"/>
      <c r="QOP24" s="252"/>
      <c r="QOQ24" s="252"/>
      <c r="QOR24" s="252"/>
      <c r="QOS24" s="252"/>
      <c r="QOT24" s="252"/>
      <c r="QOU24" s="252"/>
      <c r="QOV24" s="252"/>
      <c r="QOW24" s="252"/>
      <c r="QOX24" s="252"/>
      <c r="QOY24" s="252"/>
      <c r="QOZ24" s="252"/>
      <c r="QPA24" s="252"/>
      <c r="QPB24" s="252"/>
      <c r="QPC24" s="252"/>
      <c r="QPD24" s="252"/>
      <c r="QPE24" s="252"/>
      <c r="QPF24" s="252"/>
      <c r="QPG24" s="252"/>
      <c r="QPH24" s="252"/>
      <c r="QPI24" s="252"/>
      <c r="QPJ24" s="252"/>
      <c r="QPK24" s="252"/>
      <c r="QPL24" s="252"/>
      <c r="QPM24" s="252"/>
      <c r="QPN24" s="252"/>
      <c r="QPO24" s="252"/>
      <c r="QPP24" s="252"/>
      <c r="QPQ24" s="252"/>
      <c r="QPR24" s="252"/>
      <c r="QPS24" s="252"/>
      <c r="QPT24" s="252"/>
      <c r="QPU24" s="252"/>
      <c r="QPV24" s="252"/>
      <c r="QPW24" s="252"/>
      <c r="QPX24" s="252"/>
      <c r="QPY24" s="252"/>
      <c r="QPZ24" s="252"/>
      <c r="QQA24" s="252"/>
      <c r="QQB24" s="252"/>
      <c r="QQC24" s="252"/>
      <c r="QQD24" s="252"/>
      <c r="QQE24" s="252"/>
      <c r="QQF24" s="252"/>
      <c r="QQG24" s="252"/>
      <c r="QQH24" s="252"/>
      <c r="QQI24" s="252"/>
      <c r="QQJ24" s="252"/>
      <c r="QQK24" s="252"/>
      <c r="QQL24" s="252"/>
      <c r="QQM24" s="252"/>
      <c r="QQN24" s="252"/>
      <c r="QQO24" s="252"/>
      <c r="QQP24" s="252"/>
      <c r="QQQ24" s="252"/>
      <c r="QQR24" s="252"/>
      <c r="QQS24" s="252"/>
      <c r="QQT24" s="252"/>
      <c r="QQU24" s="252"/>
      <c r="QQV24" s="252"/>
      <c r="QQW24" s="252"/>
      <c r="QQX24" s="252"/>
      <c r="QQY24" s="252"/>
      <c r="QQZ24" s="252"/>
      <c r="QRA24" s="252"/>
      <c r="QRB24" s="252"/>
      <c r="QRC24" s="252"/>
      <c r="QRD24" s="252"/>
      <c r="QRE24" s="252"/>
      <c r="QRF24" s="252"/>
      <c r="QRG24" s="252"/>
      <c r="QRH24" s="252"/>
      <c r="QRI24" s="252"/>
      <c r="QRJ24" s="252"/>
      <c r="QRK24" s="252"/>
      <c r="QRL24" s="252"/>
      <c r="QRM24" s="252"/>
      <c r="QRN24" s="252"/>
      <c r="QRO24" s="252"/>
      <c r="QRP24" s="252"/>
      <c r="QRQ24" s="252"/>
      <c r="QRR24" s="252"/>
      <c r="QRS24" s="252"/>
      <c r="QRT24" s="252"/>
      <c r="QRU24" s="252"/>
      <c r="QRV24" s="252"/>
      <c r="QRW24" s="252"/>
      <c r="QRX24" s="252"/>
      <c r="QRY24" s="252"/>
      <c r="QRZ24" s="252"/>
      <c r="QSA24" s="252"/>
      <c r="QSB24" s="252"/>
      <c r="QSC24" s="252"/>
      <c r="QSD24" s="252"/>
      <c r="QSE24" s="252"/>
      <c r="QSF24" s="252"/>
      <c r="QSG24" s="252"/>
      <c r="QSH24" s="252"/>
      <c r="QSI24" s="252"/>
      <c r="QSJ24" s="252"/>
      <c r="QSK24" s="252"/>
      <c r="QSL24" s="252"/>
      <c r="QSM24" s="252"/>
      <c r="QSN24" s="252"/>
      <c r="QSO24" s="252"/>
      <c r="QSP24" s="252"/>
      <c r="QSQ24" s="252"/>
      <c r="QSR24" s="252"/>
      <c r="QSS24" s="252"/>
      <c r="QST24" s="252"/>
      <c r="QSU24" s="252"/>
      <c r="QSV24" s="252"/>
      <c r="QSW24" s="252"/>
      <c r="QSX24" s="252"/>
      <c r="QSY24" s="252"/>
      <c r="QSZ24" s="252"/>
      <c r="QTA24" s="252"/>
      <c r="QTB24" s="252"/>
      <c r="QTC24" s="252"/>
      <c r="QTD24" s="252"/>
      <c r="QTE24" s="252"/>
      <c r="QTF24" s="252"/>
      <c r="QTG24" s="252"/>
      <c r="QTH24" s="252"/>
      <c r="QTI24" s="252"/>
      <c r="QTJ24" s="252"/>
      <c r="QTK24" s="252"/>
      <c r="QTL24" s="252"/>
      <c r="QTM24" s="252"/>
      <c r="QTN24" s="252"/>
      <c r="QTO24" s="252"/>
      <c r="QTP24" s="252"/>
      <c r="QTQ24" s="252"/>
      <c r="QTR24" s="252"/>
      <c r="QTS24" s="252"/>
      <c r="QTT24" s="252"/>
      <c r="QTU24" s="252"/>
      <c r="QTV24" s="252"/>
      <c r="QTW24" s="252"/>
      <c r="QTX24" s="252"/>
      <c r="QTY24" s="252"/>
      <c r="QTZ24" s="252"/>
      <c r="QUA24" s="252"/>
      <c r="QUB24" s="252"/>
      <c r="QUC24" s="252"/>
      <c r="QUD24" s="252"/>
      <c r="QUE24" s="252"/>
      <c r="QUF24" s="252"/>
      <c r="QUG24" s="252"/>
      <c r="QUH24" s="252"/>
      <c r="QUI24" s="252"/>
      <c r="QUJ24" s="252"/>
      <c r="QUK24" s="252"/>
      <c r="QUL24" s="252"/>
      <c r="QUM24" s="252"/>
      <c r="QUN24" s="252"/>
      <c r="QUO24" s="252"/>
      <c r="QUP24" s="252"/>
      <c r="QUQ24" s="252"/>
      <c r="QUR24" s="252"/>
      <c r="QUS24" s="252"/>
      <c r="QUT24" s="252"/>
      <c r="QUU24" s="252"/>
      <c r="QUV24" s="252"/>
      <c r="QUW24" s="252"/>
      <c r="QUX24" s="252"/>
      <c r="QUY24" s="252"/>
      <c r="QUZ24" s="252"/>
      <c r="QVA24" s="252"/>
      <c r="QVB24" s="252"/>
      <c r="QVC24" s="252"/>
      <c r="QVD24" s="252"/>
      <c r="QVE24" s="252"/>
      <c r="QVF24" s="252"/>
      <c r="QVG24" s="252"/>
      <c r="QVH24" s="252"/>
      <c r="QVI24" s="252"/>
      <c r="QVJ24" s="252"/>
      <c r="QVK24" s="252"/>
      <c r="QVL24" s="252"/>
      <c r="QVM24" s="252"/>
      <c r="QVN24" s="252"/>
      <c r="QVO24" s="252"/>
      <c r="QVP24" s="252"/>
      <c r="QVQ24" s="252"/>
      <c r="QVR24" s="252"/>
      <c r="QVS24" s="252"/>
      <c r="QVT24" s="252"/>
      <c r="QVU24" s="252"/>
      <c r="QVV24" s="252"/>
      <c r="QVW24" s="252"/>
      <c r="QVX24" s="252"/>
      <c r="QVY24" s="252"/>
      <c r="QVZ24" s="252"/>
      <c r="QWA24" s="252"/>
      <c r="QWB24" s="252"/>
      <c r="QWC24" s="252"/>
      <c r="QWD24" s="252"/>
      <c r="QWE24" s="252"/>
      <c r="QWF24" s="252"/>
      <c r="QWG24" s="252"/>
      <c r="QWH24" s="252"/>
      <c r="QWI24" s="252"/>
      <c r="QWJ24" s="252"/>
      <c r="QWK24" s="252"/>
      <c r="QWL24" s="252"/>
      <c r="QWM24" s="252"/>
      <c r="QWN24" s="252"/>
      <c r="QWO24" s="252"/>
      <c r="QWP24" s="252"/>
      <c r="QWQ24" s="252"/>
      <c r="QWR24" s="252"/>
      <c r="QWS24" s="252"/>
      <c r="QWT24" s="252"/>
      <c r="QWU24" s="252"/>
      <c r="QWV24" s="252"/>
      <c r="QWW24" s="252"/>
      <c r="QWX24" s="252"/>
      <c r="QWY24" s="252"/>
      <c r="QWZ24" s="252"/>
      <c r="QXA24" s="252"/>
      <c r="QXB24" s="252"/>
      <c r="QXC24" s="252"/>
      <c r="QXD24" s="252"/>
      <c r="QXE24" s="252"/>
      <c r="QXF24" s="252"/>
      <c r="QXG24" s="252"/>
      <c r="QXH24" s="252"/>
      <c r="QXI24" s="252"/>
      <c r="QXJ24" s="252"/>
      <c r="QXK24" s="252"/>
      <c r="QXL24" s="252"/>
      <c r="QXM24" s="252"/>
      <c r="QXN24" s="252"/>
      <c r="QXO24" s="252"/>
      <c r="QXP24" s="252"/>
      <c r="QXQ24" s="252"/>
      <c r="QXR24" s="252"/>
      <c r="QXS24" s="252"/>
      <c r="QXT24" s="252"/>
      <c r="QXU24" s="252"/>
      <c r="QXV24" s="252"/>
      <c r="QXW24" s="252"/>
      <c r="QXX24" s="252"/>
      <c r="QXY24" s="252"/>
      <c r="QXZ24" s="252"/>
      <c r="QYA24" s="252"/>
      <c r="QYB24" s="252"/>
      <c r="QYC24" s="252"/>
      <c r="QYD24" s="252"/>
      <c r="QYE24" s="252"/>
      <c r="QYF24" s="252"/>
      <c r="QYG24" s="252"/>
      <c r="QYH24" s="252"/>
      <c r="QYI24" s="252"/>
      <c r="QYJ24" s="252"/>
      <c r="QYK24" s="252"/>
      <c r="QYL24" s="252"/>
      <c r="QYM24" s="252"/>
      <c r="QYN24" s="252"/>
      <c r="QYO24" s="252"/>
      <c r="QYP24" s="252"/>
      <c r="QYQ24" s="252"/>
      <c r="QYR24" s="252"/>
      <c r="QYS24" s="252"/>
      <c r="QYT24" s="252"/>
      <c r="QYU24" s="252"/>
      <c r="QYV24" s="252"/>
      <c r="QYW24" s="252"/>
      <c r="QYX24" s="252"/>
      <c r="QYY24" s="252"/>
      <c r="QYZ24" s="252"/>
      <c r="QZA24" s="252"/>
      <c r="QZB24" s="252"/>
      <c r="QZC24" s="252"/>
      <c r="QZD24" s="252"/>
      <c r="QZE24" s="252"/>
      <c r="QZF24" s="252"/>
      <c r="QZG24" s="252"/>
      <c r="QZH24" s="252"/>
      <c r="QZI24" s="252"/>
      <c r="QZJ24" s="252"/>
      <c r="QZK24" s="252"/>
      <c r="QZL24" s="252"/>
      <c r="QZM24" s="252"/>
      <c r="QZN24" s="252"/>
      <c r="QZO24" s="252"/>
      <c r="QZP24" s="252"/>
      <c r="QZQ24" s="252"/>
      <c r="QZR24" s="252"/>
      <c r="QZS24" s="252"/>
      <c r="QZT24" s="252"/>
      <c r="QZU24" s="252"/>
      <c r="QZV24" s="252"/>
      <c r="QZW24" s="252"/>
      <c r="QZX24" s="252"/>
      <c r="QZY24" s="252"/>
      <c r="QZZ24" s="252"/>
      <c r="RAA24" s="252"/>
      <c r="RAB24" s="252"/>
      <c r="RAC24" s="252"/>
      <c r="RAD24" s="252"/>
      <c r="RAE24" s="252"/>
      <c r="RAF24" s="252"/>
      <c r="RAG24" s="252"/>
      <c r="RAH24" s="252"/>
      <c r="RAI24" s="252"/>
      <c r="RAJ24" s="252"/>
      <c r="RAK24" s="252"/>
      <c r="RAL24" s="252"/>
      <c r="RAM24" s="252"/>
      <c r="RAN24" s="252"/>
      <c r="RAO24" s="252"/>
      <c r="RAP24" s="252"/>
      <c r="RAQ24" s="252"/>
      <c r="RAR24" s="252"/>
      <c r="RAS24" s="252"/>
      <c r="RAT24" s="252"/>
      <c r="RAU24" s="252"/>
      <c r="RAV24" s="252"/>
      <c r="RAW24" s="252"/>
      <c r="RAX24" s="252"/>
      <c r="RAY24" s="252"/>
      <c r="RAZ24" s="252"/>
      <c r="RBA24" s="252"/>
      <c r="RBB24" s="252"/>
      <c r="RBC24" s="252"/>
      <c r="RBD24" s="252"/>
      <c r="RBE24" s="252"/>
      <c r="RBF24" s="252"/>
      <c r="RBG24" s="252"/>
      <c r="RBH24" s="252"/>
      <c r="RBI24" s="252"/>
      <c r="RBJ24" s="252"/>
      <c r="RBK24" s="252"/>
      <c r="RBL24" s="252"/>
      <c r="RBM24" s="252"/>
      <c r="RBN24" s="252"/>
      <c r="RBO24" s="252"/>
      <c r="RBP24" s="252"/>
      <c r="RBQ24" s="252"/>
      <c r="RBR24" s="252"/>
      <c r="RBS24" s="252"/>
      <c r="RBT24" s="252"/>
      <c r="RBU24" s="252"/>
      <c r="RBV24" s="252"/>
      <c r="RBW24" s="252"/>
      <c r="RBX24" s="252"/>
      <c r="RBY24" s="252"/>
      <c r="RBZ24" s="252"/>
      <c r="RCA24" s="252"/>
      <c r="RCB24" s="252"/>
      <c r="RCC24" s="252"/>
      <c r="RCD24" s="252"/>
      <c r="RCE24" s="252"/>
      <c r="RCF24" s="252"/>
      <c r="RCG24" s="252"/>
      <c r="RCH24" s="252"/>
      <c r="RCI24" s="252"/>
      <c r="RCJ24" s="252"/>
      <c r="RCK24" s="252"/>
      <c r="RCL24" s="252"/>
      <c r="RCM24" s="252"/>
      <c r="RCN24" s="252"/>
      <c r="RCO24" s="252"/>
      <c r="RCP24" s="252"/>
      <c r="RCQ24" s="252"/>
      <c r="RCR24" s="252"/>
      <c r="RCS24" s="252"/>
      <c r="RCT24" s="252"/>
      <c r="RCU24" s="252"/>
      <c r="RCV24" s="252"/>
      <c r="RCW24" s="252"/>
      <c r="RCX24" s="252"/>
      <c r="RCY24" s="252"/>
      <c r="RCZ24" s="252"/>
      <c r="RDA24" s="252"/>
      <c r="RDB24" s="252"/>
      <c r="RDC24" s="252"/>
      <c r="RDD24" s="252"/>
      <c r="RDE24" s="252"/>
      <c r="RDF24" s="252"/>
      <c r="RDG24" s="252"/>
      <c r="RDH24" s="252"/>
      <c r="RDI24" s="252"/>
      <c r="RDJ24" s="252"/>
      <c r="RDK24" s="252"/>
      <c r="RDL24" s="252"/>
      <c r="RDM24" s="252"/>
      <c r="RDN24" s="252"/>
      <c r="RDO24" s="252"/>
      <c r="RDP24" s="252"/>
      <c r="RDQ24" s="252"/>
      <c r="RDR24" s="252"/>
      <c r="RDS24" s="252"/>
      <c r="RDT24" s="252"/>
      <c r="RDU24" s="252"/>
      <c r="RDV24" s="252"/>
      <c r="RDW24" s="252"/>
      <c r="RDX24" s="252"/>
      <c r="RDY24" s="252"/>
      <c r="RDZ24" s="252"/>
      <c r="REA24" s="252"/>
      <c r="REB24" s="252"/>
      <c r="REC24" s="252"/>
      <c r="RED24" s="252"/>
      <c r="REE24" s="252"/>
      <c r="REF24" s="252"/>
      <c r="REG24" s="252"/>
      <c r="REH24" s="252"/>
      <c r="REI24" s="252"/>
      <c r="REJ24" s="252"/>
      <c r="REK24" s="252"/>
      <c r="REL24" s="252"/>
      <c r="REM24" s="252"/>
      <c r="REN24" s="252"/>
      <c r="REO24" s="252"/>
      <c r="REP24" s="252"/>
      <c r="REQ24" s="252"/>
      <c r="RER24" s="252"/>
      <c r="RES24" s="252"/>
      <c r="RET24" s="252"/>
      <c r="REU24" s="252"/>
      <c r="REV24" s="252"/>
      <c r="REW24" s="252"/>
      <c r="REX24" s="252"/>
      <c r="REY24" s="252"/>
      <c r="REZ24" s="252"/>
      <c r="RFA24" s="252"/>
      <c r="RFB24" s="252"/>
      <c r="RFC24" s="252"/>
      <c r="RFD24" s="252"/>
      <c r="RFE24" s="252"/>
      <c r="RFF24" s="252"/>
      <c r="RFG24" s="252"/>
      <c r="RFH24" s="252"/>
      <c r="RFI24" s="252"/>
      <c r="RFJ24" s="252"/>
      <c r="RFK24" s="252"/>
      <c r="RFL24" s="252"/>
      <c r="RFM24" s="252"/>
      <c r="RFN24" s="252"/>
      <c r="RFO24" s="252"/>
      <c r="RFP24" s="252"/>
      <c r="RFQ24" s="252"/>
      <c r="RFR24" s="252"/>
      <c r="RFS24" s="252"/>
      <c r="RFT24" s="252"/>
      <c r="RFU24" s="252"/>
      <c r="RFV24" s="252"/>
      <c r="RFW24" s="252"/>
      <c r="RFX24" s="252"/>
      <c r="RFY24" s="252"/>
      <c r="RFZ24" s="252"/>
      <c r="RGA24" s="252"/>
      <c r="RGB24" s="252"/>
      <c r="RGC24" s="252"/>
      <c r="RGD24" s="252"/>
      <c r="RGE24" s="252"/>
      <c r="RGF24" s="252"/>
      <c r="RGG24" s="252"/>
      <c r="RGH24" s="252"/>
      <c r="RGI24" s="252"/>
      <c r="RGJ24" s="252"/>
      <c r="RGK24" s="252"/>
      <c r="RGL24" s="252"/>
      <c r="RGM24" s="252"/>
      <c r="RGN24" s="252"/>
      <c r="RGO24" s="252"/>
      <c r="RGP24" s="252"/>
      <c r="RGQ24" s="252"/>
      <c r="RGR24" s="252"/>
      <c r="RGS24" s="252"/>
      <c r="RGT24" s="252"/>
      <c r="RGU24" s="252"/>
      <c r="RGV24" s="252"/>
      <c r="RGW24" s="252"/>
      <c r="RGX24" s="252"/>
      <c r="RGY24" s="252"/>
      <c r="RGZ24" s="252"/>
      <c r="RHA24" s="252"/>
      <c r="RHB24" s="252"/>
      <c r="RHC24" s="252"/>
      <c r="RHD24" s="252"/>
      <c r="RHE24" s="252"/>
      <c r="RHF24" s="252"/>
      <c r="RHG24" s="252"/>
      <c r="RHH24" s="252"/>
      <c r="RHI24" s="252"/>
      <c r="RHJ24" s="252"/>
      <c r="RHK24" s="252"/>
      <c r="RHL24" s="252"/>
      <c r="RHM24" s="252"/>
      <c r="RHN24" s="252"/>
      <c r="RHO24" s="252"/>
      <c r="RHP24" s="252"/>
      <c r="RHQ24" s="252"/>
      <c r="RHR24" s="252"/>
      <c r="RHS24" s="252"/>
      <c r="RHT24" s="252"/>
      <c r="RHU24" s="252"/>
      <c r="RHV24" s="252"/>
      <c r="RHW24" s="252"/>
      <c r="RHX24" s="252"/>
      <c r="RHY24" s="252"/>
      <c r="RHZ24" s="252"/>
      <c r="RIA24" s="252"/>
      <c r="RIB24" s="252"/>
      <c r="RIC24" s="252"/>
      <c r="RID24" s="252"/>
      <c r="RIE24" s="252"/>
      <c r="RIF24" s="252"/>
      <c r="RIG24" s="252"/>
      <c r="RIH24" s="252"/>
      <c r="RII24" s="252"/>
      <c r="RIJ24" s="252"/>
      <c r="RIK24" s="252"/>
      <c r="RIL24" s="252"/>
      <c r="RIM24" s="252"/>
      <c r="RIN24" s="252"/>
      <c r="RIO24" s="252"/>
      <c r="RIP24" s="252"/>
      <c r="RIQ24" s="252"/>
      <c r="RIR24" s="252"/>
      <c r="RIS24" s="252"/>
      <c r="RIT24" s="252"/>
      <c r="RIU24" s="252"/>
      <c r="RIV24" s="252"/>
      <c r="RIW24" s="252"/>
      <c r="RIX24" s="252"/>
      <c r="RIY24" s="252"/>
      <c r="RIZ24" s="252"/>
      <c r="RJA24" s="252"/>
      <c r="RJB24" s="252"/>
      <c r="RJC24" s="252"/>
      <c r="RJD24" s="252"/>
      <c r="RJE24" s="252"/>
      <c r="RJF24" s="252"/>
      <c r="RJG24" s="252"/>
      <c r="RJH24" s="252"/>
      <c r="RJI24" s="252"/>
      <c r="RJJ24" s="252"/>
      <c r="RJK24" s="252"/>
      <c r="RJL24" s="252"/>
      <c r="RJM24" s="252"/>
      <c r="RJN24" s="252"/>
      <c r="RJO24" s="252"/>
      <c r="RJP24" s="252"/>
      <c r="RJQ24" s="252"/>
      <c r="RJR24" s="252"/>
      <c r="RJS24" s="252"/>
      <c r="RJT24" s="252"/>
      <c r="RJU24" s="252"/>
      <c r="RJV24" s="252"/>
      <c r="RJW24" s="252"/>
      <c r="RJX24" s="252"/>
      <c r="RJY24" s="252"/>
      <c r="RJZ24" s="252"/>
      <c r="RKA24" s="252"/>
      <c r="RKB24" s="252"/>
      <c r="RKC24" s="252"/>
      <c r="RKD24" s="252"/>
      <c r="RKE24" s="252"/>
      <c r="RKF24" s="252"/>
      <c r="RKG24" s="252"/>
      <c r="RKH24" s="252"/>
      <c r="RKI24" s="252"/>
      <c r="RKJ24" s="252"/>
      <c r="RKK24" s="252"/>
      <c r="RKL24" s="252"/>
      <c r="RKM24" s="252"/>
      <c r="RKN24" s="252"/>
      <c r="RKO24" s="252"/>
      <c r="RKP24" s="252"/>
      <c r="RKQ24" s="252"/>
      <c r="RKR24" s="252"/>
      <c r="RKS24" s="252"/>
      <c r="RKT24" s="252"/>
      <c r="RKU24" s="252"/>
      <c r="RKV24" s="252"/>
      <c r="RKW24" s="252"/>
      <c r="RKX24" s="252"/>
      <c r="RKY24" s="252"/>
      <c r="RKZ24" s="252"/>
      <c r="RLA24" s="252"/>
      <c r="RLB24" s="252"/>
      <c r="RLC24" s="252"/>
      <c r="RLD24" s="252"/>
      <c r="RLE24" s="252"/>
      <c r="RLF24" s="252"/>
      <c r="RLG24" s="252"/>
      <c r="RLH24" s="252"/>
      <c r="RLI24" s="252"/>
      <c r="RLJ24" s="252"/>
      <c r="RLK24" s="252"/>
      <c r="RLL24" s="252"/>
      <c r="RLM24" s="252"/>
      <c r="RLN24" s="252"/>
      <c r="RLO24" s="252"/>
      <c r="RLP24" s="252"/>
      <c r="RLQ24" s="252"/>
      <c r="RLR24" s="252"/>
      <c r="RLS24" s="252"/>
      <c r="RLT24" s="252"/>
      <c r="RLU24" s="252"/>
      <c r="RLV24" s="252"/>
      <c r="RLW24" s="252"/>
      <c r="RLX24" s="252"/>
      <c r="RLY24" s="252"/>
      <c r="RLZ24" s="252"/>
      <c r="RMA24" s="252"/>
      <c r="RMB24" s="252"/>
      <c r="RMC24" s="252"/>
      <c r="RMD24" s="252"/>
      <c r="RME24" s="252"/>
      <c r="RMF24" s="252"/>
      <c r="RMG24" s="252"/>
      <c r="RMH24" s="252"/>
      <c r="RMI24" s="252"/>
      <c r="RMJ24" s="252"/>
      <c r="RMK24" s="252"/>
      <c r="RML24" s="252"/>
      <c r="RMM24" s="252"/>
      <c r="RMN24" s="252"/>
      <c r="RMO24" s="252"/>
      <c r="RMP24" s="252"/>
      <c r="RMQ24" s="252"/>
      <c r="RMR24" s="252"/>
      <c r="RMS24" s="252"/>
      <c r="RMT24" s="252"/>
      <c r="RMU24" s="252"/>
      <c r="RMV24" s="252"/>
      <c r="RMW24" s="252"/>
      <c r="RMX24" s="252"/>
      <c r="RMY24" s="252"/>
      <c r="RMZ24" s="252"/>
      <c r="RNA24" s="252"/>
      <c r="RNB24" s="252"/>
      <c r="RNC24" s="252"/>
      <c r="RND24" s="252"/>
      <c r="RNE24" s="252"/>
      <c r="RNF24" s="252"/>
      <c r="RNG24" s="252"/>
      <c r="RNH24" s="252"/>
      <c r="RNI24" s="252"/>
      <c r="RNJ24" s="252"/>
      <c r="RNK24" s="252"/>
      <c r="RNL24" s="252"/>
      <c r="RNM24" s="252"/>
      <c r="RNN24" s="252"/>
      <c r="RNO24" s="252"/>
      <c r="RNP24" s="252"/>
      <c r="RNQ24" s="252"/>
      <c r="RNR24" s="252"/>
      <c r="RNS24" s="252"/>
      <c r="RNT24" s="252"/>
      <c r="RNU24" s="252"/>
      <c r="RNV24" s="252"/>
      <c r="RNW24" s="252"/>
      <c r="RNX24" s="252"/>
      <c r="RNY24" s="252"/>
      <c r="RNZ24" s="252"/>
      <c r="ROA24" s="252"/>
      <c r="ROB24" s="252"/>
      <c r="ROC24" s="252"/>
      <c r="ROD24" s="252"/>
      <c r="ROE24" s="252"/>
      <c r="ROF24" s="252"/>
      <c r="ROG24" s="252"/>
      <c r="ROH24" s="252"/>
      <c r="ROI24" s="252"/>
      <c r="ROJ24" s="252"/>
      <c r="ROK24" s="252"/>
      <c r="ROL24" s="252"/>
      <c r="ROM24" s="252"/>
      <c r="RON24" s="252"/>
      <c r="ROO24" s="252"/>
      <c r="ROP24" s="252"/>
      <c r="ROQ24" s="252"/>
      <c r="ROR24" s="252"/>
      <c r="ROS24" s="252"/>
      <c r="ROT24" s="252"/>
      <c r="ROU24" s="252"/>
      <c r="ROV24" s="252"/>
      <c r="ROW24" s="252"/>
      <c r="ROX24" s="252"/>
      <c r="ROY24" s="252"/>
      <c r="ROZ24" s="252"/>
      <c r="RPA24" s="252"/>
      <c r="RPB24" s="252"/>
      <c r="RPC24" s="252"/>
      <c r="RPD24" s="252"/>
      <c r="RPE24" s="252"/>
      <c r="RPF24" s="252"/>
      <c r="RPG24" s="252"/>
      <c r="RPH24" s="252"/>
      <c r="RPI24" s="252"/>
      <c r="RPJ24" s="252"/>
      <c r="RPK24" s="252"/>
      <c r="RPL24" s="252"/>
      <c r="RPM24" s="252"/>
      <c r="RPN24" s="252"/>
      <c r="RPO24" s="252"/>
      <c r="RPP24" s="252"/>
      <c r="RPQ24" s="252"/>
      <c r="RPR24" s="252"/>
      <c r="RPS24" s="252"/>
      <c r="RPT24" s="252"/>
      <c r="RPU24" s="252"/>
      <c r="RPV24" s="252"/>
      <c r="RPW24" s="252"/>
      <c r="RPX24" s="252"/>
      <c r="RPY24" s="252"/>
      <c r="RPZ24" s="252"/>
      <c r="RQA24" s="252"/>
      <c r="RQB24" s="252"/>
      <c r="RQC24" s="252"/>
      <c r="RQD24" s="252"/>
      <c r="RQE24" s="252"/>
      <c r="RQF24" s="252"/>
      <c r="RQG24" s="252"/>
      <c r="RQH24" s="252"/>
      <c r="RQI24" s="252"/>
      <c r="RQJ24" s="252"/>
      <c r="RQK24" s="252"/>
      <c r="RQL24" s="252"/>
      <c r="RQM24" s="252"/>
      <c r="RQN24" s="252"/>
      <c r="RQO24" s="252"/>
      <c r="RQP24" s="252"/>
      <c r="RQQ24" s="252"/>
      <c r="RQR24" s="252"/>
      <c r="RQS24" s="252"/>
      <c r="RQT24" s="252"/>
      <c r="RQU24" s="252"/>
      <c r="RQV24" s="252"/>
      <c r="RQW24" s="252"/>
      <c r="RQX24" s="252"/>
      <c r="RQY24" s="252"/>
      <c r="RQZ24" s="252"/>
      <c r="RRA24" s="252"/>
      <c r="RRB24" s="252"/>
      <c r="RRC24" s="252"/>
      <c r="RRD24" s="252"/>
      <c r="RRE24" s="252"/>
      <c r="RRF24" s="252"/>
      <c r="RRG24" s="252"/>
      <c r="RRH24" s="252"/>
      <c r="RRI24" s="252"/>
      <c r="RRJ24" s="252"/>
      <c r="RRK24" s="252"/>
      <c r="RRL24" s="252"/>
      <c r="RRM24" s="252"/>
      <c r="RRN24" s="252"/>
      <c r="RRO24" s="252"/>
      <c r="RRP24" s="252"/>
      <c r="RRQ24" s="252"/>
      <c r="RRR24" s="252"/>
      <c r="RRS24" s="252"/>
      <c r="RRT24" s="252"/>
      <c r="RRU24" s="252"/>
      <c r="RRV24" s="252"/>
      <c r="RRW24" s="252"/>
      <c r="RRX24" s="252"/>
      <c r="RRY24" s="252"/>
      <c r="RRZ24" s="252"/>
      <c r="RSA24" s="252"/>
      <c r="RSB24" s="252"/>
      <c r="RSC24" s="252"/>
      <c r="RSD24" s="252"/>
      <c r="RSE24" s="252"/>
      <c r="RSF24" s="252"/>
      <c r="RSG24" s="252"/>
      <c r="RSH24" s="252"/>
      <c r="RSI24" s="252"/>
      <c r="RSJ24" s="252"/>
      <c r="RSK24" s="252"/>
      <c r="RSL24" s="252"/>
      <c r="RSM24" s="252"/>
      <c r="RSN24" s="252"/>
      <c r="RSO24" s="252"/>
      <c r="RSP24" s="252"/>
      <c r="RSQ24" s="252"/>
      <c r="RSR24" s="252"/>
      <c r="RSS24" s="252"/>
      <c r="RST24" s="252"/>
      <c r="RSU24" s="252"/>
      <c r="RSV24" s="252"/>
      <c r="RSW24" s="252"/>
      <c r="RSX24" s="252"/>
      <c r="RSY24" s="252"/>
      <c r="RSZ24" s="252"/>
      <c r="RTA24" s="252"/>
      <c r="RTB24" s="252"/>
      <c r="RTC24" s="252"/>
      <c r="RTD24" s="252"/>
      <c r="RTE24" s="252"/>
      <c r="RTF24" s="252"/>
      <c r="RTG24" s="252"/>
      <c r="RTH24" s="252"/>
      <c r="RTI24" s="252"/>
      <c r="RTJ24" s="252"/>
      <c r="RTK24" s="252"/>
      <c r="RTL24" s="252"/>
      <c r="RTM24" s="252"/>
      <c r="RTN24" s="252"/>
      <c r="RTO24" s="252"/>
      <c r="RTP24" s="252"/>
      <c r="RTQ24" s="252"/>
      <c r="RTR24" s="252"/>
      <c r="RTS24" s="252"/>
      <c r="RTT24" s="252"/>
      <c r="RTU24" s="252"/>
      <c r="RTV24" s="252"/>
      <c r="RTW24" s="252"/>
      <c r="RTX24" s="252"/>
      <c r="RTY24" s="252"/>
      <c r="RTZ24" s="252"/>
      <c r="RUA24" s="252"/>
      <c r="RUB24" s="252"/>
      <c r="RUC24" s="252"/>
      <c r="RUD24" s="252"/>
      <c r="RUE24" s="252"/>
      <c r="RUF24" s="252"/>
      <c r="RUG24" s="252"/>
      <c r="RUH24" s="252"/>
      <c r="RUI24" s="252"/>
      <c r="RUJ24" s="252"/>
      <c r="RUK24" s="252"/>
      <c r="RUL24" s="252"/>
      <c r="RUM24" s="252"/>
      <c r="RUN24" s="252"/>
      <c r="RUO24" s="252"/>
      <c r="RUP24" s="252"/>
      <c r="RUQ24" s="252"/>
      <c r="RUR24" s="252"/>
      <c r="RUS24" s="252"/>
      <c r="RUT24" s="252"/>
      <c r="RUU24" s="252"/>
      <c r="RUV24" s="252"/>
      <c r="RUW24" s="252"/>
      <c r="RUX24" s="252"/>
      <c r="RUY24" s="252"/>
      <c r="RUZ24" s="252"/>
      <c r="RVA24" s="252"/>
      <c r="RVB24" s="252"/>
      <c r="RVC24" s="252"/>
      <c r="RVD24" s="252"/>
      <c r="RVE24" s="252"/>
      <c r="RVF24" s="252"/>
      <c r="RVG24" s="252"/>
      <c r="RVH24" s="252"/>
      <c r="RVI24" s="252"/>
      <c r="RVJ24" s="252"/>
      <c r="RVK24" s="252"/>
      <c r="RVL24" s="252"/>
      <c r="RVM24" s="252"/>
      <c r="RVN24" s="252"/>
      <c r="RVO24" s="252"/>
      <c r="RVP24" s="252"/>
      <c r="RVQ24" s="252"/>
      <c r="RVR24" s="252"/>
      <c r="RVS24" s="252"/>
      <c r="RVT24" s="252"/>
      <c r="RVU24" s="252"/>
      <c r="RVV24" s="252"/>
      <c r="RVW24" s="252"/>
      <c r="RVX24" s="252"/>
      <c r="RVY24" s="252"/>
      <c r="RVZ24" s="252"/>
      <c r="RWA24" s="252"/>
      <c r="RWB24" s="252"/>
      <c r="RWC24" s="252"/>
      <c r="RWD24" s="252"/>
      <c r="RWE24" s="252"/>
      <c r="RWF24" s="252"/>
      <c r="RWG24" s="252"/>
      <c r="RWH24" s="252"/>
      <c r="RWI24" s="252"/>
      <c r="RWJ24" s="252"/>
      <c r="RWK24" s="252"/>
      <c r="RWL24" s="252"/>
      <c r="RWM24" s="252"/>
      <c r="RWN24" s="252"/>
      <c r="RWO24" s="252"/>
      <c r="RWP24" s="252"/>
      <c r="RWQ24" s="252"/>
      <c r="RWR24" s="252"/>
      <c r="RWS24" s="252"/>
      <c r="RWT24" s="252"/>
      <c r="RWU24" s="252"/>
      <c r="RWV24" s="252"/>
      <c r="RWW24" s="252"/>
      <c r="RWX24" s="252"/>
      <c r="RWY24" s="252"/>
      <c r="RWZ24" s="252"/>
      <c r="RXA24" s="252"/>
      <c r="RXB24" s="252"/>
      <c r="RXC24" s="252"/>
      <c r="RXD24" s="252"/>
      <c r="RXE24" s="252"/>
      <c r="RXF24" s="252"/>
      <c r="RXG24" s="252"/>
      <c r="RXH24" s="252"/>
      <c r="RXI24" s="252"/>
      <c r="RXJ24" s="252"/>
      <c r="RXK24" s="252"/>
      <c r="RXL24" s="252"/>
      <c r="RXM24" s="252"/>
      <c r="RXN24" s="252"/>
      <c r="RXO24" s="252"/>
      <c r="RXP24" s="252"/>
      <c r="RXQ24" s="252"/>
      <c r="RXR24" s="252"/>
      <c r="RXS24" s="252"/>
      <c r="RXT24" s="252"/>
      <c r="RXU24" s="252"/>
      <c r="RXV24" s="252"/>
      <c r="RXW24" s="252"/>
      <c r="RXX24" s="252"/>
      <c r="RXY24" s="252"/>
      <c r="RXZ24" s="252"/>
      <c r="RYA24" s="252"/>
      <c r="RYB24" s="252"/>
      <c r="RYC24" s="252"/>
      <c r="RYD24" s="252"/>
      <c r="RYE24" s="252"/>
      <c r="RYF24" s="252"/>
      <c r="RYG24" s="252"/>
      <c r="RYH24" s="252"/>
      <c r="RYI24" s="252"/>
      <c r="RYJ24" s="252"/>
      <c r="RYK24" s="252"/>
      <c r="RYL24" s="252"/>
      <c r="RYM24" s="252"/>
      <c r="RYN24" s="252"/>
      <c r="RYO24" s="252"/>
      <c r="RYP24" s="252"/>
      <c r="RYQ24" s="252"/>
      <c r="RYR24" s="252"/>
      <c r="RYS24" s="252"/>
      <c r="RYT24" s="252"/>
      <c r="RYU24" s="252"/>
      <c r="RYV24" s="252"/>
      <c r="RYW24" s="252"/>
      <c r="RYX24" s="252"/>
      <c r="RYY24" s="252"/>
      <c r="RYZ24" s="252"/>
      <c r="RZA24" s="252"/>
      <c r="RZB24" s="252"/>
      <c r="RZC24" s="252"/>
      <c r="RZD24" s="252"/>
      <c r="RZE24" s="252"/>
      <c r="RZF24" s="252"/>
      <c r="RZG24" s="252"/>
      <c r="RZH24" s="252"/>
      <c r="RZI24" s="252"/>
      <c r="RZJ24" s="252"/>
      <c r="RZK24" s="252"/>
      <c r="RZL24" s="252"/>
      <c r="RZM24" s="252"/>
      <c r="RZN24" s="252"/>
      <c r="RZO24" s="252"/>
      <c r="RZP24" s="252"/>
      <c r="RZQ24" s="252"/>
      <c r="RZR24" s="252"/>
      <c r="RZS24" s="252"/>
      <c r="RZT24" s="252"/>
      <c r="RZU24" s="252"/>
      <c r="RZV24" s="252"/>
      <c r="RZW24" s="252"/>
      <c r="RZX24" s="252"/>
      <c r="RZY24" s="252"/>
      <c r="RZZ24" s="252"/>
      <c r="SAA24" s="252"/>
      <c r="SAB24" s="252"/>
      <c r="SAC24" s="252"/>
      <c r="SAD24" s="252"/>
      <c r="SAE24" s="252"/>
      <c r="SAF24" s="252"/>
      <c r="SAG24" s="252"/>
      <c r="SAH24" s="252"/>
      <c r="SAI24" s="252"/>
      <c r="SAJ24" s="252"/>
      <c r="SAK24" s="252"/>
      <c r="SAL24" s="252"/>
      <c r="SAM24" s="252"/>
      <c r="SAN24" s="252"/>
      <c r="SAO24" s="252"/>
      <c r="SAP24" s="252"/>
      <c r="SAQ24" s="252"/>
      <c r="SAR24" s="252"/>
      <c r="SAS24" s="252"/>
      <c r="SAT24" s="252"/>
      <c r="SAU24" s="252"/>
      <c r="SAV24" s="252"/>
      <c r="SAW24" s="252"/>
      <c r="SAX24" s="252"/>
      <c r="SAY24" s="252"/>
      <c r="SAZ24" s="252"/>
      <c r="SBA24" s="252"/>
      <c r="SBB24" s="252"/>
      <c r="SBC24" s="252"/>
      <c r="SBD24" s="252"/>
      <c r="SBE24" s="252"/>
      <c r="SBF24" s="252"/>
      <c r="SBG24" s="252"/>
      <c r="SBH24" s="252"/>
      <c r="SBI24" s="252"/>
      <c r="SBJ24" s="252"/>
      <c r="SBK24" s="252"/>
      <c r="SBL24" s="252"/>
      <c r="SBM24" s="252"/>
      <c r="SBN24" s="252"/>
      <c r="SBO24" s="252"/>
      <c r="SBP24" s="252"/>
      <c r="SBQ24" s="252"/>
      <c r="SBR24" s="252"/>
      <c r="SBS24" s="252"/>
      <c r="SBT24" s="252"/>
      <c r="SBU24" s="252"/>
      <c r="SBV24" s="252"/>
      <c r="SBW24" s="252"/>
      <c r="SBX24" s="252"/>
      <c r="SBY24" s="252"/>
      <c r="SBZ24" s="252"/>
      <c r="SCA24" s="252"/>
      <c r="SCB24" s="252"/>
      <c r="SCC24" s="252"/>
      <c r="SCD24" s="252"/>
      <c r="SCE24" s="252"/>
      <c r="SCF24" s="252"/>
      <c r="SCG24" s="252"/>
      <c r="SCH24" s="252"/>
      <c r="SCI24" s="252"/>
      <c r="SCJ24" s="252"/>
      <c r="SCK24" s="252"/>
      <c r="SCL24" s="252"/>
      <c r="SCM24" s="252"/>
      <c r="SCN24" s="252"/>
      <c r="SCO24" s="252"/>
      <c r="SCP24" s="252"/>
      <c r="SCQ24" s="252"/>
      <c r="SCR24" s="252"/>
      <c r="SCS24" s="252"/>
      <c r="SCT24" s="252"/>
      <c r="SCU24" s="252"/>
      <c r="SCV24" s="252"/>
      <c r="SCW24" s="252"/>
      <c r="SCX24" s="252"/>
      <c r="SCY24" s="252"/>
      <c r="SCZ24" s="252"/>
      <c r="SDA24" s="252"/>
      <c r="SDB24" s="252"/>
      <c r="SDC24" s="252"/>
      <c r="SDD24" s="252"/>
      <c r="SDE24" s="252"/>
      <c r="SDF24" s="252"/>
      <c r="SDG24" s="252"/>
      <c r="SDH24" s="252"/>
      <c r="SDI24" s="252"/>
      <c r="SDJ24" s="252"/>
      <c r="SDK24" s="252"/>
      <c r="SDL24" s="252"/>
      <c r="SDM24" s="252"/>
      <c r="SDN24" s="252"/>
      <c r="SDO24" s="252"/>
      <c r="SDP24" s="252"/>
      <c r="SDQ24" s="252"/>
      <c r="SDR24" s="252"/>
      <c r="SDS24" s="252"/>
      <c r="SDT24" s="252"/>
      <c r="SDU24" s="252"/>
      <c r="SDV24" s="252"/>
      <c r="SDW24" s="252"/>
      <c r="SDX24" s="252"/>
      <c r="SDY24" s="252"/>
      <c r="SDZ24" s="252"/>
      <c r="SEA24" s="252"/>
      <c r="SEB24" s="252"/>
      <c r="SEC24" s="252"/>
      <c r="SED24" s="252"/>
      <c r="SEE24" s="252"/>
      <c r="SEF24" s="252"/>
      <c r="SEG24" s="252"/>
      <c r="SEH24" s="252"/>
      <c r="SEI24" s="252"/>
      <c r="SEJ24" s="252"/>
      <c r="SEK24" s="252"/>
      <c r="SEL24" s="252"/>
      <c r="SEM24" s="252"/>
      <c r="SEN24" s="252"/>
      <c r="SEO24" s="252"/>
      <c r="SEP24" s="252"/>
      <c r="SEQ24" s="252"/>
      <c r="SER24" s="252"/>
      <c r="SES24" s="252"/>
      <c r="SET24" s="252"/>
      <c r="SEU24" s="252"/>
      <c r="SEV24" s="252"/>
      <c r="SEW24" s="252"/>
      <c r="SEX24" s="252"/>
      <c r="SEY24" s="252"/>
      <c r="SEZ24" s="252"/>
      <c r="SFA24" s="252"/>
      <c r="SFB24" s="252"/>
      <c r="SFC24" s="252"/>
      <c r="SFD24" s="252"/>
      <c r="SFE24" s="252"/>
      <c r="SFF24" s="252"/>
      <c r="SFG24" s="252"/>
      <c r="SFH24" s="252"/>
      <c r="SFI24" s="252"/>
      <c r="SFJ24" s="252"/>
      <c r="SFK24" s="252"/>
      <c r="SFL24" s="252"/>
      <c r="SFM24" s="252"/>
      <c r="SFN24" s="252"/>
      <c r="SFO24" s="252"/>
      <c r="SFP24" s="252"/>
      <c r="SFQ24" s="252"/>
      <c r="SFR24" s="252"/>
      <c r="SFS24" s="252"/>
      <c r="SFT24" s="252"/>
      <c r="SFU24" s="252"/>
      <c r="SFV24" s="252"/>
      <c r="SFW24" s="252"/>
      <c r="SFX24" s="252"/>
      <c r="SFY24" s="252"/>
      <c r="SFZ24" s="252"/>
      <c r="SGA24" s="252"/>
      <c r="SGB24" s="252"/>
      <c r="SGC24" s="252"/>
      <c r="SGD24" s="252"/>
      <c r="SGE24" s="252"/>
      <c r="SGF24" s="252"/>
      <c r="SGG24" s="252"/>
      <c r="SGH24" s="252"/>
      <c r="SGI24" s="252"/>
      <c r="SGJ24" s="252"/>
      <c r="SGK24" s="252"/>
      <c r="SGL24" s="252"/>
      <c r="SGM24" s="252"/>
      <c r="SGN24" s="252"/>
      <c r="SGO24" s="252"/>
      <c r="SGP24" s="252"/>
      <c r="SGQ24" s="252"/>
      <c r="SGR24" s="252"/>
      <c r="SGS24" s="252"/>
      <c r="SGT24" s="252"/>
      <c r="SGU24" s="252"/>
      <c r="SGV24" s="252"/>
      <c r="SGW24" s="252"/>
      <c r="SGX24" s="252"/>
      <c r="SGY24" s="252"/>
      <c r="SGZ24" s="252"/>
      <c r="SHA24" s="252"/>
      <c r="SHB24" s="252"/>
      <c r="SHC24" s="252"/>
      <c r="SHD24" s="252"/>
      <c r="SHE24" s="252"/>
      <c r="SHF24" s="252"/>
      <c r="SHG24" s="252"/>
      <c r="SHH24" s="252"/>
      <c r="SHI24" s="252"/>
      <c r="SHJ24" s="252"/>
      <c r="SHK24" s="252"/>
      <c r="SHL24" s="252"/>
      <c r="SHM24" s="252"/>
      <c r="SHN24" s="252"/>
      <c r="SHO24" s="252"/>
      <c r="SHP24" s="252"/>
      <c r="SHQ24" s="252"/>
      <c r="SHR24" s="252"/>
      <c r="SHS24" s="252"/>
      <c r="SHT24" s="252"/>
      <c r="SHU24" s="252"/>
      <c r="SHV24" s="252"/>
      <c r="SHW24" s="252"/>
      <c r="SHX24" s="252"/>
      <c r="SHY24" s="252"/>
      <c r="SHZ24" s="252"/>
      <c r="SIA24" s="252"/>
      <c r="SIB24" s="252"/>
      <c r="SIC24" s="252"/>
      <c r="SID24" s="252"/>
      <c r="SIE24" s="252"/>
      <c r="SIF24" s="252"/>
      <c r="SIG24" s="252"/>
      <c r="SIH24" s="252"/>
      <c r="SII24" s="252"/>
      <c r="SIJ24" s="252"/>
      <c r="SIK24" s="252"/>
      <c r="SIL24" s="252"/>
      <c r="SIM24" s="252"/>
      <c r="SIN24" s="252"/>
      <c r="SIO24" s="252"/>
      <c r="SIP24" s="252"/>
      <c r="SIQ24" s="252"/>
      <c r="SIR24" s="252"/>
      <c r="SIS24" s="252"/>
      <c r="SIT24" s="252"/>
      <c r="SIU24" s="252"/>
      <c r="SIV24" s="252"/>
      <c r="SIW24" s="252"/>
      <c r="SIX24" s="252"/>
      <c r="SIY24" s="252"/>
      <c r="SIZ24" s="252"/>
      <c r="SJA24" s="252"/>
      <c r="SJB24" s="252"/>
      <c r="SJC24" s="252"/>
      <c r="SJD24" s="252"/>
      <c r="SJE24" s="252"/>
      <c r="SJF24" s="252"/>
      <c r="SJG24" s="252"/>
      <c r="SJH24" s="252"/>
      <c r="SJI24" s="252"/>
      <c r="SJJ24" s="252"/>
      <c r="SJK24" s="252"/>
      <c r="SJL24" s="252"/>
      <c r="SJM24" s="252"/>
      <c r="SJN24" s="252"/>
      <c r="SJO24" s="252"/>
      <c r="SJP24" s="252"/>
      <c r="SJQ24" s="252"/>
      <c r="SJR24" s="252"/>
      <c r="SJS24" s="252"/>
      <c r="SJT24" s="252"/>
      <c r="SJU24" s="252"/>
      <c r="SJV24" s="252"/>
      <c r="SJW24" s="252"/>
      <c r="SJX24" s="252"/>
      <c r="SJY24" s="252"/>
      <c r="SJZ24" s="252"/>
      <c r="SKA24" s="252"/>
      <c r="SKB24" s="252"/>
      <c r="SKC24" s="252"/>
      <c r="SKD24" s="252"/>
      <c r="SKE24" s="252"/>
      <c r="SKF24" s="252"/>
      <c r="SKG24" s="252"/>
      <c r="SKH24" s="252"/>
      <c r="SKI24" s="252"/>
      <c r="SKJ24" s="252"/>
      <c r="SKK24" s="252"/>
      <c r="SKL24" s="252"/>
      <c r="SKM24" s="252"/>
      <c r="SKN24" s="252"/>
      <c r="SKO24" s="252"/>
      <c r="SKP24" s="252"/>
      <c r="SKQ24" s="252"/>
      <c r="SKR24" s="252"/>
      <c r="SKS24" s="252"/>
      <c r="SKT24" s="252"/>
      <c r="SKU24" s="252"/>
      <c r="SKV24" s="252"/>
      <c r="SKW24" s="252"/>
      <c r="SKX24" s="252"/>
      <c r="SKY24" s="252"/>
      <c r="SKZ24" s="252"/>
      <c r="SLA24" s="252"/>
      <c r="SLB24" s="252"/>
      <c r="SLC24" s="252"/>
      <c r="SLD24" s="252"/>
      <c r="SLE24" s="252"/>
      <c r="SLF24" s="252"/>
      <c r="SLG24" s="252"/>
      <c r="SLH24" s="252"/>
      <c r="SLI24" s="252"/>
      <c r="SLJ24" s="252"/>
      <c r="SLK24" s="252"/>
      <c r="SLL24" s="252"/>
      <c r="SLM24" s="252"/>
      <c r="SLN24" s="252"/>
      <c r="SLO24" s="252"/>
      <c r="SLP24" s="252"/>
      <c r="SLQ24" s="252"/>
      <c r="SLR24" s="252"/>
      <c r="SLS24" s="252"/>
      <c r="SLT24" s="252"/>
      <c r="SLU24" s="252"/>
      <c r="SLV24" s="252"/>
      <c r="SLW24" s="252"/>
      <c r="SLX24" s="252"/>
      <c r="SLY24" s="252"/>
      <c r="SLZ24" s="252"/>
      <c r="SMA24" s="252"/>
      <c r="SMB24" s="252"/>
      <c r="SMC24" s="252"/>
      <c r="SMD24" s="252"/>
      <c r="SME24" s="252"/>
      <c r="SMF24" s="252"/>
      <c r="SMG24" s="252"/>
      <c r="SMH24" s="252"/>
      <c r="SMI24" s="252"/>
      <c r="SMJ24" s="252"/>
      <c r="SMK24" s="252"/>
      <c r="SML24" s="252"/>
      <c r="SMM24" s="252"/>
      <c r="SMN24" s="252"/>
      <c r="SMO24" s="252"/>
      <c r="SMP24" s="252"/>
      <c r="SMQ24" s="252"/>
      <c r="SMR24" s="252"/>
      <c r="SMS24" s="252"/>
      <c r="SMT24" s="252"/>
      <c r="SMU24" s="252"/>
      <c r="SMV24" s="252"/>
      <c r="SMW24" s="252"/>
      <c r="SMX24" s="252"/>
      <c r="SMY24" s="252"/>
      <c r="SMZ24" s="252"/>
      <c r="SNA24" s="252"/>
      <c r="SNB24" s="252"/>
      <c r="SNC24" s="252"/>
      <c r="SND24" s="252"/>
      <c r="SNE24" s="252"/>
      <c r="SNF24" s="252"/>
      <c r="SNG24" s="252"/>
      <c r="SNH24" s="252"/>
      <c r="SNI24" s="252"/>
      <c r="SNJ24" s="252"/>
      <c r="SNK24" s="252"/>
      <c r="SNL24" s="252"/>
      <c r="SNM24" s="252"/>
      <c r="SNN24" s="252"/>
      <c r="SNO24" s="252"/>
      <c r="SNP24" s="252"/>
      <c r="SNQ24" s="252"/>
      <c r="SNR24" s="252"/>
      <c r="SNS24" s="252"/>
      <c r="SNT24" s="252"/>
      <c r="SNU24" s="252"/>
      <c r="SNV24" s="252"/>
      <c r="SNW24" s="252"/>
      <c r="SNX24" s="252"/>
      <c r="SNY24" s="252"/>
      <c r="SNZ24" s="252"/>
      <c r="SOA24" s="252"/>
      <c r="SOB24" s="252"/>
      <c r="SOC24" s="252"/>
      <c r="SOD24" s="252"/>
      <c r="SOE24" s="252"/>
      <c r="SOF24" s="252"/>
      <c r="SOG24" s="252"/>
      <c r="SOH24" s="252"/>
      <c r="SOI24" s="252"/>
      <c r="SOJ24" s="252"/>
      <c r="SOK24" s="252"/>
      <c r="SOL24" s="252"/>
      <c r="SOM24" s="252"/>
      <c r="SON24" s="252"/>
      <c r="SOO24" s="252"/>
      <c r="SOP24" s="252"/>
      <c r="SOQ24" s="252"/>
      <c r="SOR24" s="252"/>
      <c r="SOS24" s="252"/>
      <c r="SOT24" s="252"/>
      <c r="SOU24" s="252"/>
      <c r="SOV24" s="252"/>
      <c r="SOW24" s="252"/>
      <c r="SOX24" s="252"/>
      <c r="SOY24" s="252"/>
      <c r="SOZ24" s="252"/>
      <c r="SPA24" s="252"/>
      <c r="SPB24" s="252"/>
      <c r="SPC24" s="252"/>
      <c r="SPD24" s="252"/>
      <c r="SPE24" s="252"/>
      <c r="SPF24" s="252"/>
      <c r="SPG24" s="252"/>
      <c r="SPH24" s="252"/>
      <c r="SPI24" s="252"/>
      <c r="SPJ24" s="252"/>
      <c r="SPK24" s="252"/>
      <c r="SPL24" s="252"/>
      <c r="SPM24" s="252"/>
      <c r="SPN24" s="252"/>
      <c r="SPO24" s="252"/>
      <c r="SPP24" s="252"/>
      <c r="SPQ24" s="252"/>
      <c r="SPR24" s="252"/>
      <c r="SPS24" s="252"/>
      <c r="SPT24" s="252"/>
      <c r="SPU24" s="252"/>
      <c r="SPV24" s="252"/>
      <c r="SPW24" s="252"/>
      <c r="SPX24" s="252"/>
      <c r="SPY24" s="252"/>
      <c r="SPZ24" s="252"/>
      <c r="SQA24" s="252"/>
      <c r="SQB24" s="252"/>
      <c r="SQC24" s="252"/>
      <c r="SQD24" s="252"/>
      <c r="SQE24" s="252"/>
      <c r="SQF24" s="252"/>
      <c r="SQG24" s="252"/>
      <c r="SQH24" s="252"/>
      <c r="SQI24" s="252"/>
      <c r="SQJ24" s="252"/>
      <c r="SQK24" s="252"/>
      <c r="SQL24" s="252"/>
      <c r="SQM24" s="252"/>
      <c r="SQN24" s="252"/>
      <c r="SQO24" s="252"/>
      <c r="SQP24" s="252"/>
      <c r="SQQ24" s="252"/>
      <c r="SQR24" s="252"/>
      <c r="SQS24" s="252"/>
      <c r="SQT24" s="252"/>
      <c r="SQU24" s="252"/>
      <c r="SQV24" s="252"/>
      <c r="SQW24" s="252"/>
      <c r="SQX24" s="252"/>
      <c r="SQY24" s="252"/>
      <c r="SQZ24" s="252"/>
      <c r="SRA24" s="252"/>
      <c r="SRB24" s="252"/>
      <c r="SRC24" s="252"/>
      <c r="SRD24" s="252"/>
      <c r="SRE24" s="252"/>
      <c r="SRF24" s="252"/>
      <c r="SRG24" s="252"/>
      <c r="SRH24" s="252"/>
      <c r="SRI24" s="252"/>
      <c r="SRJ24" s="252"/>
      <c r="SRK24" s="252"/>
      <c r="SRL24" s="252"/>
      <c r="SRM24" s="252"/>
      <c r="SRN24" s="252"/>
      <c r="SRO24" s="252"/>
      <c r="SRP24" s="252"/>
      <c r="SRQ24" s="252"/>
      <c r="SRR24" s="252"/>
      <c r="SRS24" s="252"/>
      <c r="SRT24" s="252"/>
      <c r="SRU24" s="252"/>
      <c r="SRV24" s="252"/>
      <c r="SRW24" s="252"/>
      <c r="SRX24" s="252"/>
      <c r="SRY24" s="252"/>
      <c r="SRZ24" s="252"/>
      <c r="SSA24" s="252"/>
      <c r="SSB24" s="252"/>
      <c r="SSC24" s="252"/>
      <c r="SSD24" s="252"/>
      <c r="SSE24" s="252"/>
      <c r="SSF24" s="252"/>
      <c r="SSG24" s="252"/>
      <c r="SSH24" s="252"/>
      <c r="SSI24" s="252"/>
      <c r="SSJ24" s="252"/>
      <c r="SSK24" s="252"/>
      <c r="SSL24" s="252"/>
      <c r="SSM24" s="252"/>
      <c r="SSN24" s="252"/>
      <c r="SSO24" s="252"/>
      <c r="SSP24" s="252"/>
      <c r="SSQ24" s="252"/>
      <c r="SSR24" s="252"/>
      <c r="SSS24" s="252"/>
      <c r="SST24" s="252"/>
      <c r="SSU24" s="252"/>
      <c r="SSV24" s="252"/>
      <c r="SSW24" s="252"/>
      <c r="SSX24" s="252"/>
      <c r="SSY24" s="252"/>
      <c r="SSZ24" s="252"/>
      <c r="STA24" s="252"/>
      <c r="STB24" s="252"/>
      <c r="STC24" s="252"/>
      <c r="STD24" s="252"/>
      <c r="STE24" s="252"/>
      <c r="STF24" s="252"/>
      <c r="STG24" s="252"/>
      <c r="STH24" s="252"/>
      <c r="STI24" s="252"/>
      <c r="STJ24" s="252"/>
      <c r="STK24" s="252"/>
      <c r="STL24" s="252"/>
      <c r="STM24" s="252"/>
      <c r="STN24" s="252"/>
      <c r="STO24" s="252"/>
      <c r="STP24" s="252"/>
      <c r="STQ24" s="252"/>
      <c r="STR24" s="252"/>
      <c r="STS24" s="252"/>
      <c r="STT24" s="252"/>
      <c r="STU24" s="252"/>
      <c r="STV24" s="252"/>
      <c r="STW24" s="252"/>
      <c r="STX24" s="252"/>
      <c r="STY24" s="252"/>
      <c r="STZ24" s="252"/>
      <c r="SUA24" s="252"/>
      <c r="SUB24" s="252"/>
      <c r="SUC24" s="252"/>
      <c r="SUD24" s="252"/>
      <c r="SUE24" s="252"/>
      <c r="SUF24" s="252"/>
      <c r="SUG24" s="252"/>
      <c r="SUH24" s="252"/>
      <c r="SUI24" s="252"/>
      <c r="SUJ24" s="252"/>
      <c r="SUK24" s="252"/>
      <c r="SUL24" s="252"/>
      <c r="SUM24" s="252"/>
      <c r="SUN24" s="252"/>
      <c r="SUO24" s="252"/>
      <c r="SUP24" s="252"/>
      <c r="SUQ24" s="252"/>
      <c r="SUR24" s="252"/>
      <c r="SUS24" s="252"/>
      <c r="SUT24" s="252"/>
      <c r="SUU24" s="252"/>
      <c r="SUV24" s="252"/>
      <c r="SUW24" s="252"/>
      <c r="SUX24" s="252"/>
      <c r="SUY24" s="252"/>
      <c r="SUZ24" s="252"/>
      <c r="SVA24" s="252"/>
      <c r="SVB24" s="252"/>
      <c r="SVC24" s="252"/>
      <c r="SVD24" s="252"/>
      <c r="SVE24" s="252"/>
      <c r="SVF24" s="252"/>
      <c r="SVG24" s="252"/>
      <c r="SVH24" s="252"/>
      <c r="SVI24" s="252"/>
      <c r="SVJ24" s="252"/>
      <c r="SVK24" s="252"/>
      <c r="SVL24" s="252"/>
      <c r="SVM24" s="252"/>
      <c r="SVN24" s="252"/>
      <c r="SVO24" s="252"/>
      <c r="SVP24" s="252"/>
      <c r="SVQ24" s="252"/>
      <c r="SVR24" s="252"/>
      <c r="SVS24" s="252"/>
      <c r="SVT24" s="252"/>
      <c r="SVU24" s="252"/>
      <c r="SVV24" s="252"/>
      <c r="SVW24" s="252"/>
      <c r="SVX24" s="252"/>
      <c r="SVY24" s="252"/>
      <c r="SVZ24" s="252"/>
      <c r="SWA24" s="252"/>
      <c r="SWB24" s="252"/>
      <c r="SWC24" s="252"/>
      <c r="SWD24" s="252"/>
      <c r="SWE24" s="252"/>
      <c r="SWF24" s="252"/>
      <c r="SWG24" s="252"/>
      <c r="SWH24" s="252"/>
      <c r="SWI24" s="252"/>
      <c r="SWJ24" s="252"/>
      <c r="SWK24" s="252"/>
      <c r="SWL24" s="252"/>
      <c r="SWM24" s="252"/>
      <c r="SWN24" s="252"/>
      <c r="SWO24" s="252"/>
      <c r="SWP24" s="252"/>
      <c r="SWQ24" s="252"/>
      <c r="SWR24" s="252"/>
      <c r="SWS24" s="252"/>
      <c r="SWT24" s="252"/>
      <c r="SWU24" s="252"/>
      <c r="SWV24" s="252"/>
      <c r="SWW24" s="252"/>
      <c r="SWX24" s="252"/>
      <c r="SWY24" s="252"/>
      <c r="SWZ24" s="252"/>
      <c r="SXA24" s="252"/>
      <c r="SXB24" s="252"/>
      <c r="SXC24" s="252"/>
      <c r="SXD24" s="252"/>
      <c r="SXE24" s="252"/>
      <c r="SXF24" s="252"/>
      <c r="SXG24" s="252"/>
      <c r="SXH24" s="252"/>
      <c r="SXI24" s="252"/>
      <c r="SXJ24" s="252"/>
      <c r="SXK24" s="252"/>
      <c r="SXL24" s="252"/>
      <c r="SXM24" s="252"/>
      <c r="SXN24" s="252"/>
      <c r="SXO24" s="252"/>
      <c r="SXP24" s="252"/>
      <c r="SXQ24" s="252"/>
      <c r="SXR24" s="252"/>
      <c r="SXS24" s="252"/>
      <c r="SXT24" s="252"/>
      <c r="SXU24" s="252"/>
      <c r="SXV24" s="252"/>
      <c r="SXW24" s="252"/>
      <c r="SXX24" s="252"/>
      <c r="SXY24" s="252"/>
      <c r="SXZ24" s="252"/>
      <c r="SYA24" s="252"/>
      <c r="SYB24" s="252"/>
      <c r="SYC24" s="252"/>
      <c r="SYD24" s="252"/>
      <c r="SYE24" s="252"/>
      <c r="SYF24" s="252"/>
      <c r="SYG24" s="252"/>
      <c r="SYH24" s="252"/>
      <c r="SYI24" s="252"/>
      <c r="SYJ24" s="252"/>
      <c r="SYK24" s="252"/>
      <c r="SYL24" s="252"/>
      <c r="SYM24" s="252"/>
      <c r="SYN24" s="252"/>
      <c r="SYO24" s="252"/>
      <c r="SYP24" s="252"/>
      <c r="SYQ24" s="252"/>
      <c r="SYR24" s="252"/>
      <c r="SYS24" s="252"/>
      <c r="SYT24" s="252"/>
      <c r="SYU24" s="252"/>
      <c r="SYV24" s="252"/>
      <c r="SYW24" s="252"/>
      <c r="SYX24" s="252"/>
      <c r="SYY24" s="252"/>
      <c r="SYZ24" s="252"/>
      <c r="SZA24" s="252"/>
      <c r="SZB24" s="252"/>
      <c r="SZC24" s="252"/>
      <c r="SZD24" s="252"/>
      <c r="SZE24" s="252"/>
      <c r="SZF24" s="252"/>
      <c r="SZG24" s="252"/>
      <c r="SZH24" s="252"/>
      <c r="SZI24" s="252"/>
      <c r="SZJ24" s="252"/>
      <c r="SZK24" s="252"/>
      <c r="SZL24" s="252"/>
      <c r="SZM24" s="252"/>
      <c r="SZN24" s="252"/>
      <c r="SZO24" s="252"/>
      <c r="SZP24" s="252"/>
      <c r="SZQ24" s="252"/>
      <c r="SZR24" s="252"/>
      <c r="SZS24" s="252"/>
      <c r="SZT24" s="252"/>
      <c r="SZU24" s="252"/>
      <c r="SZV24" s="252"/>
      <c r="SZW24" s="252"/>
      <c r="SZX24" s="252"/>
      <c r="SZY24" s="252"/>
      <c r="SZZ24" s="252"/>
      <c r="TAA24" s="252"/>
      <c r="TAB24" s="252"/>
      <c r="TAC24" s="252"/>
      <c r="TAD24" s="252"/>
      <c r="TAE24" s="252"/>
      <c r="TAF24" s="252"/>
      <c r="TAG24" s="252"/>
      <c r="TAH24" s="252"/>
      <c r="TAI24" s="252"/>
      <c r="TAJ24" s="252"/>
      <c r="TAK24" s="252"/>
      <c r="TAL24" s="252"/>
      <c r="TAM24" s="252"/>
      <c r="TAN24" s="252"/>
      <c r="TAO24" s="252"/>
      <c r="TAP24" s="252"/>
      <c r="TAQ24" s="252"/>
      <c r="TAR24" s="252"/>
      <c r="TAS24" s="252"/>
      <c r="TAT24" s="252"/>
      <c r="TAU24" s="252"/>
      <c r="TAV24" s="252"/>
      <c r="TAW24" s="252"/>
      <c r="TAX24" s="252"/>
      <c r="TAY24" s="252"/>
      <c r="TAZ24" s="252"/>
      <c r="TBA24" s="252"/>
      <c r="TBB24" s="252"/>
      <c r="TBC24" s="252"/>
      <c r="TBD24" s="252"/>
      <c r="TBE24" s="252"/>
      <c r="TBF24" s="252"/>
      <c r="TBG24" s="252"/>
      <c r="TBH24" s="252"/>
      <c r="TBI24" s="252"/>
      <c r="TBJ24" s="252"/>
      <c r="TBK24" s="252"/>
      <c r="TBL24" s="252"/>
      <c r="TBM24" s="252"/>
      <c r="TBN24" s="252"/>
      <c r="TBO24" s="252"/>
      <c r="TBP24" s="252"/>
      <c r="TBQ24" s="252"/>
      <c r="TBR24" s="252"/>
      <c r="TBS24" s="252"/>
      <c r="TBT24" s="252"/>
      <c r="TBU24" s="252"/>
      <c r="TBV24" s="252"/>
      <c r="TBW24" s="252"/>
      <c r="TBX24" s="252"/>
      <c r="TBY24" s="252"/>
      <c r="TBZ24" s="252"/>
      <c r="TCA24" s="252"/>
      <c r="TCB24" s="252"/>
      <c r="TCC24" s="252"/>
      <c r="TCD24" s="252"/>
      <c r="TCE24" s="252"/>
      <c r="TCF24" s="252"/>
      <c r="TCG24" s="252"/>
      <c r="TCH24" s="252"/>
      <c r="TCI24" s="252"/>
      <c r="TCJ24" s="252"/>
      <c r="TCK24" s="252"/>
      <c r="TCL24" s="252"/>
      <c r="TCM24" s="252"/>
      <c r="TCN24" s="252"/>
      <c r="TCO24" s="252"/>
      <c r="TCP24" s="252"/>
      <c r="TCQ24" s="252"/>
      <c r="TCR24" s="252"/>
      <c r="TCS24" s="252"/>
      <c r="TCT24" s="252"/>
      <c r="TCU24" s="252"/>
      <c r="TCV24" s="252"/>
      <c r="TCW24" s="252"/>
      <c r="TCX24" s="252"/>
      <c r="TCY24" s="252"/>
      <c r="TCZ24" s="252"/>
      <c r="TDA24" s="252"/>
      <c r="TDB24" s="252"/>
      <c r="TDC24" s="252"/>
      <c r="TDD24" s="252"/>
      <c r="TDE24" s="252"/>
      <c r="TDF24" s="252"/>
      <c r="TDG24" s="252"/>
      <c r="TDH24" s="252"/>
      <c r="TDI24" s="252"/>
      <c r="TDJ24" s="252"/>
      <c r="TDK24" s="252"/>
      <c r="TDL24" s="252"/>
      <c r="TDM24" s="252"/>
      <c r="TDN24" s="252"/>
      <c r="TDO24" s="252"/>
      <c r="TDP24" s="252"/>
      <c r="TDQ24" s="252"/>
      <c r="TDR24" s="252"/>
      <c r="TDS24" s="252"/>
      <c r="TDT24" s="252"/>
      <c r="TDU24" s="252"/>
      <c r="TDV24" s="252"/>
      <c r="TDW24" s="252"/>
      <c r="TDX24" s="252"/>
      <c r="TDY24" s="252"/>
      <c r="TDZ24" s="252"/>
      <c r="TEA24" s="252"/>
      <c r="TEB24" s="252"/>
      <c r="TEC24" s="252"/>
      <c r="TED24" s="252"/>
      <c r="TEE24" s="252"/>
      <c r="TEF24" s="252"/>
      <c r="TEG24" s="252"/>
      <c r="TEH24" s="252"/>
      <c r="TEI24" s="252"/>
      <c r="TEJ24" s="252"/>
      <c r="TEK24" s="252"/>
      <c r="TEL24" s="252"/>
      <c r="TEM24" s="252"/>
      <c r="TEN24" s="252"/>
      <c r="TEO24" s="252"/>
      <c r="TEP24" s="252"/>
      <c r="TEQ24" s="252"/>
      <c r="TER24" s="252"/>
      <c r="TES24" s="252"/>
      <c r="TET24" s="252"/>
      <c r="TEU24" s="252"/>
      <c r="TEV24" s="252"/>
      <c r="TEW24" s="252"/>
      <c r="TEX24" s="252"/>
      <c r="TEY24" s="252"/>
      <c r="TEZ24" s="252"/>
      <c r="TFA24" s="252"/>
      <c r="TFB24" s="252"/>
      <c r="TFC24" s="252"/>
      <c r="TFD24" s="252"/>
      <c r="TFE24" s="252"/>
      <c r="TFF24" s="252"/>
      <c r="TFG24" s="252"/>
      <c r="TFH24" s="252"/>
      <c r="TFI24" s="252"/>
      <c r="TFJ24" s="252"/>
      <c r="TFK24" s="252"/>
      <c r="TFL24" s="252"/>
      <c r="TFM24" s="252"/>
      <c r="TFN24" s="252"/>
      <c r="TFO24" s="252"/>
      <c r="TFP24" s="252"/>
      <c r="TFQ24" s="252"/>
      <c r="TFR24" s="252"/>
      <c r="TFS24" s="252"/>
      <c r="TFT24" s="252"/>
      <c r="TFU24" s="252"/>
      <c r="TFV24" s="252"/>
      <c r="TFW24" s="252"/>
      <c r="TFX24" s="252"/>
      <c r="TFY24" s="252"/>
      <c r="TFZ24" s="252"/>
      <c r="TGA24" s="252"/>
      <c r="TGB24" s="252"/>
      <c r="TGC24" s="252"/>
      <c r="TGD24" s="252"/>
      <c r="TGE24" s="252"/>
      <c r="TGF24" s="252"/>
      <c r="TGG24" s="252"/>
      <c r="TGH24" s="252"/>
      <c r="TGI24" s="252"/>
      <c r="TGJ24" s="252"/>
      <c r="TGK24" s="252"/>
      <c r="TGL24" s="252"/>
      <c r="TGM24" s="252"/>
      <c r="TGN24" s="252"/>
      <c r="TGO24" s="252"/>
      <c r="TGP24" s="252"/>
      <c r="TGQ24" s="252"/>
      <c r="TGR24" s="252"/>
      <c r="TGS24" s="252"/>
      <c r="TGT24" s="252"/>
      <c r="TGU24" s="252"/>
      <c r="TGV24" s="252"/>
      <c r="TGW24" s="252"/>
      <c r="TGX24" s="252"/>
      <c r="TGY24" s="252"/>
      <c r="TGZ24" s="252"/>
      <c r="THA24" s="252"/>
      <c r="THB24" s="252"/>
      <c r="THC24" s="252"/>
      <c r="THD24" s="252"/>
      <c r="THE24" s="252"/>
      <c r="THF24" s="252"/>
      <c r="THG24" s="252"/>
      <c r="THH24" s="252"/>
      <c r="THI24" s="252"/>
      <c r="THJ24" s="252"/>
      <c r="THK24" s="252"/>
      <c r="THL24" s="252"/>
      <c r="THM24" s="252"/>
      <c r="THN24" s="252"/>
      <c r="THO24" s="252"/>
      <c r="THP24" s="252"/>
      <c r="THQ24" s="252"/>
      <c r="THR24" s="252"/>
      <c r="THS24" s="252"/>
      <c r="THT24" s="252"/>
      <c r="THU24" s="252"/>
      <c r="THV24" s="252"/>
      <c r="THW24" s="252"/>
      <c r="THX24" s="252"/>
      <c r="THY24" s="252"/>
      <c r="THZ24" s="252"/>
      <c r="TIA24" s="252"/>
      <c r="TIB24" s="252"/>
      <c r="TIC24" s="252"/>
      <c r="TID24" s="252"/>
      <c r="TIE24" s="252"/>
      <c r="TIF24" s="252"/>
      <c r="TIG24" s="252"/>
      <c r="TIH24" s="252"/>
      <c r="TII24" s="252"/>
      <c r="TIJ24" s="252"/>
      <c r="TIK24" s="252"/>
      <c r="TIL24" s="252"/>
      <c r="TIM24" s="252"/>
      <c r="TIN24" s="252"/>
      <c r="TIO24" s="252"/>
      <c r="TIP24" s="252"/>
      <c r="TIQ24" s="252"/>
      <c r="TIR24" s="252"/>
      <c r="TIS24" s="252"/>
      <c r="TIT24" s="252"/>
      <c r="TIU24" s="252"/>
      <c r="TIV24" s="252"/>
      <c r="TIW24" s="252"/>
      <c r="TIX24" s="252"/>
      <c r="TIY24" s="252"/>
      <c r="TIZ24" s="252"/>
      <c r="TJA24" s="252"/>
      <c r="TJB24" s="252"/>
      <c r="TJC24" s="252"/>
      <c r="TJD24" s="252"/>
      <c r="TJE24" s="252"/>
      <c r="TJF24" s="252"/>
      <c r="TJG24" s="252"/>
      <c r="TJH24" s="252"/>
      <c r="TJI24" s="252"/>
      <c r="TJJ24" s="252"/>
      <c r="TJK24" s="252"/>
      <c r="TJL24" s="252"/>
      <c r="TJM24" s="252"/>
      <c r="TJN24" s="252"/>
      <c r="TJO24" s="252"/>
      <c r="TJP24" s="252"/>
      <c r="TJQ24" s="252"/>
      <c r="TJR24" s="252"/>
      <c r="TJS24" s="252"/>
      <c r="TJT24" s="252"/>
      <c r="TJU24" s="252"/>
      <c r="TJV24" s="252"/>
      <c r="TJW24" s="252"/>
      <c r="TJX24" s="252"/>
      <c r="TJY24" s="252"/>
      <c r="TJZ24" s="252"/>
      <c r="TKA24" s="252"/>
      <c r="TKB24" s="252"/>
      <c r="TKC24" s="252"/>
      <c r="TKD24" s="252"/>
      <c r="TKE24" s="252"/>
      <c r="TKF24" s="252"/>
      <c r="TKG24" s="252"/>
      <c r="TKH24" s="252"/>
      <c r="TKI24" s="252"/>
      <c r="TKJ24" s="252"/>
      <c r="TKK24" s="252"/>
      <c r="TKL24" s="252"/>
      <c r="TKM24" s="252"/>
      <c r="TKN24" s="252"/>
      <c r="TKO24" s="252"/>
      <c r="TKP24" s="252"/>
      <c r="TKQ24" s="252"/>
      <c r="TKR24" s="252"/>
      <c r="TKS24" s="252"/>
      <c r="TKT24" s="252"/>
      <c r="TKU24" s="252"/>
      <c r="TKV24" s="252"/>
      <c r="TKW24" s="252"/>
      <c r="TKX24" s="252"/>
      <c r="TKY24" s="252"/>
      <c r="TKZ24" s="252"/>
      <c r="TLA24" s="252"/>
      <c r="TLB24" s="252"/>
      <c r="TLC24" s="252"/>
      <c r="TLD24" s="252"/>
      <c r="TLE24" s="252"/>
      <c r="TLF24" s="252"/>
      <c r="TLG24" s="252"/>
      <c r="TLH24" s="252"/>
      <c r="TLI24" s="252"/>
      <c r="TLJ24" s="252"/>
      <c r="TLK24" s="252"/>
      <c r="TLL24" s="252"/>
      <c r="TLM24" s="252"/>
      <c r="TLN24" s="252"/>
      <c r="TLO24" s="252"/>
      <c r="TLP24" s="252"/>
      <c r="TLQ24" s="252"/>
      <c r="TLR24" s="252"/>
      <c r="TLS24" s="252"/>
      <c r="TLT24" s="252"/>
      <c r="TLU24" s="252"/>
      <c r="TLV24" s="252"/>
      <c r="TLW24" s="252"/>
      <c r="TLX24" s="252"/>
      <c r="TLY24" s="252"/>
      <c r="TLZ24" s="252"/>
      <c r="TMA24" s="252"/>
      <c r="TMB24" s="252"/>
      <c r="TMC24" s="252"/>
      <c r="TMD24" s="252"/>
      <c r="TME24" s="252"/>
      <c r="TMF24" s="252"/>
      <c r="TMG24" s="252"/>
      <c r="TMH24" s="252"/>
      <c r="TMI24" s="252"/>
      <c r="TMJ24" s="252"/>
      <c r="TMK24" s="252"/>
      <c r="TML24" s="252"/>
      <c r="TMM24" s="252"/>
      <c r="TMN24" s="252"/>
      <c r="TMO24" s="252"/>
      <c r="TMP24" s="252"/>
      <c r="TMQ24" s="252"/>
      <c r="TMR24" s="252"/>
      <c r="TMS24" s="252"/>
      <c r="TMT24" s="252"/>
      <c r="TMU24" s="252"/>
      <c r="TMV24" s="252"/>
      <c r="TMW24" s="252"/>
      <c r="TMX24" s="252"/>
      <c r="TMY24" s="252"/>
      <c r="TMZ24" s="252"/>
      <c r="TNA24" s="252"/>
      <c r="TNB24" s="252"/>
      <c r="TNC24" s="252"/>
      <c r="TND24" s="252"/>
      <c r="TNE24" s="252"/>
      <c r="TNF24" s="252"/>
      <c r="TNG24" s="252"/>
      <c r="TNH24" s="252"/>
      <c r="TNI24" s="252"/>
      <c r="TNJ24" s="252"/>
      <c r="TNK24" s="252"/>
      <c r="TNL24" s="252"/>
      <c r="TNM24" s="252"/>
      <c r="TNN24" s="252"/>
      <c r="TNO24" s="252"/>
      <c r="TNP24" s="252"/>
      <c r="TNQ24" s="252"/>
      <c r="TNR24" s="252"/>
      <c r="TNS24" s="252"/>
      <c r="TNT24" s="252"/>
      <c r="TNU24" s="252"/>
      <c r="TNV24" s="252"/>
      <c r="TNW24" s="252"/>
      <c r="TNX24" s="252"/>
      <c r="TNY24" s="252"/>
      <c r="TNZ24" s="252"/>
      <c r="TOA24" s="252"/>
      <c r="TOB24" s="252"/>
      <c r="TOC24" s="252"/>
      <c r="TOD24" s="252"/>
      <c r="TOE24" s="252"/>
      <c r="TOF24" s="252"/>
      <c r="TOG24" s="252"/>
      <c r="TOH24" s="252"/>
      <c r="TOI24" s="252"/>
      <c r="TOJ24" s="252"/>
      <c r="TOK24" s="252"/>
      <c r="TOL24" s="252"/>
      <c r="TOM24" s="252"/>
      <c r="TON24" s="252"/>
      <c r="TOO24" s="252"/>
      <c r="TOP24" s="252"/>
      <c r="TOQ24" s="252"/>
      <c r="TOR24" s="252"/>
      <c r="TOS24" s="252"/>
      <c r="TOT24" s="252"/>
      <c r="TOU24" s="252"/>
      <c r="TOV24" s="252"/>
      <c r="TOW24" s="252"/>
      <c r="TOX24" s="252"/>
      <c r="TOY24" s="252"/>
      <c r="TOZ24" s="252"/>
      <c r="TPA24" s="252"/>
      <c r="TPB24" s="252"/>
      <c r="TPC24" s="252"/>
      <c r="TPD24" s="252"/>
      <c r="TPE24" s="252"/>
      <c r="TPF24" s="252"/>
      <c r="TPG24" s="252"/>
      <c r="TPH24" s="252"/>
      <c r="TPI24" s="252"/>
      <c r="TPJ24" s="252"/>
      <c r="TPK24" s="252"/>
      <c r="TPL24" s="252"/>
      <c r="TPM24" s="252"/>
      <c r="TPN24" s="252"/>
      <c r="TPO24" s="252"/>
      <c r="TPP24" s="252"/>
      <c r="TPQ24" s="252"/>
      <c r="TPR24" s="252"/>
      <c r="TPS24" s="252"/>
      <c r="TPT24" s="252"/>
      <c r="TPU24" s="252"/>
      <c r="TPV24" s="252"/>
      <c r="TPW24" s="252"/>
      <c r="TPX24" s="252"/>
      <c r="TPY24" s="252"/>
      <c r="TPZ24" s="252"/>
      <c r="TQA24" s="252"/>
      <c r="TQB24" s="252"/>
      <c r="TQC24" s="252"/>
      <c r="TQD24" s="252"/>
      <c r="TQE24" s="252"/>
      <c r="TQF24" s="252"/>
      <c r="TQG24" s="252"/>
      <c r="TQH24" s="252"/>
      <c r="TQI24" s="252"/>
      <c r="TQJ24" s="252"/>
      <c r="TQK24" s="252"/>
      <c r="TQL24" s="252"/>
      <c r="TQM24" s="252"/>
      <c r="TQN24" s="252"/>
      <c r="TQO24" s="252"/>
      <c r="TQP24" s="252"/>
      <c r="TQQ24" s="252"/>
      <c r="TQR24" s="252"/>
      <c r="TQS24" s="252"/>
      <c r="TQT24" s="252"/>
      <c r="TQU24" s="252"/>
      <c r="TQV24" s="252"/>
      <c r="TQW24" s="252"/>
      <c r="TQX24" s="252"/>
      <c r="TQY24" s="252"/>
      <c r="TQZ24" s="252"/>
      <c r="TRA24" s="252"/>
      <c r="TRB24" s="252"/>
      <c r="TRC24" s="252"/>
      <c r="TRD24" s="252"/>
      <c r="TRE24" s="252"/>
      <c r="TRF24" s="252"/>
      <c r="TRG24" s="252"/>
      <c r="TRH24" s="252"/>
      <c r="TRI24" s="252"/>
      <c r="TRJ24" s="252"/>
      <c r="TRK24" s="252"/>
      <c r="TRL24" s="252"/>
      <c r="TRM24" s="252"/>
      <c r="TRN24" s="252"/>
      <c r="TRO24" s="252"/>
      <c r="TRP24" s="252"/>
      <c r="TRQ24" s="252"/>
      <c r="TRR24" s="252"/>
      <c r="TRS24" s="252"/>
      <c r="TRT24" s="252"/>
      <c r="TRU24" s="252"/>
      <c r="TRV24" s="252"/>
      <c r="TRW24" s="252"/>
      <c r="TRX24" s="252"/>
      <c r="TRY24" s="252"/>
      <c r="TRZ24" s="252"/>
      <c r="TSA24" s="252"/>
      <c r="TSB24" s="252"/>
      <c r="TSC24" s="252"/>
      <c r="TSD24" s="252"/>
      <c r="TSE24" s="252"/>
      <c r="TSF24" s="252"/>
      <c r="TSG24" s="252"/>
      <c r="TSH24" s="252"/>
      <c r="TSI24" s="252"/>
      <c r="TSJ24" s="252"/>
      <c r="TSK24" s="252"/>
      <c r="TSL24" s="252"/>
      <c r="TSM24" s="252"/>
      <c r="TSN24" s="252"/>
      <c r="TSO24" s="252"/>
      <c r="TSP24" s="252"/>
      <c r="TSQ24" s="252"/>
      <c r="TSR24" s="252"/>
      <c r="TSS24" s="252"/>
      <c r="TST24" s="252"/>
      <c r="TSU24" s="252"/>
      <c r="TSV24" s="252"/>
      <c r="TSW24" s="252"/>
      <c r="TSX24" s="252"/>
      <c r="TSY24" s="252"/>
      <c r="TSZ24" s="252"/>
      <c r="TTA24" s="252"/>
      <c r="TTB24" s="252"/>
      <c r="TTC24" s="252"/>
      <c r="TTD24" s="252"/>
      <c r="TTE24" s="252"/>
      <c r="TTF24" s="252"/>
      <c r="TTG24" s="252"/>
      <c r="TTH24" s="252"/>
      <c r="TTI24" s="252"/>
      <c r="TTJ24" s="252"/>
      <c r="TTK24" s="252"/>
      <c r="TTL24" s="252"/>
      <c r="TTM24" s="252"/>
      <c r="TTN24" s="252"/>
      <c r="TTO24" s="252"/>
      <c r="TTP24" s="252"/>
      <c r="TTQ24" s="252"/>
      <c r="TTR24" s="252"/>
      <c r="TTS24" s="252"/>
      <c r="TTT24" s="252"/>
      <c r="TTU24" s="252"/>
      <c r="TTV24" s="252"/>
      <c r="TTW24" s="252"/>
      <c r="TTX24" s="252"/>
      <c r="TTY24" s="252"/>
      <c r="TTZ24" s="252"/>
      <c r="TUA24" s="252"/>
      <c r="TUB24" s="252"/>
      <c r="TUC24" s="252"/>
      <c r="TUD24" s="252"/>
      <c r="TUE24" s="252"/>
      <c r="TUF24" s="252"/>
      <c r="TUG24" s="252"/>
      <c r="TUH24" s="252"/>
      <c r="TUI24" s="252"/>
      <c r="TUJ24" s="252"/>
      <c r="TUK24" s="252"/>
      <c r="TUL24" s="252"/>
      <c r="TUM24" s="252"/>
      <c r="TUN24" s="252"/>
      <c r="TUO24" s="252"/>
      <c r="TUP24" s="252"/>
      <c r="TUQ24" s="252"/>
      <c r="TUR24" s="252"/>
      <c r="TUS24" s="252"/>
      <c r="TUT24" s="252"/>
      <c r="TUU24" s="252"/>
      <c r="TUV24" s="252"/>
      <c r="TUW24" s="252"/>
      <c r="TUX24" s="252"/>
      <c r="TUY24" s="252"/>
      <c r="TUZ24" s="252"/>
      <c r="TVA24" s="252"/>
      <c r="TVB24" s="252"/>
      <c r="TVC24" s="252"/>
      <c r="TVD24" s="252"/>
      <c r="TVE24" s="252"/>
      <c r="TVF24" s="252"/>
      <c r="TVG24" s="252"/>
      <c r="TVH24" s="252"/>
      <c r="TVI24" s="252"/>
      <c r="TVJ24" s="252"/>
      <c r="TVK24" s="252"/>
      <c r="TVL24" s="252"/>
      <c r="TVM24" s="252"/>
      <c r="TVN24" s="252"/>
      <c r="TVO24" s="252"/>
      <c r="TVP24" s="252"/>
      <c r="TVQ24" s="252"/>
      <c r="TVR24" s="252"/>
      <c r="TVS24" s="252"/>
      <c r="TVT24" s="252"/>
      <c r="TVU24" s="252"/>
      <c r="TVV24" s="252"/>
      <c r="TVW24" s="252"/>
      <c r="TVX24" s="252"/>
      <c r="TVY24" s="252"/>
      <c r="TVZ24" s="252"/>
      <c r="TWA24" s="252"/>
      <c r="TWB24" s="252"/>
      <c r="TWC24" s="252"/>
      <c r="TWD24" s="252"/>
      <c r="TWE24" s="252"/>
      <c r="TWF24" s="252"/>
      <c r="TWG24" s="252"/>
      <c r="TWH24" s="252"/>
      <c r="TWI24" s="252"/>
      <c r="TWJ24" s="252"/>
      <c r="TWK24" s="252"/>
      <c r="TWL24" s="252"/>
      <c r="TWM24" s="252"/>
      <c r="TWN24" s="252"/>
      <c r="TWO24" s="252"/>
      <c r="TWP24" s="252"/>
      <c r="TWQ24" s="252"/>
      <c r="TWR24" s="252"/>
      <c r="TWS24" s="252"/>
      <c r="TWT24" s="252"/>
      <c r="TWU24" s="252"/>
      <c r="TWV24" s="252"/>
      <c r="TWW24" s="252"/>
      <c r="TWX24" s="252"/>
      <c r="TWY24" s="252"/>
      <c r="TWZ24" s="252"/>
      <c r="TXA24" s="252"/>
      <c r="TXB24" s="252"/>
      <c r="TXC24" s="252"/>
      <c r="TXD24" s="252"/>
      <c r="TXE24" s="252"/>
      <c r="TXF24" s="252"/>
      <c r="TXG24" s="252"/>
      <c r="TXH24" s="252"/>
      <c r="TXI24" s="252"/>
      <c r="TXJ24" s="252"/>
      <c r="TXK24" s="252"/>
      <c r="TXL24" s="252"/>
      <c r="TXM24" s="252"/>
      <c r="TXN24" s="252"/>
      <c r="TXO24" s="252"/>
      <c r="TXP24" s="252"/>
      <c r="TXQ24" s="252"/>
      <c r="TXR24" s="252"/>
      <c r="TXS24" s="252"/>
      <c r="TXT24" s="252"/>
      <c r="TXU24" s="252"/>
      <c r="TXV24" s="252"/>
      <c r="TXW24" s="252"/>
      <c r="TXX24" s="252"/>
      <c r="TXY24" s="252"/>
      <c r="TXZ24" s="252"/>
      <c r="TYA24" s="252"/>
      <c r="TYB24" s="252"/>
      <c r="TYC24" s="252"/>
      <c r="TYD24" s="252"/>
      <c r="TYE24" s="252"/>
      <c r="TYF24" s="252"/>
      <c r="TYG24" s="252"/>
      <c r="TYH24" s="252"/>
      <c r="TYI24" s="252"/>
      <c r="TYJ24" s="252"/>
      <c r="TYK24" s="252"/>
      <c r="TYL24" s="252"/>
      <c r="TYM24" s="252"/>
      <c r="TYN24" s="252"/>
      <c r="TYO24" s="252"/>
      <c r="TYP24" s="252"/>
      <c r="TYQ24" s="252"/>
      <c r="TYR24" s="252"/>
      <c r="TYS24" s="252"/>
      <c r="TYT24" s="252"/>
      <c r="TYU24" s="252"/>
      <c r="TYV24" s="252"/>
      <c r="TYW24" s="252"/>
      <c r="TYX24" s="252"/>
      <c r="TYY24" s="252"/>
      <c r="TYZ24" s="252"/>
      <c r="TZA24" s="252"/>
      <c r="TZB24" s="252"/>
      <c r="TZC24" s="252"/>
      <c r="TZD24" s="252"/>
      <c r="TZE24" s="252"/>
      <c r="TZF24" s="252"/>
      <c r="TZG24" s="252"/>
      <c r="TZH24" s="252"/>
      <c r="TZI24" s="252"/>
      <c r="TZJ24" s="252"/>
      <c r="TZK24" s="252"/>
      <c r="TZL24" s="252"/>
      <c r="TZM24" s="252"/>
      <c r="TZN24" s="252"/>
      <c r="TZO24" s="252"/>
      <c r="TZP24" s="252"/>
      <c r="TZQ24" s="252"/>
      <c r="TZR24" s="252"/>
      <c r="TZS24" s="252"/>
      <c r="TZT24" s="252"/>
      <c r="TZU24" s="252"/>
      <c r="TZV24" s="252"/>
      <c r="TZW24" s="252"/>
      <c r="TZX24" s="252"/>
      <c r="TZY24" s="252"/>
      <c r="TZZ24" s="252"/>
      <c r="UAA24" s="252"/>
      <c r="UAB24" s="252"/>
      <c r="UAC24" s="252"/>
      <c r="UAD24" s="252"/>
      <c r="UAE24" s="252"/>
      <c r="UAF24" s="252"/>
      <c r="UAG24" s="252"/>
      <c r="UAH24" s="252"/>
      <c r="UAI24" s="252"/>
      <c r="UAJ24" s="252"/>
      <c r="UAK24" s="252"/>
      <c r="UAL24" s="252"/>
      <c r="UAM24" s="252"/>
      <c r="UAN24" s="252"/>
      <c r="UAO24" s="252"/>
      <c r="UAP24" s="252"/>
      <c r="UAQ24" s="252"/>
      <c r="UAR24" s="252"/>
      <c r="UAS24" s="252"/>
      <c r="UAT24" s="252"/>
      <c r="UAU24" s="252"/>
      <c r="UAV24" s="252"/>
      <c r="UAW24" s="252"/>
      <c r="UAX24" s="252"/>
      <c r="UAY24" s="252"/>
      <c r="UAZ24" s="252"/>
      <c r="UBA24" s="252"/>
      <c r="UBB24" s="252"/>
      <c r="UBC24" s="252"/>
      <c r="UBD24" s="252"/>
      <c r="UBE24" s="252"/>
      <c r="UBF24" s="252"/>
      <c r="UBG24" s="252"/>
      <c r="UBH24" s="252"/>
      <c r="UBI24" s="252"/>
      <c r="UBJ24" s="252"/>
      <c r="UBK24" s="252"/>
      <c r="UBL24" s="252"/>
      <c r="UBM24" s="252"/>
      <c r="UBN24" s="252"/>
      <c r="UBO24" s="252"/>
      <c r="UBP24" s="252"/>
      <c r="UBQ24" s="252"/>
      <c r="UBR24" s="252"/>
      <c r="UBS24" s="252"/>
      <c r="UBT24" s="252"/>
      <c r="UBU24" s="252"/>
      <c r="UBV24" s="252"/>
      <c r="UBW24" s="252"/>
      <c r="UBX24" s="252"/>
      <c r="UBY24" s="252"/>
      <c r="UBZ24" s="252"/>
      <c r="UCA24" s="252"/>
      <c r="UCB24" s="252"/>
      <c r="UCC24" s="252"/>
      <c r="UCD24" s="252"/>
      <c r="UCE24" s="252"/>
      <c r="UCF24" s="252"/>
      <c r="UCG24" s="252"/>
      <c r="UCH24" s="252"/>
      <c r="UCI24" s="252"/>
      <c r="UCJ24" s="252"/>
      <c r="UCK24" s="252"/>
      <c r="UCL24" s="252"/>
      <c r="UCM24" s="252"/>
      <c r="UCN24" s="252"/>
      <c r="UCO24" s="252"/>
      <c r="UCP24" s="252"/>
      <c r="UCQ24" s="252"/>
      <c r="UCR24" s="252"/>
      <c r="UCS24" s="252"/>
      <c r="UCT24" s="252"/>
      <c r="UCU24" s="252"/>
      <c r="UCV24" s="252"/>
      <c r="UCW24" s="252"/>
      <c r="UCX24" s="252"/>
      <c r="UCY24" s="252"/>
      <c r="UCZ24" s="252"/>
      <c r="UDA24" s="252"/>
      <c r="UDB24" s="252"/>
      <c r="UDC24" s="252"/>
      <c r="UDD24" s="252"/>
      <c r="UDE24" s="252"/>
      <c r="UDF24" s="252"/>
      <c r="UDG24" s="252"/>
      <c r="UDH24" s="252"/>
      <c r="UDI24" s="252"/>
      <c r="UDJ24" s="252"/>
      <c r="UDK24" s="252"/>
      <c r="UDL24" s="252"/>
      <c r="UDM24" s="252"/>
      <c r="UDN24" s="252"/>
      <c r="UDO24" s="252"/>
      <c r="UDP24" s="252"/>
      <c r="UDQ24" s="252"/>
      <c r="UDR24" s="252"/>
      <c r="UDS24" s="252"/>
      <c r="UDT24" s="252"/>
      <c r="UDU24" s="252"/>
      <c r="UDV24" s="252"/>
      <c r="UDW24" s="252"/>
      <c r="UDX24" s="252"/>
      <c r="UDY24" s="252"/>
      <c r="UDZ24" s="252"/>
      <c r="UEA24" s="252"/>
      <c r="UEB24" s="252"/>
      <c r="UEC24" s="252"/>
      <c r="UED24" s="252"/>
      <c r="UEE24" s="252"/>
      <c r="UEF24" s="252"/>
      <c r="UEG24" s="252"/>
      <c r="UEH24" s="252"/>
      <c r="UEI24" s="252"/>
      <c r="UEJ24" s="252"/>
      <c r="UEK24" s="252"/>
      <c r="UEL24" s="252"/>
      <c r="UEM24" s="252"/>
      <c r="UEN24" s="252"/>
      <c r="UEO24" s="252"/>
      <c r="UEP24" s="252"/>
      <c r="UEQ24" s="252"/>
      <c r="UER24" s="252"/>
      <c r="UES24" s="252"/>
      <c r="UET24" s="252"/>
      <c r="UEU24" s="252"/>
      <c r="UEV24" s="252"/>
      <c r="UEW24" s="252"/>
      <c r="UEX24" s="252"/>
      <c r="UEY24" s="252"/>
      <c r="UEZ24" s="252"/>
      <c r="UFA24" s="252"/>
      <c r="UFB24" s="252"/>
      <c r="UFC24" s="252"/>
      <c r="UFD24" s="252"/>
      <c r="UFE24" s="252"/>
      <c r="UFF24" s="252"/>
      <c r="UFG24" s="252"/>
      <c r="UFH24" s="252"/>
      <c r="UFI24" s="252"/>
      <c r="UFJ24" s="252"/>
      <c r="UFK24" s="252"/>
      <c r="UFL24" s="252"/>
      <c r="UFM24" s="252"/>
      <c r="UFN24" s="252"/>
      <c r="UFO24" s="252"/>
      <c r="UFP24" s="252"/>
      <c r="UFQ24" s="252"/>
      <c r="UFR24" s="252"/>
      <c r="UFS24" s="252"/>
      <c r="UFT24" s="252"/>
      <c r="UFU24" s="252"/>
      <c r="UFV24" s="252"/>
      <c r="UFW24" s="252"/>
      <c r="UFX24" s="252"/>
      <c r="UFY24" s="252"/>
      <c r="UFZ24" s="252"/>
      <c r="UGA24" s="252"/>
      <c r="UGB24" s="252"/>
      <c r="UGC24" s="252"/>
      <c r="UGD24" s="252"/>
      <c r="UGE24" s="252"/>
      <c r="UGF24" s="252"/>
      <c r="UGG24" s="252"/>
      <c r="UGH24" s="252"/>
      <c r="UGI24" s="252"/>
      <c r="UGJ24" s="252"/>
      <c r="UGK24" s="252"/>
      <c r="UGL24" s="252"/>
      <c r="UGM24" s="252"/>
      <c r="UGN24" s="252"/>
      <c r="UGO24" s="252"/>
      <c r="UGP24" s="252"/>
      <c r="UGQ24" s="252"/>
      <c r="UGR24" s="252"/>
      <c r="UGS24" s="252"/>
      <c r="UGT24" s="252"/>
      <c r="UGU24" s="252"/>
      <c r="UGV24" s="252"/>
      <c r="UGW24" s="252"/>
      <c r="UGX24" s="252"/>
      <c r="UGY24" s="252"/>
      <c r="UGZ24" s="252"/>
      <c r="UHA24" s="252"/>
      <c r="UHB24" s="252"/>
      <c r="UHC24" s="252"/>
      <c r="UHD24" s="252"/>
      <c r="UHE24" s="252"/>
      <c r="UHF24" s="252"/>
      <c r="UHG24" s="252"/>
      <c r="UHH24" s="252"/>
      <c r="UHI24" s="252"/>
      <c r="UHJ24" s="252"/>
      <c r="UHK24" s="252"/>
      <c r="UHL24" s="252"/>
      <c r="UHM24" s="252"/>
      <c r="UHN24" s="252"/>
      <c r="UHO24" s="252"/>
      <c r="UHP24" s="252"/>
      <c r="UHQ24" s="252"/>
      <c r="UHR24" s="252"/>
      <c r="UHS24" s="252"/>
      <c r="UHT24" s="252"/>
      <c r="UHU24" s="252"/>
      <c r="UHV24" s="252"/>
      <c r="UHW24" s="252"/>
      <c r="UHX24" s="252"/>
      <c r="UHY24" s="252"/>
      <c r="UHZ24" s="252"/>
      <c r="UIA24" s="252"/>
      <c r="UIB24" s="252"/>
      <c r="UIC24" s="252"/>
      <c r="UID24" s="252"/>
      <c r="UIE24" s="252"/>
      <c r="UIF24" s="252"/>
      <c r="UIG24" s="252"/>
      <c r="UIH24" s="252"/>
      <c r="UII24" s="252"/>
      <c r="UIJ24" s="252"/>
      <c r="UIK24" s="252"/>
      <c r="UIL24" s="252"/>
      <c r="UIM24" s="252"/>
      <c r="UIN24" s="252"/>
      <c r="UIO24" s="252"/>
      <c r="UIP24" s="252"/>
      <c r="UIQ24" s="252"/>
      <c r="UIR24" s="252"/>
      <c r="UIS24" s="252"/>
      <c r="UIT24" s="252"/>
      <c r="UIU24" s="252"/>
      <c r="UIV24" s="252"/>
      <c r="UIW24" s="252"/>
      <c r="UIX24" s="252"/>
      <c r="UIY24" s="252"/>
      <c r="UIZ24" s="252"/>
      <c r="UJA24" s="252"/>
      <c r="UJB24" s="252"/>
      <c r="UJC24" s="252"/>
      <c r="UJD24" s="252"/>
      <c r="UJE24" s="252"/>
      <c r="UJF24" s="252"/>
      <c r="UJG24" s="252"/>
      <c r="UJH24" s="252"/>
      <c r="UJI24" s="252"/>
      <c r="UJJ24" s="252"/>
      <c r="UJK24" s="252"/>
      <c r="UJL24" s="252"/>
      <c r="UJM24" s="252"/>
      <c r="UJN24" s="252"/>
      <c r="UJO24" s="252"/>
      <c r="UJP24" s="252"/>
      <c r="UJQ24" s="252"/>
      <c r="UJR24" s="252"/>
      <c r="UJS24" s="252"/>
      <c r="UJT24" s="252"/>
      <c r="UJU24" s="252"/>
      <c r="UJV24" s="252"/>
      <c r="UJW24" s="252"/>
      <c r="UJX24" s="252"/>
      <c r="UJY24" s="252"/>
      <c r="UJZ24" s="252"/>
      <c r="UKA24" s="252"/>
      <c r="UKB24" s="252"/>
      <c r="UKC24" s="252"/>
      <c r="UKD24" s="252"/>
      <c r="UKE24" s="252"/>
      <c r="UKF24" s="252"/>
      <c r="UKG24" s="252"/>
      <c r="UKH24" s="252"/>
      <c r="UKI24" s="252"/>
      <c r="UKJ24" s="252"/>
      <c r="UKK24" s="252"/>
      <c r="UKL24" s="252"/>
      <c r="UKM24" s="252"/>
      <c r="UKN24" s="252"/>
      <c r="UKO24" s="252"/>
      <c r="UKP24" s="252"/>
      <c r="UKQ24" s="252"/>
      <c r="UKR24" s="252"/>
      <c r="UKS24" s="252"/>
      <c r="UKT24" s="252"/>
      <c r="UKU24" s="252"/>
      <c r="UKV24" s="252"/>
      <c r="UKW24" s="252"/>
      <c r="UKX24" s="252"/>
      <c r="UKY24" s="252"/>
      <c r="UKZ24" s="252"/>
      <c r="ULA24" s="252"/>
      <c r="ULB24" s="252"/>
      <c r="ULC24" s="252"/>
      <c r="ULD24" s="252"/>
      <c r="ULE24" s="252"/>
      <c r="ULF24" s="252"/>
      <c r="ULG24" s="252"/>
      <c r="ULH24" s="252"/>
      <c r="ULI24" s="252"/>
      <c r="ULJ24" s="252"/>
      <c r="ULK24" s="252"/>
      <c r="ULL24" s="252"/>
      <c r="ULM24" s="252"/>
      <c r="ULN24" s="252"/>
      <c r="ULO24" s="252"/>
      <c r="ULP24" s="252"/>
      <c r="ULQ24" s="252"/>
      <c r="ULR24" s="252"/>
      <c r="ULS24" s="252"/>
      <c r="ULT24" s="252"/>
      <c r="ULU24" s="252"/>
      <c r="ULV24" s="252"/>
      <c r="ULW24" s="252"/>
      <c r="ULX24" s="252"/>
      <c r="ULY24" s="252"/>
      <c r="ULZ24" s="252"/>
      <c r="UMA24" s="252"/>
      <c r="UMB24" s="252"/>
      <c r="UMC24" s="252"/>
      <c r="UMD24" s="252"/>
      <c r="UME24" s="252"/>
      <c r="UMF24" s="252"/>
      <c r="UMG24" s="252"/>
      <c r="UMH24" s="252"/>
      <c r="UMI24" s="252"/>
      <c r="UMJ24" s="252"/>
      <c r="UMK24" s="252"/>
      <c r="UML24" s="252"/>
      <c r="UMM24" s="252"/>
      <c r="UMN24" s="252"/>
      <c r="UMO24" s="252"/>
      <c r="UMP24" s="252"/>
      <c r="UMQ24" s="252"/>
      <c r="UMR24" s="252"/>
      <c r="UMS24" s="252"/>
      <c r="UMT24" s="252"/>
      <c r="UMU24" s="252"/>
      <c r="UMV24" s="252"/>
      <c r="UMW24" s="252"/>
      <c r="UMX24" s="252"/>
      <c r="UMY24" s="252"/>
      <c r="UMZ24" s="252"/>
      <c r="UNA24" s="252"/>
      <c r="UNB24" s="252"/>
      <c r="UNC24" s="252"/>
      <c r="UND24" s="252"/>
      <c r="UNE24" s="252"/>
      <c r="UNF24" s="252"/>
      <c r="UNG24" s="252"/>
      <c r="UNH24" s="252"/>
      <c r="UNI24" s="252"/>
      <c r="UNJ24" s="252"/>
      <c r="UNK24" s="252"/>
      <c r="UNL24" s="252"/>
      <c r="UNM24" s="252"/>
      <c r="UNN24" s="252"/>
      <c r="UNO24" s="252"/>
      <c r="UNP24" s="252"/>
      <c r="UNQ24" s="252"/>
      <c r="UNR24" s="252"/>
      <c r="UNS24" s="252"/>
      <c r="UNT24" s="252"/>
      <c r="UNU24" s="252"/>
      <c r="UNV24" s="252"/>
      <c r="UNW24" s="252"/>
      <c r="UNX24" s="252"/>
      <c r="UNY24" s="252"/>
      <c r="UNZ24" s="252"/>
      <c r="UOA24" s="252"/>
      <c r="UOB24" s="252"/>
      <c r="UOC24" s="252"/>
      <c r="UOD24" s="252"/>
      <c r="UOE24" s="252"/>
      <c r="UOF24" s="252"/>
      <c r="UOG24" s="252"/>
      <c r="UOH24" s="252"/>
      <c r="UOI24" s="252"/>
      <c r="UOJ24" s="252"/>
      <c r="UOK24" s="252"/>
      <c r="UOL24" s="252"/>
      <c r="UOM24" s="252"/>
      <c r="UON24" s="252"/>
      <c r="UOO24" s="252"/>
      <c r="UOP24" s="252"/>
      <c r="UOQ24" s="252"/>
      <c r="UOR24" s="252"/>
      <c r="UOS24" s="252"/>
      <c r="UOT24" s="252"/>
      <c r="UOU24" s="252"/>
      <c r="UOV24" s="252"/>
      <c r="UOW24" s="252"/>
      <c r="UOX24" s="252"/>
      <c r="UOY24" s="252"/>
      <c r="UOZ24" s="252"/>
      <c r="UPA24" s="252"/>
      <c r="UPB24" s="252"/>
      <c r="UPC24" s="252"/>
      <c r="UPD24" s="252"/>
      <c r="UPE24" s="252"/>
      <c r="UPF24" s="252"/>
      <c r="UPG24" s="252"/>
      <c r="UPH24" s="252"/>
      <c r="UPI24" s="252"/>
      <c r="UPJ24" s="252"/>
      <c r="UPK24" s="252"/>
      <c r="UPL24" s="252"/>
      <c r="UPM24" s="252"/>
      <c r="UPN24" s="252"/>
      <c r="UPO24" s="252"/>
      <c r="UPP24" s="252"/>
      <c r="UPQ24" s="252"/>
      <c r="UPR24" s="252"/>
      <c r="UPS24" s="252"/>
      <c r="UPT24" s="252"/>
      <c r="UPU24" s="252"/>
      <c r="UPV24" s="252"/>
      <c r="UPW24" s="252"/>
      <c r="UPX24" s="252"/>
      <c r="UPY24" s="252"/>
      <c r="UPZ24" s="252"/>
      <c r="UQA24" s="252"/>
      <c r="UQB24" s="252"/>
      <c r="UQC24" s="252"/>
      <c r="UQD24" s="252"/>
      <c r="UQE24" s="252"/>
      <c r="UQF24" s="252"/>
      <c r="UQG24" s="252"/>
      <c r="UQH24" s="252"/>
      <c r="UQI24" s="252"/>
      <c r="UQJ24" s="252"/>
      <c r="UQK24" s="252"/>
      <c r="UQL24" s="252"/>
      <c r="UQM24" s="252"/>
      <c r="UQN24" s="252"/>
      <c r="UQO24" s="252"/>
      <c r="UQP24" s="252"/>
      <c r="UQQ24" s="252"/>
      <c r="UQR24" s="252"/>
      <c r="UQS24" s="252"/>
      <c r="UQT24" s="252"/>
      <c r="UQU24" s="252"/>
      <c r="UQV24" s="252"/>
      <c r="UQW24" s="252"/>
      <c r="UQX24" s="252"/>
      <c r="UQY24" s="252"/>
      <c r="UQZ24" s="252"/>
      <c r="URA24" s="252"/>
      <c r="URB24" s="252"/>
      <c r="URC24" s="252"/>
      <c r="URD24" s="252"/>
      <c r="URE24" s="252"/>
      <c r="URF24" s="252"/>
      <c r="URG24" s="252"/>
      <c r="URH24" s="252"/>
      <c r="URI24" s="252"/>
      <c r="URJ24" s="252"/>
      <c r="URK24" s="252"/>
      <c r="URL24" s="252"/>
      <c r="URM24" s="252"/>
      <c r="URN24" s="252"/>
      <c r="URO24" s="252"/>
      <c r="URP24" s="252"/>
      <c r="URQ24" s="252"/>
      <c r="URR24" s="252"/>
      <c r="URS24" s="252"/>
      <c r="URT24" s="252"/>
      <c r="URU24" s="252"/>
      <c r="URV24" s="252"/>
      <c r="URW24" s="252"/>
      <c r="URX24" s="252"/>
      <c r="URY24" s="252"/>
      <c r="URZ24" s="252"/>
      <c r="USA24" s="252"/>
      <c r="USB24" s="252"/>
      <c r="USC24" s="252"/>
      <c r="USD24" s="252"/>
      <c r="USE24" s="252"/>
      <c r="USF24" s="252"/>
      <c r="USG24" s="252"/>
      <c r="USH24" s="252"/>
      <c r="USI24" s="252"/>
      <c r="USJ24" s="252"/>
      <c r="USK24" s="252"/>
      <c r="USL24" s="252"/>
      <c r="USM24" s="252"/>
      <c r="USN24" s="252"/>
      <c r="USO24" s="252"/>
      <c r="USP24" s="252"/>
      <c r="USQ24" s="252"/>
      <c r="USR24" s="252"/>
      <c r="USS24" s="252"/>
      <c r="UST24" s="252"/>
      <c r="USU24" s="252"/>
      <c r="USV24" s="252"/>
      <c r="USW24" s="252"/>
      <c r="USX24" s="252"/>
      <c r="USY24" s="252"/>
      <c r="USZ24" s="252"/>
      <c r="UTA24" s="252"/>
      <c r="UTB24" s="252"/>
      <c r="UTC24" s="252"/>
      <c r="UTD24" s="252"/>
      <c r="UTE24" s="252"/>
      <c r="UTF24" s="252"/>
      <c r="UTG24" s="252"/>
      <c r="UTH24" s="252"/>
      <c r="UTI24" s="252"/>
      <c r="UTJ24" s="252"/>
      <c r="UTK24" s="252"/>
      <c r="UTL24" s="252"/>
      <c r="UTM24" s="252"/>
      <c r="UTN24" s="252"/>
      <c r="UTO24" s="252"/>
      <c r="UTP24" s="252"/>
      <c r="UTQ24" s="252"/>
      <c r="UTR24" s="252"/>
      <c r="UTS24" s="252"/>
      <c r="UTT24" s="252"/>
      <c r="UTU24" s="252"/>
      <c r="UTV24" s="252"/>
      <c r="UTW24" s="252"/>
      <c r="UTX24" s="252"/>
      <c r="UTY24" s="252"/>
      <c r="UTZ24" s="252"/>
      <c r="UUA24" s="252"/>
      <c r="UUB24" s="252"/>
      <c r="UUC24" s="252"/>
      <c r="UUD24" s="252"/>
      <c r="UUE24" s="252"/>
      <c r="UUF24" s="252"/>
      <c r="UUG24" s="252"/>
      <c r="UUH24" s="252"/>
      <c r="UUI24" s="252"/>
      <c r="UUJ24" s="252"/>
      <c r="UUK24" s="252"/>
      <c r="UUL24" s="252"/>
      <c r="UUM24" s="252"/>
      <c r="UUN24" s="252"/>
      <c r="UUO24" s="252"/>
      <c r="UUP24" s="252"/>
      <c r="UUQ24" s="252"/>
      <c r="UUR24" s="252"/>
      <c r="UUS24" s="252"/>
      <c r="UUT24" s="252"/>
      <c r="UUU24" s="252"/>
      <c r="UUV24" s="252"/>
      <c r="UUW24" s="252"/>
      <c r="UUX24" s="252"/>
      <c r="UUY24" s="252"/>
      <c r="UUZ24" s="252"/>
      <c r="UVA24" s="252"/>
      <c r="UVB24" s="252"/>
      <c r="UVC24" s="252"/>
      <c r="UVD24" s="252"/>
      <c r="UVE24" s="252"/>
      <c r="UVF24" s="252"/>
      <c r="UVG24" s="252"/>
      <c r="UVH24" s="252"/>
      <c r="UVI24" s="252"/>
      <c r="UVJ24" s="252"/>
      <c r="UVK24" s="252"/>
      <c r="UVL24" s="252"/>
      <c r="UVM24" s="252"/>
      <c r="UVN24" s="252"/>
      <c r="UVO24" s="252"/>
      <c r="UVP24" s="252"/>
      <c r="UVQ24" s="252"/>
      <c r="UVR24" s="252"/>
      <c r="UVS24" s="252"/>
      <c r="UVT24" s="252"/>
      <c r="UVU24" s="252"/>
      <c r="UVV24" s="252"/>
      <c r="UVW24" s="252"/>
      <c r="UVX24" s="252"/>
      <c r="UVY24" s="252"/>
      <c r="UVZ24" s="252"/>
      <c r="UWA24" s="252"/>
      <c r="UWB24" s="252"/>
      <c r="UWC24" s="252"/>
      <c r="UWD24" s="252"/>
      <c r="UWE24" s="252"/>
      <c r="UWF24" s="252"/>
      <c r="UWG24" s="252"/>
      <c r="UWH24" s="252"/>
      <c r="UWI24" s="252"/>
      <c r="UWJ24" s="252"/>
      <c r="UWK24" s="252"/>
      <c r="UWL24" s="252"/>
      <c r="UWM24" s="252"/>
      <c r="UWN24" s="252"/>
      <c r="UWO24" s="252"/>
      <c r="UWP24" s="252"/>
      <c r="UWQ24" s="252"/>
      <c r="UWR24" s="252"/>
      <c r="UWS24" s="252"/>
      <c r="UWT24" s="252"/>
      <c r="UWU24" s="252"/>
      <c r="UWV24" s="252"/>
      <c r="UWW24" s="252"/>
      <c r="UWX24" s="252"/>
      <c r="UWY24" s="252"/>
      <c r="UWZ24" s="252"/>
      <c r="UXA24" s="252"/>
      <c r="UXB24" s="252"/>
      <c r="UXC24" s="252"/>
      <c r="UXD24" s="252"/>
      <c r="UXE24" s="252"/>
      <c r="UXF24" s="252"/>
      <c r="UXG24" s="252"/>
      <c r="UXH24" s="252"/>
      <c r="UXI24" s="252"/>
      <c r="UXJ24" s="252"/>
      <c r="UXK24" s="252"/>
      <c r="UXL24" s="252"/>
      <c r="UXM24" s="252"/>
      <c r="UXN24" s="252"/>
      <c r="UXO24" s="252"/>
      <c r="UXP24" s="252"/>
      <c r="UXQ24" s="252"/>
      <c r="UXR24" s="252"/>
      <c r="UXS24" s="252"/>
      <c r="UXT24" s="252"/>
      <c r="UXU24" s="252"/>
      <c r="UXV24" s="252"/>
      <c r="UXW24" s="252"/>
      <c r="UXX24" s="252"/>
      <c r="UXY24" s="252"/>
      <c r="UXZ24" s="252"/>
      <c r="UYA24" s="252"/>
      <c r="UYB24" s="252"/>
      <c r="UYC24" s="252"/>
      <c r="UYD24" s="252"/>
      <c r="UYE24" s="252"/>
      <c r="UYF24" s="252"/>
      <c r="UYG24" s="252"/>
      <c r="UYH24" s="252"/>
      <c r="UYI24" s="252"/>
      <c r="UYJ24" s="252"/>
      <c r="UYK24" s="252"/>
      <c r="UYL24" s="252"/>
      <c r="UYM24" s="252"/>
      <c r="UYN24" s="252"/>
      <c r="UYO24" s="252"/>
      <c r="UYP24" s="252"/>
      <c r="UYQ24" s="252"/>
      <c r="UYR24" s="252"/>
      <c r="UYS24" s="252"/>
      <c r="UYT24" s="252"/>
      <c r="UYU24" s="252"/>
      <c r="UYV24" s="252"/>
      <c r="UYW24" s="252"/>
      <c r="UYX24" s="252"/>
      <c r="UYY24" s="252"/>
      <c r="UYZ24" s="252"/>
      <c r="UZA24" s="252"/>
      <c r="UZB24" s="252"/>
      <c r="UZC24" s="252"/>
      <c r="UZD24" s="252"/>
      <c r="UZE24" s="252"/>
      <c r="UZF24" s="252"/>
      <c r="UZG24" s="252"/>
      <c r="UZH24" s="252"/>
      <c r="UZI24" s="252"/>
      <c r="UZJ24" s="252"/>
      <c r="UZK24" s="252"/>
      <c r="UZL24" s="252"/>
      <c r="UZM24" s="252"/>
      <c r="UZN24" s="252"/>
      <c r="UZO24" s="252"/>
      <c r="UZP24" s="252"/>
      <c r="UZQ24" s="252"/>
      <c r="UZR24" s="252"/>
      <c r="UZS24" s="252"/>
      <c r="UZT24" s="252"/>
      <c r="UZU24" s="252"/>
      <c r="UZV24" s="252"/>
      <c r="UZW24" s="252"/>
      <c r="UZX24" s="252"/>
      <c r="UZY24" s="252"/>
      <c r="UZZ24" s="252"/>
      <c r="VAA24" s="252"/>
      <c r="VAB24" s="252"/>
      <c r="VAC24" s="252"/>
      <c r="VAD24" s="252"/>
      <c r="VAE24" s="252"/>
      <c r="VAF24" s="252"/>
      <c r="VAG24" s="252"/>
      <c r="VAH24" s="252"/>
      <c r="VAI24" s="252"/>
      <c r="VAJ24" s="252"/>
      <c r="VAK24" s="252"/>
      <c r="VAL24" s="252"/>
      <c r="VAM24" s="252"/>
      <c r="VAN24" s="252"/>
      <c r="VAO24" s="252"/>
      <c r="VAP24" s="252"/>
      <c r="VAQ24" s="252"/>
      <c r="VAR24" s="252"/>
      <c r="VAS24" s="252"/>
      <c r="VAT24" s="252"/>
      <c r="VAU24" s="252"/>
      <c r="VAV24" s="252"/>
      <c r="VAW24" s="252"/>
      <c r="VAX24" s="252"/>
      <c r="VAY24" s="252"/>
      <c r="VAZ24" s="252"/>
      <c r="VBA24" s="252"/>
      <c r="VBB24" s="252"/>
      <c r="VBC24" s="252"/>
      <c r="VBD24" s="252"/>
      <c r="VBE24" s="252"/>
      <c r="VBF24" s="252"/>
      <c r="VBG24" s="252"/>
      <c r="VBH24" s="252"/>
      <c r="VBI24" s="252"/>
      <c r="VBJ24" s="252"/>
      <c r="VBK24" s="252"/>
      <c r="VBL24" s="252"/>
      <c r="VBM24" s="252"/>
      <c r="VBN24" s="252"/>
      <c r="VBO24" s="252"/>
      <c r="VBP24" s="252"/>
      <c r="VBQ24" s="252"/>
      <c r="VBR24" s="252"/>
      <c r="VBS24" s="252"/>
      <c r="VBT24" s="252"/>
      <c r="VBU24" s="252"/>
      <c r="VBV24" s="252"/>
      <c r="VBW24" s="252"/>
      <c r="VBX24" s="252"/>
      <c r="VBY24" s="252"/>
      <c r="VBZ24" s="252"/>
      <c r="VCA24" s="252"/>
      <c r="VCB24" s="252"/>
      <c r="VCC24" s="252"/>
      <c r="VCD24" s="252"/>
      <c r="VCE24" s="252"/>
      <c r="VCF24" s="252"/>
      <c r="VCG24" s="252"/>
      <c r="VCH24" s="252"/>
      <c r="VCI24" s="252"/>
      <c r="VCJ24" s="252"/>
      <c r="VCK24" s="252"/>
      <c r="VCL24" s="252"/>
      <c r="VCM24" s="252"/>
      <c r="VCN24" s="252"/>
      <c r="VCO24" s="252"/>
      <c r="VCP24" s="252"/>
      <c r="VCQ24" s="252"/>
      <c r="VCR24" s="252"/>
      <c r="VCS24" s="252"/>
      <c r="VCT24" s="252"/>
      <c r="VCU24" s="252"/>
      <c r="VCV24" s="252"/>
      <c r="VCW24" s="252"/>
      <c r="VCX24" s="252"/>
      <c r="VCY24" s="252"/>
      <c r="VCZ24" s="252"/>
      <c r="VDA24" s="252"/>
      <c r="VDB24" s="252"/>
      <c r="VDC24" s="252"/>
      <c r="VDD24" s="252"/>
      <c r="VDE24" s="252"/>
      <c r="VDF24" s="252"/>
      <c r="VDG24" s="252"/>
      <c r="VDH24" s="252"/>
      <c r="VDI24" s="252"/>
      <c r="VDJ24" s="252"/>
      <c r="VDK24" s="252"/>
      <c r="VDL24" s="252"/>
      <c r="VDM24" s="252"/>
      <c r="VDN24" s="252"/>
      <c r="VDO24" s="252"/>
      <c r="VDP24" s="252"/>
      <c r="VDQ24" s="252"/>
      <c r="VDR24" s="252"/>
      <c r="VDS24" s="252"/>
      <c r="VDT24" s="252"/>
      <c r="VDU24" s="252"/>
      <c r="VDV24" s="252"/>
      <c r="VDW24" s="252"/>
      <c r="VDX24" s="252"/>
      <c r="VDY24" s="252"/>
      <c r="VDZ24" s="252"/>
      <c r="VEA24" s="252"/>
      <c r="VEB24" s="252"/>
      <c r="VEC24" s="252"/>
      <c r="VED24" s="252"/>
      <c r="VEE24" s="252"/>
      <c r="VEF24" s="252"/>
      <c r="VEG24" s="252"/>
      <c r="VEH24" s="252"/>
      <c r="VEI24" s="252"/>
      <c r="VEJ24" s="252"/>
      <c r="VEK24" s="252"/>
      <c r="VEL24" s="252"/>
      <c r="VEM24" s="252"/>
      <c r="VEN24" s="252"/>
      <c r="VEO24" s="252"/>
      <c r="VEP24" s="252"/>
      <c r="VEQ24" s="252"/>
      <c r="VER24" s="252"/>
      <c r="VES24" s="252"/>
      <c r="VET24" s="252"/>
      <c r="VEU24" s="252"/>
      <c r="VEV24" s="252"/>
      <c r="VEW24" s="252"/>
      <c r="VEX24" s="252"/>
      <c r="VEY24" s="252"/>
      <c r="VEZ24" s="252"/>
      <c r="VFA24" s="252"/>
      <c r="VFB24" s="252"/>
      <c r="VFC24" s="252"/>
      <c r="VFD24" s="252"/>
      <c r="VFE24" s="252"/>
      <c r="VFF24" s="252"/>
      <c r="VFG24" s="252"/>
      <c r="VFH24" s="252"/>
      <c r="VFI24" s="252"/>
      <c r="VFJ24" s="252"/>
      <c r="VFK24" s="252"/>
      <c r="VFL24" s="252"/>
      <c r="VFM24" s="252"/>
      <c r="VFN24" s="252"/>
      <c r="VFO24" s="252"/>
      <c r="VFP24" s="252"/>
      <c r="VFQ24" s="252"/>
      <c r="VFR24" s="252"/>
      <c r="VFS24" s="252"/>
      <c r="VFT24" s="252"/>
      <c r="VFU24" s="252"/>
      <c r="VFV24" s="252"/>
      <c r="VFW24" s="252"/>
      <c r="VFX24" s="252"/>
      <c r="VFY24" s="252"/>
      <c r="VFZ24" s="252"/>
      <c r="VGA24" s="252"/>
      <c r="VGB24" s="252"/>
      <c r="VGC24" s="252"/>
      <c r="VGD24" s="252"/>
      <c r="VGE24" s="252"/>
      <c r="VGF24" s="252"/>
      <c r="VGG24" s="252"/>
      <c r="VGH24" s="252"/>
      <c r="VGI24" s="252"/>
      <c r="VGJ24" s="252"/>
      <c r="VGK24" s="252"/>
      <c r="VGL24" s="252"/>
      <c r="VGM24" s="252"/>
      <c r="VGN24" s="252"/>
      <c r="VGO24" s="252"/>
      <c r="VGP24" s="252"/>
      <c r="VGQ24" s="252"/>
      <c r="VGR24" s="252"/>
      <c r="VGS24" s="252"/>
      <c r="VGT24" s="252"/>
      <c r="VGU24" s="252"/>
      <c r="VGV24" s="252"/>
      <c r="VGW24" s="252"/>
      <c r="VGX24" s="252"/>
      <c r="VGY24" s="252"/>
      <c r="VGZ24" s="252"/>
      <c r="VHA24" s="252"/>
      <c r="VHB24" s="252"/>
      <c r="VHC24" s="252"/>
      <c r="VHD24" s="252"/>
      <c r="VHE24" s="252"/>
      <c r="VHF24" s="252"/>
      <c r="VHG24" s="252"/>
      <c r="VHH24" s="252"/>
      <c r="VHI24" s="252"/>
      <c r="VHJ24" s="252"/>
      <c r="VHK24" s="252"/>
      <c r="VHL24" s="252"/>
      <c r="VHM24" s="252"/>
      <c r="VHN24" s="252"/>
      <c r="VHO24" s="252"/>
      <c r="VHP24" s="252"/>
      <c r="VHQ24" s="252"/>
      <c r="VHR24" s="252"/>
      <c r="VHS24" s="252"/>
      <c r="VHT24" s="252"/>
      <c r="VHU24" s="252"/>
      <c r="VHV24" s="252"/>
      <c r="VHW24" s="252"/>
      <c r="VHX24" s="252"/>
      <c r="VHY24" s="252"/>
      <c r="VHZ24" s="252"/>
      <c r="VIA24" s="252"/>
      <c r="VIB24" s="252"/>
      <c r="VIC24" s="252"/>
      <c r="VID24" s="252"/>
      <c r="VIE24" s="252"/>
      <c r="VIF24" s="252"/>
      <c r="VIG24" s="252"/>
      <c r="VIH24" s="252"/>
      <c r="VII24" s="252"/>
      <c r="VIJ24" s="252"/>
      <c r="VIK24" s="252"/>
      <c r="VIL24" s="252"/>
      <c r="VIM24" s="252"/>
      <c r="VIN24" s="252"/>
      <c r="VIO24" s="252"/>
      <c r="VIP24" s="252"/>
      <c r="VIQ24" s="252"/>
      <c r="VIR24" s="252"/>
      <c r="VIS24" s="252"/>
      <c r="VIT24" s="252"/>
      <c r="VIU24" s="252"/>
      <c r="VIV24" s="252"/>
      <c r="VIW24" s="252"/>
      <c r="VIX24" s="252"/>
      <c r="VIY24" s="252"/>
      <c r="VIZ24" s="252"/>
      <c r="VJA24" s="252"/>
      <c r="VJB24" s="252"/>
      <c r="VJC24" s="252"/>
      <c r="VJD24" s="252"/>
      <c r="VJE24" s="252"/>
      <c r="VJF24" s="252"/>
      <c r="VJG24" s="252"/>
      <c r="VJH24" s="252"/>
      <c r="VJI24" s="252"/>
      <c r="VJJ24" s="252"/>
      <c r="VJK24" s="252"/>
      <c r="VJL24" s="252"/>
      <c r="VJM24" s="252"/>
      <c r="VJN24" s="252"/>
      <c r="VJO24" s="252"/>
      <c r="VJP24" s="252"/>
      <c r="VJQ24" s="252"/>
      <c r="VJR24" s="252"/>
      <c r="VJS24" s="252"/>
      <c r="VJT24" s="252"/>
      <c r="VJU24" s="252"/>
      <c r="VJV24" s="252"/>
      <c r="VJW24" s="252"/>
      <c r="VJX24" s="252"/>
      <c r="VJY24" s="252"/>
      <c r="VJZ24" s="252"/>
      <c r="VKA24" s="252"/>
      <c r="VKB24" s="252"/>
      <c r="VKC24" s="252"/>
      <c r="VKD24" s="252"/>
      <c r="VKE24" s="252"/>
      <c r="VKF24" s="252"/>
      <c r="VKG24" s="252"/>
      <c r="VKH24" s="252"/>
      <c r="VKI24" s="252"/>
      <c r="VKJ24" s="252"/>
      <c r="VKK24" s="252"/>
      <c r="VKL24" s="252"/>
      <c r="VKM24" s="252"/>
      <c r="VKN24" s="252"/>
      <c r="VKO24" s="252"/>
      <c r="VKP24" s="252"/>
      <c r="VKQ24" s="252"/>
      <c r="VKR24" s="252"/>
      <c r="VKS24" s="252"/>
      <c r="VKT24" s="252"/>
      <c r="VKU24" s="252"/>
      <c r="VKV24" s="252"/>
      <c r="VKW24" s="252"/>
      <c r="VKX24" s="252"/>
      <c r="VKY24" s="252"/>
      <c r="VKZ24" s="252"/>
      <c r="VLA24" s="252"/>
      <c r="VLB24" s="252"/>
      <c r="VLC24" s="252"/>
      <c r="VLD24" s="252"/>
      <c r="VLE24" s="252"/>
      <c r="VLF24" s="252"/>
      <c r="VLG24" s="252"/>
      <c r="VLH24" s="252"/>
      <c r="VLI24" s="252"/>
      <c r="VLJ24" s="252"/>
      <c r="VLK24" s="252"/>
      <c r="VLL24" s="252"/>
      <c r="VLM24" s="252"/>
      <c r="VLN24" s="252"/>
      <c r="VLO24" s="252"/>
      <c r="VLP24" s="252"/>
      <c r="VLQ24" s="252"/>
      <c r="VLR24" s="252"/>
      <c r="VLS24" s="252"/>
      <c r="VLT24" s="252"/>
      <c r="VLU24" s="252"/>
      <c r="VLV24" s="252"/>
      <c r="VLW24" s="252"/>
      <c r="VLX24" s="252"/>
      <c r="VLY24" s="252"/>
      <c r="VLZ24" s="252"/>
      <c r="VMA24" s="252"/>
      <c r="VMB24" s="252"/>
      <c r="VMC24" s="252"/>
      <c r="VMD24" s="252"/>
      <c r="VME24" s="252"/>
      <c r="VMF24" s="252"/>
      <c r="VMG24" s="252"/>
      <c r="VMH24" s="252"/>
      <c r="VMI24" s="252"/>
      <c r="VMJ24" s="252"/>
      <c r="VMK24" s="252"/>
      <c r="VML24" s="252"/>
      <c r="VMM24" s="252"/>
      <c r="VMN24" s="252"/>
      <c r="VMO24" s="252"/>
      <c r="VMP24" s="252"/>
      <c r="VMQ24" s="252"/>
      <c r="VMR24" s="252"/>
      <c r="VMS24" s="252"/>
      <c r="VMT24" s="252"/>
      <c r="VMU24" s="252"/>
      <c r="VMV24" s="252"/>
      <c r="VMW24" s="252"/>
      <c r="VMX24" s="252"/>
      <c r="VMY24" s="252"/>
      <c r="VMZ24" s="252"/>
      <c r="VNA24" s="252"/>
      <c r="VNB24" s="252"/>
      <c r="VNC24" s="252"/>
      <c r="VND24" s="252"/>
      <c r="VNE24" s="252"/>
      <c r="VNF24" s="252"/>
      <c r="VNG24" s="252"/>
      <c r="VNH24" s="252"/>
      <c r="VNI24" s="252"/>
      <c r="VNJ24" s="252"/>
      <c r="VNK24" s="252"/>
      <c r="VNL24" s="252"/>
      <c r="VNM24" s="252"/>
      <c r="VNN24" s="252"/>
      <c r="VNO24" s="252"/>
      <c r="VNP24" s="252"/>
      <c r="VNQ24" s="252"/>
      <c r="VNR24" s="252"/>
      <c r="VNS24" s="252"/>
      <c r="VNT24" s="252"/>
      <c r="VNU24" s="252"/>
      <c r="VNV24" s="252"/>
      <c r="VNW24" s="252"/>
      <c r="VNX24" s="252"/>
      <c r="VNY24" s="252"/>
      <c r="VNZ24" s="252"/>
      <c r="VOA24" s="252"/>
      <c r="VOB24" s="252"/>
      <c r="VOC24" s="252"/>
      <c r="VOD24" s="252"/>
      <c r="VOE24" s="252"/>
      <c r="VOF24" s="252"/>
      <c r="VOG24" s="252"/>
      <c r="VOH24" s="252"/>
      <c r="VOI24" s="252"/>
      <c r="VOJ24" s="252"/>
      <c r="VOK24" s="252"/>
      <c r="VOL24" s="252"/>
      <c r="VOM24" s="252"/>
      <c r="VON24" s="252"/>
      <c r="VOO24" s="252"/>
      <c r="VOP24" s="252"/>
      <c r="VOQ24" s="252"/>
      <c r="VOR24" s="252"/>
      <c r="VOS24" s="252"/>
      <c r="VOT24" s="252"/>
      <c r="VOU24" s="252"/>
      <c r="VOV24" s="252"/>
      <c r="VOW24" s="252"/>
      <c r="VOX24" s="252"/>
      <c r="VOY24" s="252"/>
      <c r="VOZ24" s="252"/>
      <c r="VPA24" s="252"/>
      <c r="VPB24" s="252"/>
      <c r="VPC24" s="252"/>
      <c r="VPD24" s="252"/>
      <c r="VPE24" s="252"/>
      <c r="VPF24" s="252"/>
      <c r="VPG24" s="252"/>
      <c r="VPH24" s="252"/>
      <c r="VPI24" s="252"/>
      <c r="VPJ24" s="252"/>
      <c r="VPK24" s="252"/>
      <c r="VPL24" s="252"/>
      <c r="VPM24" s="252"/>
      <c r="VPN24" s="252"/>
      <c r="VPO24" s="252"/>
      <c r="VPP24" s="252"/>
      <c r="VPQ24" s="252"/>
      <c r="VPR24" s="252"/>
      <c r="VPS24" s="252"/>
      <c r="VPT24" s="252"/>
      <c r="VPU24" s="252"/>
      <c r="VPV24" s="252"/>
      <c r="VPW24" s="252"/>
      <c r="VPX24" s="252"/>
      <c r="VPY24" s="252"/>
      <c r="VPZ24" s="252"/>
      <c r="VQA24" s="252"/>
      <c r="VQB24" s="252"/>
      <c r="VQC24" s="252"/>
      <c r="VQD24" s="252"/>
      <c r="VQE24" s="252"/>
      <c r="VQF24" s="252"/>
      <c r="VQG24" s="252"/>
      <c r="VQH24" s="252"/>
      <c r="VQI24" s="252"/>
      <c r="VQJ24" s="252"/>
      <c r="VQK24" s="252"/>
      <c r="VQL24" s="252"/>
      <c r="VQM24" s="252"/>
      <c r="VQN24" s="252"/>
      <c r="VQO24" s="252"/>
      <c r="VQP24" s="252"/>
      <c r="VQQ24" s="252"/>
      <c r="VQR24" s="252"/>
      <c r="VQS24" s="252"/>
      <c r="VQT24" s="252"/>
      <c r="VQU24" s="252"/>
      <c r="VQV24" s="252"/>
      <c r="VQW24" s="252"/>
      <c r="VQX24" s="252"/>
      <c r="VQY24" s="252"/>
      <c r="VQZ24" s="252"/>
      <c r="VRA24" s="252"/>
      <c r="VRB24" s="252"/>
      <c r="VRC24" s="252"/>
      <c r="VRD24" s="252"/>
      <c r="VRE24" s="252"/>
      <c r="VRF24" s="252"/>
      <c r="VRG24" s="252"/>
      <c r="VRH24" s="252"/>
      <c r="VRI24" s="252"/>
      <c r="VRJ24" s="252"/>
      <c r="VRK24" s="252"/>
      <c r="VRL24" s="252"/>
      <c r="VRM24" s="252"/>
      <c r="VRN24" s="252"/>
      <c r="VRO24" s="252"/>
      <c r="VRP24" s="252"/>
      <c r="VRQ24" s="252"/>
      <c r="VRR24" s="252"/>
      <c r="VRS24" s="252"/>
      <c r="VRT24" s="252"/>
      <c r="VRU24" s="252"/>
      <c r="VRV24" s="252"/>
      <c r="VRW24" s="252"/>
      <c r="VRX24" s="252"/>
      <c r="VRY24" s="252"/>
      <c r="VRZ24" s="252"/>
      <c r="VSA24" s="252"/>
      <c r="VSB24" s="252"/>
      <c r="VSC24" s="252"/>
      <c r="VSD24" s="252"/>
      <c r="VSE24" s="252"/>
      <c r="VSF24" s="252"/>
      <c r="VSG24" s="252"/>
      <c r="VSH24" s="252"/>
      <c r="VSI24" s="252"/>
      <c r="VSJ24" s="252"/>
      <c r="VSK24" s="252"/>
      <c r="VSL24" s="252"/>
      <c r="VSM24" s="252"/>
      <c r="VSN24" s="252"/>
      <c r="VSO24" s="252"/>
      <c r="VSP24" s="252"/>
      <c r="VSQ24" s="252"/>
      <c r="VSR24" s="252"/>
      <c r="VSS24" s="252"/>
      <c r="VST24" s="252"/>
      <c r="VSU24" s="252"/>
      <c r="VSV24" s="252"/>
      <c r="VSW24" s="252"/>
      <c r="VSX24" s="252"/>
      <c r="VSY24" s="252"/>
      <c r="VSZ24" s="252"/>
      <c r="VTA24" s="252"/>
      <c r="VTB24" s="252"/>
      <c r="VTC24" s="252"/>
      <c r="VTD24" s="252"/>
      <c r="VTE24" s="252"/>
      <c r="VTF24" s="252"/>
      <c r="VTG24" s="252"/>
      <c r="VTH24" s="252"/>
      <c r="VTI24" s="252"/>
      <c r="VTJ24" s="252"/>
      <c r="VTK24" s="252"/>
      <c r="VTL24" s="252"/>
      <c r="VTM24" s="252"/>
      <c r="VTN24" s="252"/>
      <c r="VTO24" s="252"/>
      <c r="VTP24" s="252"/>
      <c r="VTQ24" s="252"/>
      <c r="VTR24" s="252"/>
      <c r="VTS24" s="252"/>
      <c r="VTT24" s="252"/>
      <c r="VTU24" s="252"/>
      <c r="VTV24" s="252"/>
      <c r="VTW24" s="252"/>
      <c r="VTX24" s="252"/>
      <c r="VTY24" s="252"/>
      <c r="VTZ24" s="252"/>
      <c r="VUA24" s="252"/>
      <c r="VUB24" s="252"/>
      <c r="VUC24" s="252"/>
      <c r="VUD24" s="252"/>
      <c r="VUE24" s="252"/>
      <c r="VUF24" s="252"/>
      <c r="VUG24" s="252"/>
      <c r="VUH24" s="252"/>
      <c r="VUI24" s="252"/>
      <c r="VUJ24" s="252"/>
      <c r="VUK24" s="252"/>
      <c r="VUL24" s="252"/>
      <c r="VUM24" s="252"/>
      <c r="VUN24" s="252"/>
      <c r="VUO24" s="252"/>
      <c r="VUP24" s="252"/>
      <c r="VUQ24" s="252"/>
      <c r="VUR24" s="252"/>
      <c r="VUS24" s="252"/>
      <c r="VUT24" s="252"/>
      <c r="VUU24" s="252"/>
      <c r="VUV24" s="252"/>
      <c r="VUW24" s="252"/>
      <c r="VUX24" s="252"/>
      <c r="VUY24" s="252"/>
      <c r="VUZ24" s="252"/>
      <c r="VVA24" s="252"/>
      <c r="VVB24" s="252"/>
      <c r="VVC24" s="252"/>
      <c r="VVD24" s="252"/>
      <c r="VVE24" s="252"/>
      <c r="VVF24" s="252"/>
      <c r="VVG24" s="252"/>
      <c r="VVH24" s="252"/>
      <c r="VVI24" s="252"/>
      <c r="VVJ24" s="252"/>
      <c r="VVK24" s="252"/>
      <c r="VVL24" s="252"/>
      <c r="VVM24" s="252"/>
      <c r="VVN24" s="252"/>
      <c r="VVO24" s="252"/>
      <c r="VVP24" s="252"/>
      <c r="VVQ24" s="252"/>
      <c r="VVR24" s="252"/>
      <c r="VVS24" s="252"/>
      <c r="VVT24" s="252"/>
      <c r="VVU24" s="252"/>
      <c r="VVV24" s="252"/>
      <c r="VVW24" s="252"/>
      <c r="VVX24" s="252"/>
      <c r="VVY24" s="252"/>
      <c r="VVZ24" s="252"/>
      <c r="VWA24" s="252"/>
      <c r="VWB24" s="252"/>
      <c r="VWC24" s="252"/>
      <c r="VWD24" s="252"/>
      <c r="VWE24" s="252"/>
      <c r="VWF24" s="252"/>
      <c r="VWG24" s="252"/>
      <c r="VWH24" s="252"/>
      <c r="VWI24" s="252"/>
      <c r="VWJ24" s="252"/>
      <c r="VWK24" s="252"/>
      <c r="VWL24" s="252"/>
      <c r="VWM24" s="252"/>
      <c r="VWN24" s="252"/>
      <c r="VWO24" s="252"/>
      <c r="VWP24" s="252"/>
      <c r="VWQ24" s="252"/>
      <c r="VWR24" s="252"/>
      <c r="VWS24" s="252"/>
      <c r="VWT24" s="252"/>
      <c r="VWU24" s="252"/>
      <c r="VWV24" s="252"/>
      <c r="VWW24" s="252"/>
      <c r="VWX24" s="252"/>
      <c r="VWY24" s="252"/>
      <c r="VWZ24" s="252"/>
      <c r="VXA24" s="252"/>
      <c r="VXB24" s="252"/>
      <c r="VXC24" s="252"/>
      <c r="VXD24" s="252"/>
      <c r="VXE24" s="252"/>
      <c r="VXF24" s="252"/>
      <c r="VXG24" s="252"/>
      <c r="VXH24" s="252"/>
      <c r="VXI24" s="252"/>
      <c r="VXJ24" s="252"/>
      <c r="VXK24" s="252"/>
      <c r="VXL24" s="252"/>
      <c r="VXM24" s="252"/>
      <c r="VXN24" s="252"/>
      <c r="VXO24" s="252"/>
      <c r="VXP24" s="252"/>
      <c r="VXQ24" s="252"/>
      <c r="VXR24" s="252"/>
      <c r="VXS24" s="252"/>
      <c r="VXT24" s="252"/>
      <c r="VXU24" s="252"/>
      <c r="VXV24" s="252"/>
      <c r="VXW24" s="252"/>
      <c r="VXX24" s="252"/>
      <c r="VXY24" s="252"/>
      <c r="VXZ24" s="252"/>
      <c r="VYA24" s="252"/>
      <c r="VYB24" s="252"/>
      <c r="VYC24" s="252"/>
      <c r="VYD24" s="252"/>
      <c r="VYE24" s="252"/>
      <c r="VYF24" s="252"/>
      <c r="VYG24" s="252"/>
      <c r="VYH24" s="252"/>
      <c r="VYI24" s="252"/>
      <c r="VYJ24" s="252"/>
      <c r="VYK24" s="252"/>
      <c r="VYL24" s="252"/>
      <c r="VYM24" s="252"/>
      <c r="VYN24" s="252"/>
      <c r="VYO24" s="252"/>
      <c r="VYP24" s="252"/>
      <c r="VYQ24" s="252"/>
      <c r="VYR24" s="252"/>
      <c r="VYS24" s="252"/>
      <c r="VYT24" s="252"/>
      <c r="VYU24" s="252"/>
      <c r="VYV24" s="252"/>
      <c r="VYW24" s="252"/>
      <c r="VYX24" s="252"/>
      <c r="VYY24" s="252"/>
      <c r="VYZ24" s="252"/>
      <c r="VZA24" s="252"/>
      <c r="VZB24" s="252"/>
      <c r="VZC24" s="252"/>
      <c r="VZD24" s="252"/>
      <c r="VZE24" s="252"/>
      <c r="VZF24" s="252"/>
      <c r="VZG24" s="252"/>
      <c r="VZH24" s="252"/>
      <c r="VZI24" s="252"/>
      <c r="VZJ24" s="252"/>
      <c r="VZK24" s="252"/>
      <c r="VZL24" s="252"/>
      <c r="VZM24" s="252"/>
      <c r="VZN24" s="252"/>
      <c r="VZO24" s="252"/>
      <c r="VZP24" s="252"/>
      <c r="VZQ24" s="252"/>
      <c r="VZR24" s="252"/>
      <c r="VZS24" s="252"/>
      <c r="VZT24" s="252"/>
      <c r="VZU24" s="252"/>
      <c r="VZV24" s="252"/>
      <c r="VZW24" s="252"/>
      <c r="VZX24" s="252"/>
      <c r="VZY24" s="252"/>
      <c r="VZZ24" s="252"/>
      <c r="WAA24" s="252"/>
      <c r="WAB24" s="252"/>
      <c r="WAC24" s="252"/>
      <c r="WAD24" s="252"/>
      <c r="WAE24" s="252"/>
      <c r="WAF24" s="252"/>
      <c r="WAG24" s="252"/>
      <c r="WAH24" s="252"/>
      <c r="WAI24" s="252"/>
      <c r="WAJ24" s="252"/>
      <c r="WAK24" s="252"/>
      <c r="WAL24" s="252"/>
      <c r="WAM24" s="252"/>
      <c r="WAN24" s="252"/>
      <c r="WAO24" s="252"/>
      <c r="WAP24" s="252"/>
      <c r="WAQ24" s="252"/>
      <c r="WAR24" s="252"/>
      <c r="WAS24" s="252"/>
      <c r="WAT24" s="252"/>
      <c r="WAU24" s="252"/>
      <c r="WAV24" s="252"/>
      <c r="WAW24" s="252"/>
      <c r="WAX24" s="252"/>
      <c r="WAY24" s="252"/>
      <c r="WAZ24" s="252"/>
      <c r="WBA24" s="252"/>
      <c r="WBB24" s="252"/>
      <c r="WBC24" s="252"/>
      <c r="WBD24" s="252"/>
      <c r="WBE24" s="252"/>
      <c r="WBF24" s="252"/>
      <c r="WBG24" s="252"/>
      <c r="WBH24" s="252"/>
      <c r="WBI24" s="252"/>
      <c r="WBJ24" s="252"/>
      <c r="WBK24" s="252"/>
      <c r="WBL24" s="252"/>
      <c r="WBM24" s="252"/>
      <c r="WBN24" s="252"/>
      <c r="WBO24" s="252"/>
      <c r="WBP24" s="252"/>
      <c r="WBQ24" s="252"/>
      <c r="WBR24" s="252"/>
      <c r="WBS24" s="252"/>
      <c r="WBT24" s="252"/>
      <c r="WBU24" s="252"/>
      <c r="WBV24" s="252"/>
      <c r="WBW24" s="252"/>
      <c r="WBX24" s="252"/>
      <c r="WBY24" s="252"/>
      <c r="WBZ24" s="252"/>
      <c r="WCA24" s="252"/>
      <c r="WCB24" s="252"/>
      <c r="WCC24" s="252"/>
      <c r="WCD24" s="252"/>
      <c r="WCE24" s="252"/>
      <c r="WCF24" s="252"/>
      <c r="WCG24" s="252"/>
      <c r="WCH24" s="252"/>
      <c r="WCI24" s="252"/>
      <c r="WCJ24" s="252"/>
      <c r="WCK24" s="252"/>
      <c r="WCL24" s="252"/>
      <c r="WCM24" s="252"/>
      <c r="WCN24" s="252"/>
      <c r="WCO24" s="252"/>
      <c r="WCP24" s="252"/>
      <c r="WCQ24" s="252"/>
      <c r="WCR24" s="252"/>
      <c r="WCS24" s="252"/>
      <c r="WCT24" s="252"/>
      <c r="WCU24" s="252"/>
      <c r="WCV24" s="252"/>
      <c r="WCW24" s="252"/>
      <c r="WCX24" s="252"/>
      <c r="WCY24" s="252"/>
      <c r="WCZ24" s="252"/>
      <c r="WDA24" s="252"/>
      <c r="WDB24" s="252"/>
      <c r="WDC24" s="252"/>
      <c r="WDD24" s="252"/>
      <c r="WDE24" s="252"/>
      <c r="WDF24" s="252"/>
      <c r="WDG24" s="252"/>
      <c r="WDH24" s="252"/>
      <c r="WDI24" s="252"/>
      <c r="WDJ24" s="252"/>
      <c r="WDK24" s="252"/>
      <c r="WDL24" s="252"/>
      <c r="WDM24" s="252"/>
      <c r="WDN24" s="252"/>
      <c r="WDO24" s="252"/>
      <c r="WDP24" s="252"/>
      <c r="WDQ24" s="252"/>
      <c r="WDR24" s="252"/>
      <c r="WDS24" s="252"/>
      <c r="WDT24" s="252"/>
      <c r="WDU24" s="252"/>
      <c r="WDV24" s="252"/>
      <c r="WDW24" s="252"/>
      <c r="WDX24" s="252"/>
      <c r="WDY24" s="252"/>
      <c r="WDZ24" s="252"/>
      <c r="WEA24" s="252"/>
      <c r="WEB24" s="252"/>
      <c r="WEC24" s="252"/>
      <c r="WED24" s="252"/>
      <c r="WEE24" s="252"/>
      <c r="WEF24" s="252"/>
      <c r="WEG24" s="252"/>
      <c r="WEH24" s="252"/>
      <c r="WEI24" s="252"/>
      <c r="WEJ24" s="252"/>
      <c r="WEK24" s="252"/>
      <c r="WEL24" s="252"/>
      <c r="WEM24" s="252"/>
      <c r="WEN24" s="252"/>
      <c r="WEO24" s="252"/>
      <c r="WEP24" s="252"/>
      <c r="WEQ24" s="252"/>
      <c r="WER24" s="252"/>
      <c r="WES24" s="252"/>
      <c r="WET24" s="252"/>
      <c r="WEU24" s="252"/>
      <c r="WEV24" s="252"/>
      <c r="WEW24" s="252"/>
      <c r="WEX24" s="252"/>
      <c r="WEY24" s="252"/>
      <c r="WEZ24" s="252"/>
      <c r="WFA24" s="252"/>
      <c r="WFB24" s="252"/>
      <c r="WFC24" s="252"/>
      <c r="WFD24" s="252"/>
      <c r="WFE24" s="252"/>
      <c r="WFF24" s="252"/>
      <c r="WFG24" s="252"/>
      <c r="WFH24" s="252"/>
      <c r="WFI24" s="252"/>
      <c r="WFJ24" s="252"/>
      <c r="WFK24" s="252"/>
      <c r="WFL24" s="252"/>
      <c r="WFM24" s="252"/>
      <c r="WFN24" s="252"/>
      <c r="WFO24" s="252"/>
      <c r="WFP24" s="252"/>
      <c r="WFQ24" s="252"/>
      <c r="WFR24" s="252"/>
      <c r="WFS24" s="252"/>
      <c r="WFT24" s="252"/>
      <c r="WFU24" s="252"/>
      <c r="WFV24" s="252"/>
      <c r="WFW24" s="252"/>
      <c r="WFX24" s="252"/>
      <c r="WFY24" s="252"/>
      <c r="WFZ24" s="252"/>
      <c r="WGA24" s="252"/>
      <c r="WGB24" s="252"/>
      <c r="WGC24" s="252"/>
      <c r="WGD24" s="252"/>
      <c r="WGE24" s="252"/>
      <c r="WGF24" s="252"/>
      <c r="WGG24" s="252"/>
      <c r="WGH24" s="252"/>
      <c r="WGI24" s="252"/>
      <c r="WGJ24" s="252"/>
      <c r="WGK24" s="252"/>
      <c r="WGL24" s="252"/>
      <c r="WGM24" s="252"/>
      <c r="WGN24" s="252"/>
      <c r="WGO24" s="252"/>
      <c r="WGP24" s="252"/>
      <c r="WGQ24" s="252"/>
      <c r="WGR24" s="252"/>
      <c r="WGS24" s="252"/>
      <c r="WGT24" s="252"/>
      <c r="WGU24" s="252"/>
      <c r="WGV24" s="252"/>
      <c r="WGW24" s="252"/>
      <c r="WGX24" s="252"/>
      <c r="WGY24" s="252"/>
      <c r="WGZ24" s="252"/>
      <c r="WHA24" s="252"/>
      <c r="WHB24" s="252"/>
      <c r="WHC24" s="252"/>
      <c r="WHD24" s="252"/>
      <c r="WHE24" s="252"/>
      <c r="WHF24" s="252"/>
      <c r="WHG24" s="252"/>
      <c r="WHH24" s="252"/>
      <c r="WHI24" s="252"/>
      <c r="WHJ24" s="252"/>
      <c r="WHK24" s="252"/>
      <c r="WHL24" s="252"/>
      <c r="WHM24" s="252"/>
      <c r="WHN24" s="252"/>
      <c r="WHO24" s="252"/>
      <c r="WHP24" s="252"/>
      <c r="WHQ24" s="252"/>
      <c r="WHR24" s="252"/>
      <c r="WHS24" s="252"/>
      <c r="WHT24" s="252"/>
      <c r="WHU24" s="252"/>
      <c r="WHV24" s="252"/>
      <c r="WHW24" s="252"/>
      <c r="WHX24" s="252"/>
      <c r="WHY24" s="252"/>
      <c r="WHZ24" s="252"/>
      <c r="WIA24" s="252"/>
      <c r="WIB24" s="252"/>
      <c r="WIC24" s="252"/>
      <c r="WID24" s="252"/>
      <c r="WIE24" s="252"/>
      <c r="WIF24" s="252"/>
      <c r="WIG24" s="252"/>
      <c r="WIH24" s="252"/>
      <c r="WII24" s="252"/>
      <c r="WIJ24" s="252"/>
      <c r="WIK24" s="252"/>
      <c r="WIL24" s="252"/>
      <c r="WIM24" s="252"/>
      <c r="WIN24" s="252"/>
      <c r="WIO24" s="252"/>
      <c r="WIP24" s="252"/>
      <c r="WIQ24" s="252"/>
      <c r="WIR24" s="252"/>
      <c r="WIS24" s="252"/>
      <c r="WIT24" s="252"/>
      <c r="WIU24" s="252"/>
      <c r="WIV24" s="252"/>
      <c r="WIW24" s="252"/>
      <c r="WIX24" s="252"/>
      <c r="WIY24" s="252"/>
      <c r="WIZ24" s="252"/>
      <c r="WJA24" s="252"/>
      <c r="WJB24" s="252"/>
      <c r="WJC24" s="252"/>
      <c r="WJD24" s="252"/>
      <c r="WJE24" s="252"/>
      <c r="WJF24" s="252"/>
      <c r="WJG24" s="252"/>
      <c r="WJH24" s="252"/>
      <c r="WJI24" s="252"/>
      <c r="WJJ24" s="252"/>
      <c r="WJK24" s="252"/>
      <c r="WJL24" s="252"/>
      <c r="WJM24" s="252"/>
      <c r="WJN24" s="252"/>
      <c r="WJO24" s="252"/>
      <c r="WJP24" s="252"/>
      <c r="WJQ24" s="252"/>
      <c r="WJR24" s="252"/>
      <c r="WJS24" s="252"/>
      <c r="WJT24" s="252"/>
      <c r="WJU24" s="252"/>
      <c r="WJV24" s="252"/>
      <c r="WJW24" s="252"/>
      <c r="WJX24" s="252"/>
      <c r="WJY24" s="252"/>
      <c r="WJZ24" s="252"/>
      <c r="WKA24" s="252"/>
      <c r="WKB24" s="252"/>
      <c r="WKC24" s="252"/>
      <c r="WKD24" s="252"/>
      <c r="WKE24" s="252"/>
      <c r="WKF24" s="252"/>
      <c r="WKG24" s="252"/>
      <c r="WKH24" s="252"/>
      <c r="WKI24" s="252"/>
      <c r="WKJ24" s="252"/>
      <c r="WKK24" s="252"/>
      <c r="WKL24" s="252"/>
      <c r="WKM24" s="252"/>
      <c r="WKN24" s="252"/>
      <c r="WKO24" s="252"/>
      <c r="WKP24" s="252"/>
      <c r="WKQ24" s="252"/>
      <c r="WKR24" s="252"/>
      <c r="WKS24" s="252"/>
      <c r="WKT24" s="252"/>
      <c r="WKU24" s="252"/>
      <c r="WKV24" s="252"/>
      <c r="WKW24" s="252"/>
      <c r="WKX24" s="252"/>
      <c r="WKY24" s="252"/>
      <c r="WKZ24" s="252"/>
      <c r="WLA24" s="252"/>
      <c r="WLB24" s="252"/>
      <c r="WLC24" s="252"/>
      <c r="WLD24" s="252"/>
      <c r="WLE24" s="252"/>
      <c r="WLF24" s="252"/>
      <c r="WLG24" s="252"/>
      <c r="WLH24" s="252"/>
      <c r="WLI24" s="252"/>
      <c r="WLJ24" s="252"/>
      <c r="WLK24" s="252"/>
      <c r="WLL24" s="252"/>
      <c r="WLM24" s="252"/>
      <c r="WLN24" s="252"/>
      <c r="WLO24" s="252"/>
      <c r="WLP24" s="252"/>
      <c r="WLQ24" s="252"/>
      <c r="WLR24" s="252"/>
      <c r="WLS24" s="252"/>
      <c r="WLT24" s="252"/>
      <c r="WLU24" s="252"/>
      <c r="WLV24" s="252"/>
      <c r="WLW24" s="252"/>
      <c r="WLX24" s="252"/>
      <c r="WLY24" s="252"/>
      <c r="WLZ24" s="252"/>
      <c r="WMA24" s="252"/>
      <c r="WMB24" s="252"/>
      <c r="WMC24" s="252"/>
      <c r="WMD24" s="252"/>
      <c r="WME24" s="252"/>
      <c r="WMF24" s="252"/>
      <c r="WMG24" s="252"/>
      <c r="WMH24" s="252"/>
      <c r="WMI24" s="252"/>
      <c r="WMJ24" s="252"/>
      <c r="WMK24" s="252"/>
      <c r="WML24" s="252"/>
      <c r="WMM24" s="252"/>
      <c r="WMN24" s="252"/>
      <c r="WMO24" s="252"/>
      <c r="WMP24" s="252"/>
      <c r="WMQ24" s="252"/>
      <c r="WMR24" s="252"/>
      <c r="WMS24" s="252"/>
      <c r="WMT24" s="252"/>
      <c r="WMU24" s="252"/>
      <c r="WMV24" s="252"/>
      <c r="WMW24" s="252"/>
      <c r="WMX24" s="252"/>
      <c r="WMY24" s="252"/>
      <c r="WMZ24" s="252"/>
      <c r="WNA24" s="252"/>
      <c r="WNB24" s="252"/>
      <c r="WNC24" s="252"/>
      <c r="WND24" s="252"/>
      <c r="WNE24" s="252"/>
      <c r="WNF24" s="252"/>
      <c r="WNG24" s="252"/>
      <c r="WNH24" s="252"/>
      <c r="WNI24" s="252"/>
      <c r="WNJ24" s="252"/>
      <c r="WNK24" s="252"/>
      <c r="WNL24" s="252"/>
      <c r="WNM24" s="252"/>
      <c r="WNN24" s="252"/>
      <c r="WNO24" s="252"/>
      <c r="WNP24" s="252"/>
      <c r="WNQ24" s="252"/>
      <c r="WNR24" s="252"/>
      <c r="WNS24" s="252"/>
      <c r="WNT24" s="252"/>
      <c r="WNU24" s="252"/>
      <c r="WNV24" s="252"/>
      <c r="WNW24" s="252"/>
      <c r="WNX24" s="252"/>
      <c r="WNY24" s="252"/>
      <c r="WNZ24" s="252"/>
      <c r="WOA24" s="252"/>
      <c r="WOB24" s="252"/>
      <c r="WOC24" s="252"/>
      <c r="WOD24" s="252"/>
      <c r="WOE24" s="252"/>
      <c r="WOF24" s="252"/>
      <c r="WOG24" s="252"/>
      <c r="WOH24" s="252"/>
      <c r="WOI24" s="252"/>
      <c r="WOJ24" s="252"/>
      <c r="WOK24" s="252"/>
      <c r="WOL24" s="252"/>
      <c r="WOM24" s="252"/>
      <c r="WON24" s="252"/>
      <c r="WOO24" s="252"/>
      <c r="WOP24" s="252"/>
      <c r="WOQ24" s="252"/>
      <c r="WOR24" s="252"/>
      <c r="WOS24" s="252"/>
      <c r="WOT24" s="252"/>
      <c r="WOU24" s="252"/>
      <c r="WOV24" s="252"/>
      <c r="WOW24" s="252"/>
      <c r="WOX24" s="252"/>
      <c r="WOY24" s="252"/>
      <c r="WOZ24" s="252"/>
      <c r="WPA24" s="252"/>
      <c r="WPB24" s="252"/>
      <c r="WPC24" s="252"/>
      <c r="WPD24" s="252"/>
      <c r="WPE24" s="252"/>
      <c r="WPF24" s="252"/>
      <c r="WPG24" s="252"/>
      <c r="WPH24" s="252"/>
      <c r="WPI24" s="252"/>
      <c r="WPJ24" s="252"/>
      <c r="WPK24" s="252"/>
      <c r="WPL24" s="252"/>
      <c r="WPM24" s="252"/>
      <c r="WPN24" s="252"/>
      <c r="WPO24" s="252"/>
      <c r="WPP24" s="252"/>
      <c r="WPQ24" s="252"/>
      <c r="WPR24" s="252"/>
      <c r="WPS24" s="252"/>
      <c r="WPT24" s="252"/>
      <c r="WPU24" s="252"/>
      <c r="WPV24" s="252"/>
      <c r="WPW24" s="252"/>
      <c r="WPX24" s="252"/>
      <c r="WPY24" s="252"/>
      <c r="WPZ24" s="252"/>
      <c r="WQA24" s="252"/>
      <c r="WQB24" s="252"/>
      <c r="WQC24" s="252"/>
      <c r="WQD24" s="252"/>
      <c r="WQE24" s="252"/>
      <c r="WQF24" s="252"/>
      <c r="WQG24" s="252"/>
      <c r="WQH24" s="252"/>
      <c r="WQI24" s="252"/>
      <c r="WQJ24" s="252"/>
      <c r="WQK24" s="252"/>
      <c r="WQL24" s="252"/>
      <c r="WQM24" s="252"/>
      <c r="WQN24" s="252"/>
      <c r="WQO24" s="252"/>
      <c r="WQP24" s="252"/>
      <c r="WQQ24" s="252"/>
      <c r="WQR24" s="252"/>
      <c r="WQS24" s="252"/>
      <c r="WQT24" s="252"/>
      <c r="WQU24" s="252"/>
      <c r="WQV24" s="252"/>
      <c r="WQW24" s="252"/>
      <c r="WQX24" s="252"/>
      <c r="WQY24" s="252"/>
      <c r="WQZ24" s="252"/>
      <c r="WRA24" s="252"/>
      <c r="WRB24" s="252"/>
      <c r="WRC24" s="252"/>
      <c r="WRD24" s="252"/>
      <c r="WRE24" s="252"/>
      <c r="WRF24" s="252"/>
      <c r="WRG24" s="252"/>
      <c r="WRH24" s="252"/>
      <c r="WRI24" s="252"/>
      <c r="WRJ24" s="252"/>
      <c r="WRK24" s="252"/>
      <c r="WRL24" s="252"/>
      <c r="WRM24" s="252"/>
      <c r="WRN24" s="252"/>
      <c r="WRO24" s="252"/>
      <c r="WRP24" s="252"/>
      <c r="WRQ24" s="252"/>
      <c r="WRR24" s="252"/>
      <c r="WRS24" s="252"/>
      <c r="WRT24" s="252"/>
      <c r="WRU24" s="252"/>
      <c r="WRV24" s="252"/>
      <c r="WRW24" s="252"/>
      <c r="WRX24" s="252"/>
      <c r="WRY24" s="252"/>
      <c r="WRZ24" s="252"/>
      <c r="WSA24" s="252"/>
      <c r="WSB24" s="252"/>
      <c r="WSC24" s="252"/>
      <c r="WSD24" s="252"/>
      <c r="WSE24" s="252"/>
      <c r="WSF24" s="252"/>
      <c r="WSG24" s="252"/>
      <c r="WSH24" s="252"/>
      <c r="WSI24" s="252"/>
      <c r="WSJ24" s="252"/>
      <c r="WSK24" s="252"/>
      <c r="WSL24" s="252"/>
      <c r="WSM24" s="252"/>
      <c r="WSN24" s="252"/>
      <c r="WSO24" s="252"/>
      <c r="WSP24" s="252"/>
      <c r="WSQ24" s="252"/>
      <c r="WSR24" s="252"/>
      <c r="WSS24" s="252"/>
      <c r="WST24" s="252"/>
      <c r="WSU24" s="252"/>
      <c r="WSV24" s="252"/>
      <c r="WSW24" s="252"/>
      <c r="WSX24" s="252"/>
      <c r="WSY24" s="252"/>
      <c r="WSZ24" s="252"/>
      <c r="WTA24" s="252"/>
      <c r="WTB24" s="252"/>
      <c r="WTC24" s="252"/>
      <c r="WTD24" s="252"/>
      <c r="WTE24" s="252"/>
      <c r="WTF24" s="252"/>
      <c r="WTG24" s="252"/>
      <c r="WTH24" s="252"/>
      <c r="WTI24" s="252"/>
      <c r="WTJ24" s="252"/>
      <c r="WTK24" s="252"/>
      <c r="WTL24" s="252"/>
      <c r="WTM24" s="252"/>
      <c r="WTN24" s="252"/>
      <c r="WTO24" s="252"/>
      <c r="WTP24" s="252"/>
      <c r="WTQ24" s="252"/>
      <c r="WTR24" s="252"/>
      <c r="WTS24" s="252"/>
      <c r="WTT24" s="252"/>
      <c r="WTU24" s="252"/>
      <c r="WTV24" s="252"/>
      <c r="WTW24" s="252"/>
      <c r="WTX24" s="252"/>
      <c r="WTY24" s="252"/>
      <c r="WTZ24" s="252"/>
      <c r="WUA24" s="252"/>
      <c r="WUB24" s="252"/>
      <c r="WUC24" s="252"/>
      <c r="WUD24" s="252"/>
      <c r="WUE24" s="252"/>
      <c r="WUF24" s="252"/>
      <c r="WUG24" s="252"/>
      <c r="WUH24" s="252"/>
      <c r="WUI24" s="252"/>
      <c r="WUJ24" s="252"/>
      <c r="WUK24" s="252"/>
      <c r="WUL24" s="252"/>
      <c r="WUM24" s="252"/>
      <c r="WUN24" s="252"/>
      <c r="WUO24" s="252"/>
      <c r="WUP24" s="252"/>
      <c r="WUQ24" s="252"/>
      <c r="WUR24" s="252"/>
      <c r="WUS24" s="252"/>
      <c r="WUT24" s="252"/>
      <c r="WUU24" s="252"/>
      <c r="WUV24" s="252"/>
      <c r="WUW24" s="252"/>
      <c r="WUX24" s="252"/>
      <c r="WUY24" s="252"/>
      <c r="WUZ24" s="252"/>
      <c r="WVA24" s="252"/>
      <c r="WVB24" s="252"/>
      <c r="WVC24" s="252"/>
      <c r="WVD24" s="252"/>
      <c r="WVE24" s="252"/>
      <c r="WVF24" s="252"/>
      <c r="WVG24" s="252"/>
      <c r="WVH24" s="252"/>
      <c r="WVI24" s="252"/>
      <c r="WVJ24" s="252"/>
      <c r="WVK24" s="252"/>
      <c r="WVL24" s="252"/>
      <c r="WVM24" s="252"/>
      <c r="WVN24" s="252"/>
      <c r="WVO24" s="252"/>
      <c r="WVP24" s="252"/>
      <c r="WVQ24" s="252"/>
      <c r="WVR24" s="252"/>
      <c r="WVS24" s="252"/>
      <c r="WVT24" s="252"/>
      <c r="WVU24" s="252"/>
      <c r="WVV24" s="252"/>
      <c r="WVW24" s="252"/>
      <c r="WVX24" s="252"/>
      <c r="WVY24" s="252"/>
      <c r="WVZ24" s="252"/>
      <c r="WWA24" s="252"/>
      <c r="WWB24" s="252"/>
      <c r="WWC24" s="252"/>
      <c r="WWD24" s="252"/>
      <c r="WWE24" s="252"/>
      <c r="WWF24" s="252"/>
      <c r="WWG24" s="252"/>
      <c r="WWH24" s="252"/>
      <c r="WWI24" s="252"/>
      <c r="WWJ24" s="252"/>
      <c r="WWK24" s="252"/>
      <c r="WWL24" s="252"/>
      <c r="WWM24" s="252"/>
      <c r="WWN24" s="252"/>
      <c r="WWO24" s="252"/>
      <c r="WWP24" s="252"/>
      <c r="WWQ24" s="252"/>
      <c r="WWR24" s="252"/>
      <c r="WWS24" s="252"/>
      <c r="WWT24" s="252"/>
      <c r="WWU24" s="252"/>
      <c r="WWV24" s="252"/>
      <c r="WWW24" s="252"/>
      <c r="WWX24" s="252"/>
      <c r="WWY24" s="252"/>
      <c r="WWZ24" s="252"/>
      <c r="WXA24" s="252"/>
      <c r="WXB24" s="252"/>
      <c r="WXC24" s="252"/>
      <c r="WXD24" s="252"/>
      <c r="WXE24" s="252"/>
      <c r="WXF24" s="252"/>
      <c r="WXG24" s="252"/>
      <c r="WXH24" s="252"/>
      <c r="WXI24" s="252"/>
      <c r="WXJ24" s="252"/>
      <c r="WXK24" s="252"/>
      <c r="WXL24" s="252"/>
      <c r="WXM24" s="252"/>
      <c r="WXN24" s="252"/>
      <c r="WXO24" s="252"/>
      <c r="WXP24" s="252"/>
      <c r="WXQ24" s="252"/>
      <c r="WXR24" s="252"/>
      <c r="WXS24" s="252"/>
      <c r="WXT24" s="252"/>
      <c r="WXU24" s="252"/>
      <c r="WXV24" s="252"/>
      <c r="WXW24" s="252"/>
      <c r="WXX24" s="252"/>
      <c r="WXY24" s="252"/>
      <c r="WXZ24" s="252"/>
      <c r="WYA24" s="252"/>
      <c r="WYB24" s="252"/>
      <c r="WYC24" s="252"/>
      <c r="WYD24" s="252"/>
      <c r="WYE24" s="252"/>
      <c r="WYF24" s="252"/>
      <c r="WYG24" s="252"/>
      <c r="WYH24" s="252"/>
      <c r="WYI24" s="252"/>
      <c r="WYJ24" s="252"/>
      <c r="WYK24" s="252"/>
      <c r="WYL24" s="252"/>
      <c r="WYM24" s="252"/>
      <c r="WYN24" s="252"/>
      <c r="WYO24" s="252"/>
      <c r="WYP24" s="252"/>
      <c r="WYQ24" s="252"/>
      <c r="WYR24" s="252"/>
      <c r="WYS24" s="252"/>
      <c r="WYT24" s="252"/>
      <c r="WYU24" s="252"/>
      <c r="WYV24" s="252"/>
      <c r="WYW24" s="252"/>
      <c r="WYX24" s="252"/>
      <c r="WYY24" s="252"/>
      <c r="WYZ24" s="252"/>
      <c r="WZA24" s="252"/>
      <c r="WZB24" s="252"/>
      <c r="WZC24" s="252"/>
      <c r="WZD24" s="252"/>
      <c r="WZE24" s="252"/>
      <c r="WZF24" s="252"/>
      <c r="WZG24" s="252"/>
      <c r="WZH24" s="252"/>
      <c r="WZI24" s="252"/>
      <c r="WZJ24" s="252"/>
      <c r="WZK24" s="252"/>
      <c r="WZL24" s="252"/>
      <c r="WZM24" s="252"/>
      <c r="WZN24" s="252"/>
      <c r="WZO24" s="252"/>
      <c r="WZP24" s="252"/>
      <c r="WZQ24" s="252"/>
      <c r="WZR24" s="252"/>
      <c r="WZS24" s="252"/>
      <c r="WZT24" s="252"/>
      <c r="WZU24" s="252"/>
      <c r="WZV24" s="252"/>
      <c r="WZW24" s="252"/>
      <c r="WZX24" s="252"/>
      <c r="WZY24" s="252"/>
      <c r="WZZ24" s="252"/>
      <c r="XAA24" s="252"/>
      <c r="XAB24" s="252"/>
      <c r="XAC24" s="252"/>
      <c r="XAD24" s="252"/>
      <c r="XAE24" s="252"/>
      <c r="XAF24" s="252"/>
      <c r="XAG24" s="252"/>
      <c r="XAH24" s="252"/>
      <c r="XAI24" s="252"/>
      <c r="XAJ24" s="252"/>
      <c r="XAK24" s="252"/>
      <c r="XAL24" s="252"/>
      <c r="XAM24" s="252"/>
      <c r="XAN24" s="252"/>
      <c r="XAO24" s="252"/>
      <c r="XAP24" s="252"/>
      <c r="XAQ24" s="252"/>
      <c r="XAR24" s="252"/>
      <c r="XAS24" s="252"/>
      <c r="XAT24" s="252"/>
      <c r="XAU24" s="252"/>
      <c r="XAV24" s="252"/>
      <c r="XAW24" s="252"/>
      <c r="XAX24" s="252"/>
      <c r="XAY24" s="252"/>
      <c r="XAZ24" s="252"/>
      <c r="XBA24" s="252"/>
      <c r="XBB24" s="252"/>
      <c r="XBC24" s="252"/>
      <c r="XBD24" s="252"/>
      <c r="XBE24" s="252"/>
      <c r="XBF24" s="252"/>
      <c r="XBG24" s="252"/>
      <c r="XBH24" s="252"/>
      <c r="XBI24" s="252"/>
      <c r="XBJ24" s="252"/>
      <c r="XBK24" s="252"/>
      <c r="XBL24" s="252"/>
      <c r="XBM24" s="252"/>
      <c r="XBN24" s="252"/>
      <c r="XBO24" s="252"/>
      <c r="XBP24" s="252"/>
      <c r="XBQ24" s="252"/>
      <c r="XBR24" s="252"/>
      <c r="XBS24" s="252"/>
      <c r="XBT24" s="252"/>
      <c r="XBU24" s="252"/>
      <c r="XBV24" s="252"/>
      <c r="XBW24" s="252"/>
      <c r="XBX24" s="252"/>
      <c r="XBY24" s="252"/>
      <c r="XBZ24" s="252"/>
      <c r="XCA24" s="252"/>
      <c r="XCB24" s="252"/>
      <c r="XCC24" s="252"/>
      <c r="XCD24" s="252"/>
      <c r="XCE24" s="252"/>
      <c r="XCF24" s="252"/>
      <c r="XCG24" s="252"/>
      <c r="XCH24" s="252"/>
      <c r="XCI24" s="252"/>
      <c r="XCJ24" s="252"/>
      <c r="XCK24" s="252"/>
      <c r="XCL24" s="252"/>
      <c r="XCM24" s="252"/>
      <c r="XCN24" s="252"/>
      <c r="XCO24" s="252"/>
      <c r="XCP24" s="252"/>
      <c r="XCQ24" s="252"/>
      <c r="XCR24" s="252"/>
      <c r="XCS24" s="252"/>
      <c r="XCT24" s="252"/>
      <c r="XCU24" s="252"/>
      <c r="XCV24" s="252"/>
      <c r="XCW24" s="252"/>
      <c r="XCX24" s="252"/>
      <c r="XCY24" s="252"/>
      <c r="XCZ24" s="252"/>
      <c r="XDA24" s="252"/>
      <c r="XDB24" s="252"/>
      <c r="XDC24" s="252"/>
      <c r="XDD24" s="252"/>
      <c r="XDE24" s="252"/>
      <c r="XDF24" s="252"/>
      <c r="XDG24" s="252"/>
      <c r="XDH24" s="252"/>
      <c r="XDI24" s="252"/>
      <c r="XDJ24" s="252"/>
      <c r="XDK24" s="252"/>
      <c r="XDL24" s="252"/>
      <c r="XDM24" s="252"/>
      <c r="XDN24" s="252"/>
      <c r="XDO24" s="252"/>
      <c r="XDP24" s="252"/>
      <c r="XDQ24" s="252"/>
      <c r="XDR24" s="252"/>
      <c r="XDS24" s="252"/>
      <c r="XDT24" s="252"/>
      <c r="XDU24" s="252"/>
      <c r="XDV24" s="252"/>
      <c r="XDW24" s="252"/>
      <c r="XDX24" s="252"/>
      <c r="XDY24" s="252"/>
      <c r="XDZ24" s="252"/>
      <c r="XEA24" s="252"/>
      <c r="XEB24" s="252"/>
      <c r="XEC24" s="252"/>
      <c r="XED24" s="252"/>
      <c r="XEE24" s="252"/>
      <c r="XEF24" s="252"/>
      <c r="XEG24" s="252"/>
      <c r="XEH24" s="252"/>
      <c r="XEI24" s="252"/>
      <c r="XEJ24" s="252"/>
      <c r="XEK24" s="252"/>
      <c r="XEL24" s="252"/>
      <c r="XEM24" s="252"/>
      <c r="XEN24" s="252"/>
      <c r="XEO24" s="252"/>
      <c r="XEP24" s="252"/>
      <c r="XEQ24" s="252"/>
      <c r="XER24" s="252"/>
      <c r="XES24" s="252"/>
      <c r="XET24" s="252"/>
      <c r="XEU24" s="252"/>
      <c r="XEV24" s="252"/>
      <c r="XEW24" s="252"/>
      <c r="XEX24" s="252"/>
      <c r="XEY24" s="252"/>
      <c r="XEZ24" s="252"/>
      <c r="XFA24" s="252"/>
      <c r="XFB24" s="252"/>
    </row>
    <row r="25" spans="1:16382" s="12" customFormat="1" ht="49.5" customHeight="1">
      <c r="A25" s="13" t="s">
        <v>0</v>
      </c>
      <c r="B25" s="14" t="s">
        <v>1</v>
      </c>
      <c r="C25" s="34" t="s">
        <v>2</v>
      </c>
      <c r="D25" s="23" t="s">
        <v>746</v>
      </c>
      <c r="E25" s="23" t="s">
        <v>464</v>
      </c>
      <c r="F25" s="35" t="s">
        <v>716</v>
      </c>
      <c r="G25" s="33"/>
      <c r="H25" s="29"/>
      <c r="I25"/>
      <c r="J25"/>
      <c r="K25" s="125"/>
      <c r="L25"/>
      <c r="M25"/>
      <c r="N25"/>
    </row>
    <row r="26" spans="1:16382" s="11" customFormat="1" ht="49.5" customHeight="1">
      <c r="A26" s="15">
        <v>1</v>
      </c>
      <c r="B26" s="16" t="s">
        <v>4</v>
      </c>
      <c r="C26" s="36" t="s">
        <v>5</v>
      </c>
      <c r="D26" s="24">
        <v>389000000</v>
      </c>
      <c r="E26" s="24">
        <f>E30+(2.5*$H$26)</f>
        <v>463000000</v>
      </c>
      <c r="F26" s="111" t="str">
        <f>LEFT(B26,8)&amp;"00"</f>
        <v>2160010300</v>
      </c>
      <c r="G26" s="112" t="s">
        <v>698</v>
      </c>
      <c r="H26" s="113">
        <v>20000000</v>
      </c>
      <c r="I26" s="80">
        <v>19</v>
      </c>
      <c r="J26"/>
      <c r="K26" s="125"/>
      <c r="L26"/>
      <c r="M26"/>
      <c r="N26"/>
    </row>
    <row r="27" spans="1:16382" s="11" customFormat="1" ht="49.5" customHeight="1">
      <c r="A27" s="15">
        <v>2</v>
      </c>
      <c r="B27" s="16" t="s">
        <v>261</v>
      </c>
      <c r="C27" s="36" t="s">
        <v>259</v>
      </c>
      <c r="D27" s="24" t="s">
        <v>260</v>
      </c>
      <c r="E27" s="24" t="s">
        <v>260</v>
      </c>
      <c r="F27" s="38"/>
      <c r="G27" s="112" t="s">
        <v>696</v>
      </c>
      <c r="H27" s="114">
        <v>0.2</v>
      </c>
      <c r="I27" s="80">
        <v>20</v>
      </c>
      <c r="J27"/>
      <c r="K27" s="125"/>
      <c r="L27"/>
      <c r="M27"/>
      <c r="N27"/>
    </row>
    <row r="28" spans="1:16382" s="11" customFormat="1" ht="49.5" customHeight="1">
      <c r="A28" s="253" t="s">
        <v>529</v>
      </c>
      <c r="B28" s="253"/>
      <c r="C28" s="253"/>
      <c r="D28" s="253"/>
      <c r="E28" s="31"/>
      <c r="F28" s="32"/>
      <c r="G28" s="112" t="s">
        <v>697</v>
      </c>
      <c r="H28" s="114">
        <v>0</v>
      </c>
      <c r="I28"/>
      <c r="J28"/>
      <c r="K28" s="125"/>
      <c r="L28"/>
      <c r="M28"/>
      <c r="N28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2"/>
      <c r="AX28" s="252"/>
      <c r="AY28" s="252"/>
      <c r="AZ28" s="252"/>
      <c r="BA28" s="252"/>
      <c r="BB28" s="252"/>
      <c r="BC28" s="252"/>
      <c r="BD28" s="252"/>
      <c r="BE28" s="252"/>
      <c r="BF28" s="252"/>
      <c r="BG28" s="252"/>
      <c r="BH28" s="252"/>
      <c r="BI28" s="252"/>
      <c r="BJ28" s="252"/>
      <c r="BK28" s="252"/>
      <c r="BL28" s="252"/>
      <c r="BM28" s="252"/>
      <c r="BN28" s="252"/>
      <c r="BO28" s="252"/>
      <c r="BP28" s="252"/>
      <c r="BQ28" s="252"/>
      <c r="BR28" s="252"/>
      <c r="BS28" s="252"/>
      <c r="BT28" s="252"/>
      <c r="BU28" s="252"/>
      <c r="BV28" s="252"/>
      <c r="BW28" s="252"/>
      <c r="BX28" s="252"/>
      <c r="BY28" s="252"/>
      <c r="BZ28" s="252"/>
      <c r="CA28" s="252"/>
      <c r="CB28" s="252"/>
      <c r="CC28" s="252"/>
      <c r="CD28" s="252"/>
      <c r="CE28" s="252"/>
      <c r="CF28" s="252"/>
      <c r="CG28" s="252"/>
      <c r="CH28" s="252"/>
      <c r="CI28" s="252"/>
      <c r="CJ28" s="252"/>
      <c r="CK28" s="252"/>
      <c r="CL28" s="252"/>
      <c r="CM28" s="252"/>
      <c r="CN28" s="252"/>
      <c r="CO28" s="252"/>
      <c r="CP28" s="252"/>
      <c r="CQ28" s="252"/>
      <c r="CR28" s="252"/>
      <c r="CS28" s="252"/>
      <c r="CT28" s="252"/>
      <c r="CU28" s="252"/>
      <c r="CV28" s="252"/>
      <c r="CW28" s="252"/>
      <c r="CX28" s="252"/>
      <c r="CY28" s="252"/>
      <c r="CZ28" s="252"/>
      <c r="DA28" s="252"/>
      <c r="DB28" s="252"/>
      <c r="DC28" s="252"/>
      <c r="DD28" s="252"/>
      <c r="DE28" s="252"/>
      <c r="DF28" s="252"/>
      <c r="DG28" s="252"/>
      <c r="DH28" s="252"/>
      <c r="DI28" s="252"/>
      <c r="DJ28" s="252"/>
      <c r="DK28" s="252"/>
      <c r="DL28" s="252"/>
      <c r="DM28" s="252"/>
      <c r="DN28" s="252"/>
      <c r="DO28" s="252"/>
      <c r="DP28" s="252"/>
      <c r="DQ28" s="252"/>
      <c r="DR28" s="252"/>
      <c r="DS28" s="252"/>
      <c r="DT28" s="252"/>
      <c r="DU28" s="252"/>
      <c r="DV28" s="252"/>
      <c r="DW28" s="252"/>
      <c r="DX28" s="252"/>
      <c r="DY28" s="252"/>
      <c r="DZ28" s="252"/>
      <c r="EA28" s="252"/>
      <c r="EB28" s="252"/>
      <c r="EC28" s="252"/>
      <c r="ED28" s="252"/>
      <c r="EE28" s="252"/>
      <c r="EF28" s="252"/>
      <c r="EG28" s="252"/>
      <c r="EH28" s="252"/>
      <c r="EI28" s="252"/>
      <c r="EJ28" s="252"/>
      <c r="EK28" s="252"/>
      <c r="EL28" s="252"/>
      <c r="EM28" s="252"/>
      <c r="EN28" s="252"/>
      <c r="EO28" s="252"/>
      <c r="EP28" s="252"/>
      <c r="EQ28" s="252"/>
      <c r="ER28" s="252"/>
      <c r="ES28" s="252"/>
      <c r="ET28" s="252"/>
      <c r="EU28" s="252"/>
      <c r="EV28" s="252"/>
      <c r="EW28" s="252"/>
      <c r="EX28" s="252"/>
      <c r="EY28" s="252"/>
      <c r="EZ28" s="252"/>
      <c r="FA28" s="252"/>
      <c r="FB28" s="252"/>
      <c r="FC28" s="252"/>
      <c r="FD28" s="252"/>
      <c r="FE28" s="252"/>
      <c r="FF28" s="252"/>
      <c r="FG28" s="252"/>
      <c r="FH28" s="252"/>
      <c r="FI28" s="252"/>
      <c r="FJ28" s="252"/>
      <c r="FK28" s="252"/>
      <c r="FL28" s="252"/>
      <c r="FM28" s="252"/>
      <c r="FN28" s="252"/>
      <c r="FO28" s="252"/>
      <c r="FP28" s="252"/>
      <c r="FQ28" s="252"/>
      <c r="FR28" s="252"/>
      <c r="FS28" s="252"/>
      <c r="FT28" s="252"/>
      <c r="FU28" s="252"/>
      <c r="FV28" s="252"/>
      <c r="FW28" s="252"/>
      <c r="FX28" s="252"/>
      <c r="FY28" s="252"/>
      <c r="FZ28" s="252"/>
      <c r="GA28" s="252"/>
      <c r="GB28" s="252"/>
      <c r="GC28" s="252"/>
      <c r="GD28" s="252"/>
      <c r="GE28" s="252"/>
      <c r="GF28" s="252"/>
      <c r="GG28" s="252"/>
      <c r="GH28" s="252"/>
      <c r="GI28" s="252"/>
      <c r="GJ28" s="252"/>
      <c r="GK28" s="252"/>
      <c r="GL28" s="252"/>
      <c r="GM28" s="252"/>
      <c r="GN28" s="252"/>
      <c r="GO28" s="252"/>
      <c r="GP28" s="252"/>
      <c r="GQ28" s="252"/>
      <c r="GR28" s="252"/>
      <c r="GS28" s="252"/>
      <c r="GT28" s="252"/>
      <c r="GU28" s="252"/>
      <c r="GV28" s="252"/>
      <c r="GW28" s="252"/>
      <c r="GX28" s="252"/>
      <c r="GY28" s="252"/>
      <c r="GZ28" s="252"/>
      <c r="HA28" s="252"/>
      <c r="HB28" s="252"/>
      <c r="HC28" s="252"/>
      <c r="HD28" s="252"/>
      <c r="HE28" s="252"/>
      <c r="HF28" s="252"/>
      <c r="HG28" s="252"/>
      <c r="HH28" s="252"/>
      <c r="HI28" s="252"/>
      <c r="HJ28" s="252"/>
      <c r="HK28" s="252"/>
      <c r="HL28" s="252"/>
      <c r="HM28" s="252"/>
      <c r="HN28" s="252"/>
      <c r="HO28" s="252"/>
      <c r="HP28" s="252"/>
      <c r="HQ28" s="252"/>
      <c r="HR28" s="252"/>
      <c r="HS28" s="252"/>
      <c r="HT28" s="252"/>
      <c r="HU28" s="252"/>
      <c r="HV28" s="252"/>
      <c r="HW28" s="252"/>
      <c r="HX28" s="252"/>
      <c r="HY28" s="252"/>
      <c r="HZ28" s="252"/>
      <c r="IA28" s="252"/>
      <c r="IB28" s="252"/>
      <c r="IC28" s="252"/>
      <c r="ID28" s="252"/>
      <c r="IE28" s="252"/>
      <c r="IF28" s="252"/>
      <c r="IG28" s="252"/>
      <c r="IH28" s="252"/>
      <c r="II28" s="252"/>
      <c r="IJ28" s="252"/>
      <c r="IK28" s="252"/>
      <c r="IL28" s="252"/>
      <c r="IM28" s="252"/>
      <c r="IN28" s="252"/>
      <c r="IO28" s="252"/>
      <c r="IP28" s="252"/>
      <c r="IQ28" s="252"/>
      <c r="IR28" s="252"/>
      <c r="IS28" s="252"/>
      <c r="IT28" s="252"/>
      <c r="IU28" s="252"/>
      <c r="IV28" s="252"/>
      <c r="IW28" s="252"/>
      <c r="IX28" s="252"/>
      <c r="IY28" s="252"/>
      <c r="IZ28" s="252"/>
      <c r="JA28" s="252"/>
      <c r="JB28" s="252"/>
      <c r="JC28" s="252"/>
      <c r="JD28" s="252"/>
      <c r="JE28" s="252"/>
      <c r="JF28" s="252"/>
      <c r="JG28" s="252"/>
      <c r="JH28" s="252"/>
      <c r="JI28" s="252"/>
      <c r="JJ28" s="252"/>
      <c r="JK28" s="252"/>
      <c r="JL28" s="252"/>
      <c r="JM28" s="252"/>
      <c r="JN28" s="252"/>
      <c r="JO28" s="252"/>
      <c r="JP28" s="252"/>
      <c r="JQ28" s="252"/>
      <c r="JR28" s="252"/>
      <c r="JS28" s="252"/>
      <c r="JT28" s="252"/>
      <c r="JU28" s="252"/>
      <c r="JV28" s="252"/>
      <c r="JW28" s="252"/>
      <c r="JX28" s="252"/>
      <c r="JY28" s="252"/>
      <c r="JZ28" s="252"/>
      <c r="KA28" s="252"/>
      <c r="KB28" s="252"/>
      <c r="KC28" s="252"/>
      <c r="KD28" s="252"/>
      <c r="KE28" s="252"/>
      <c r="KF28" s="252"/>
      <c r="KG28" s="252"/>
      <c r="KH28" s="252"/>
      <c r="KI28" s="252"/>
      <c r="KJ28" s="252"/>
      <c r="KK28" s="252"/>
      <c r="KL28" s="252"/>
      <c r="KM28" s="252"/>
      <c r="KN28" s="252"/>
      <c r="KO28" s="252"/>
      <c r="KP28" s="252"/>
      <c r="KQ28" s="252"/>
      <c r="KR28" s="252"/>
      <c r="KS28" s="252"/>
      <c r="KT28" s="252"/>
      <c r="KU28" s="252"/>
      <c r="KV28" s="252"/>
      <c r="KW28" s="252"/>
      <c r="KX28" s="252"/>
      <c r="KY28" s="252"/>
      <c r="KZ28" s="252"/>
      <c r="LA28" s="252"/>
      <c r="LB28" s="252"/>
      <c r="LC28" s="252"/>
      <c r="LD28" s="252"/>
      <c r="LE28" s="252"/>
      <c r="LF28" s="252"/>
      <c r="LG28" s="252"/>
      <c r="LH28" s="252"/>
      <c r="LI28" s="252"/>
      <c r="LJ28" s="252"/>
      <c r="LK28" s="252"/>
      <c r="LL28" s="252"/>
      <c r="LM28" s="252"/>
      <c r="LN28" s="252"/>
      <c r="LO28" s="252"/>
      <c r="LP28" s="252"/>
      <c r="LQ28" s="252"/>
      <c r="LR28" s="252"/>
      <c r="LS28" s="252"/>
      <c r="LT28" s="252"/>
      <c r="LU28" s="252"/>
      <c r="LV28" s="252"/>
      <c r="LW28" s="252"/>
      <c r="LX28" s="252"/>
      <c r="LY28" s="252"/>
      <c r="LZ28" s="252"/>
      <c r="MA28" s="252"/>
      <c r="MB28" s="252"/>
      <c r="MC28" s="252"/>
      <c r="MD28" s="252"/>
      <c r="ME28" s="252"/>
      <c r="MF28" s="252"/>
      <c r="MG28" s="252"/>
      <c r="MH28" s="252"/>
      <c r="MI28" s="252"/>
      <c r="MJ28" s="252"/>
      <c r="MK28" s="252"/>
      <c r="ML28" s="252"/>
      <c r="MM28" s="252"/>
      <c r="MN28" s="252"/>
      <c r="MO28" s="252"/>
      <c r="MP28" s="252"/>
      <c r="MQ28" s="252"/>
      <c r="MR28" s="252"/>
      <c r="MS28" s="252"/>
      <c r="MT28" s="252"/>
      <c r="MU28" s="252"/>
      <c r="MV28" s="252"/>
      <c r="MW28" s="252"/>
      <c r="MX28" s="252"/>
      <c r="MY28" s="252"/>
      <c r="MZ28" s="252"/>
      <c r="NA28" s="252"/>
      <c r="NB28" s="252"/>
      <c r="NC28" s="252"/>
      <c r="ND28" s="252"/>
      <c r="NE28" s="252"/>
      <c r="NF28" s="252"/>
      <c r="NG28" s="252"/>
      <c r="NH28" s="252"/>
      <c r="NI28" s="252"/>
      <c r="NJ28" s="252"/>
      <c r="NK28" s="252"/>
      <c r="NL28" s="252"/>
      <c r="NM28" s="252"/>
      <c r="NN28" s="252"/>
      <c r="NO28" s="252"/>
      <c r="NP28" s="252"/>
      <c r="NQ28" s="252"/>
      <c r="NR28" s="252"/>
      <c r="NS28" s="252"/>
      <c r="NT28" s="252"/>
      <c r="NU28" s="252"/>
      <c r="NV28" s="252"/>
      <c r="NW28" s="252"/>
      <c r="NX28" s="252"/>
      <c r="NY28" s="252"/>
      <c r="NZ28" s="252"/>
      <c r="OA28" s="252"/>
      <c r="OB28" s="252"/>
      <c r="OC28" s="252"/>
      <c r="OD28" s="252"/>
      <c r="OE28" s="252"/>
      <c r="OF28" s="252"/>
      <c r="OG28" s="252"/>
      <c r="OH28" s="252"/>
      <c r="OI28" s="252"/>
      <c r="OJ28" s="252"/>
      <c r="OK28" s="252"/>
      <c r="OL28" s="252"/>
      <c r="OM28" s="252"/>
      <c r="ON28" s="252"/>
      <c r="OO28" s="252"/>
      <c r="OP28" s="252"/>
      <c r="OQ28" s="252"/>
      <c r="OR28" s="252"/>
      <c r="OS28" s="252"/>
      <c r="OT28" s="252"/>
      <c r="OU28" s="252"/>
      <c r="OV28" s="252"/>
      <c r="OW28" s="252"/>
      <c r="OX28" s="252"/>
      <c r="OY28" s="252"/>
      <c r="OZ28" s="252"/>
      <c r="PA28" s="252"/>
      <c r="PB28" s="252"/>
      <c r="PC28" s="252"/>
      <c r="PD28" s="252"/>
      <c r="PE28" s="252"/>
      <c r="PF28" s="252"/>
      <c r="PG28" s="252"/>
      <c r="PH28" s="252"/>
      <c r="PI28" s="252"/>
      <c r="PJ28" s="252"/>
      <c r="PK28" s="252"/>
      <c r="PL28" s="252"/>
      <c r="PM28" s="252"/>
      <c r="PN28" s="252"/>
      <c r="PO28" s="252"/>
      <c r="PP28" s="252"/>
      <c r="PQ28" s="252"/>
      <c r="PR28" s="252"/>
      <c r="PS28" s="252"/>
      <c r="PT28" s="252"/>
      <c r="PU28" s="252"/>
      <c r="PV28" s="252"/>
      <c r="PW28" s="252"/>
      <c r="PX28" s="252"/>
      <c r="PY28" s="252"/>
      <c r="PZ28" s="252"/>
      <c r="QA28" s="252"/>
      <c r="QB28" s="252"/>
      <c r="QC28" s="252"/>
      <c r="QD28" s="252"/>
      <c r="QE28" s="252"/>
      <c r="QF28" s="252"/>
      <c r="QG28" s="252"/>
      <c r="QH28" s="252"/>
      <c r="QI28" s="252"/>
      <c r="QJ28" s="252"/>
      <c r="QK28" s="252"/>
      <c r="QL28" s="252"/>
      <c r="QM28" s="252"/>
      <c r="QN28" s="252"/>
      <c r="QO28" s="252"/>
      <c r="QP28" s="252"/>
      <c r="QQ28" s="252"/>
      <c r="QR28" s="252"/>
      <c r="QS28" s="252"/>
      <c r="QT28" s="252"/>
      <c r="QU28" s="252"/>
      <c r="QV28" s="252"/>
      <c r="QW28" s="252"/>
      <c r="QX28" s="252"/>
      <c r="QY28" s="252"/>
      <c r="QZ28" s="252"/>
      <c r="RA28" s="252"/>
      <c r="RB28" s="252"/>
      <c r="RC28" s="252"/>
      <c r="RD28" s="252"/>
      <c r="RE28" s="252"/>
      <c r="RF28" s="252"/>
      <c r="RG28" s="252"/>
      <c r="RH28" s="252"/>
      <c r="RI28" s="252"/>
      <c r="RJ28" s="252"/>
      <c r="RK28" s="252"/>
      <c r="RL28" s="252"/>
      <c r="RM28" s="252"/>
      <c r="RN28" s="252"/>
      <c r="RO28" s="252"/>
      <c r="RP28" s="252"/>
      <c r="RQ28" s="252"/>
      <c r="RR28" s="252"/>
      <c r="RS28" s="252"/>
      <c r="RT28" s="252"/>
      <c r="RU28" s="252"/>
      <c r="RV28" s="252"/>
      <c r="RW28" s="252"/>
      <c r="RX28" s="252"/>
      <c r="RY28" s="252"/>
      <c r="RZ28" s="252"/>
      <c r="SA28" s="252"/>
      <c r="SB28" s="252"/>
      <c r="SC28" s="252"/>
      <c r="SD28" s="252"/>
      <c r="SE28" s="252"/>
      <c r="SF28" s="252"/>
      <c r="SG28" s="252"/>
      <c r="SH28" s="252"/>
      <c r="SI28" s="252"/>
      <c r="SJ28" s="252"/>
      <c r="SK28" s="252"/>
      <c r="SL28" s="252"/>
      <c r="SM28" s="252"/>
      <c r="SN28" s="252"/>
      <c r="SO28" s="252"/>
      <c r="SP28" s="252"/>
      <c r="SQ28" s="252"/>
      <c r="SR28" s="252"/>
      <c r="SS28" s="252"/>
      <c r="ST28" s="252"/>
      <c r="SU28" s="252"/>
      <c r="SV28" s="252"/>
      <c r="SW28" s="252"/>
      <c r="SX28" s="252"/>
      <c r="SY28" s="252"/>
      <c r="SZ28" s="252"/>
      <c r="TA28" s="252"/>
      <c r="TB28" s="252"/>
      <c r="TC28" s="252"/>
      <c r="TD28" s="252"/>
      <c r="TE28" s="252"/>
      <c r="TF28" s="252"/>
      <c r="TG28" s="252"/>
      <c r="TH28" s="252"/>
      <c r="TI28" s="252"/>
      <c r="TJ28" s="252"/>
      <c r="TK28" s="252"/>
      <c r="TL28" s="252"/>
      <c r="TM28" s="252"/>
      <c r="TN28" s="252"/>
      <c r="TO28" s="252"/>
      <c r="TP28" s="252"/>
      <c r="TQ28" s="252"/>
      <c r="TR28" s="252"/>
      <c r="TS28" s="252"/>
      <c r="TT28" s="252"/>
      <c r="TU28" s="252"/>
      <c r="TV28" s="252"/>
      <c r="TW28" s="252"/>
      <c r="TX28" s="252"/>
      <c r="TY28" s="252"/>
      <c r="TZ28" s="252"/>
      <c r="UA28" s="252"/>
      <c r="UB28" s="252"/>
      <c r="UC28" s="252"/>
      <c r="UD28" s="252"/>
      <c r="UE28" s="252"/>
      <c r="UF28" s="252"/>
      <c r="UG28" s="252"/>
      <c r="UH28" s="252"/>
      <c r="UI28" s="252"/>
      <c r="UJ28" s="252"/>
      <c r="UK28" s="252"/>
      <c r="UL28" s="252"/>
      <c r="UM28" s="252"/>
      <c r="UN28" s="252"/>
      <c r="UO28" s="252"/>
      <c r="UP28" s="252"/>
      <c r="UQ28" s="252"/>
      <c r="UR28" s="252"/>
      <c r="US28" s="252"/>
      <c r="UT28" s="252"/>
      <c r="UU28" s="252"/>
      <c r="UV28" s="252"/>
      <c r="UW28" s="252"/>
      <c r="UX28" s="252"/>
      <c r="UY28" s="252"/>
      <c r="UZ28" s="252"/>
      <c r="VA28" s="252"/>
      <c r="VB28" s="252"/>
      <c r="VC28" s="252"/>
      <c r="VD28" s="252"/>
      <c r="VE28" s="252"/>
      <c r="VF28" s="252"/>
      <c r="VG28" s="252"/>
      <c r="VH28" s="252"/>
      <c r="VI28" s="252"/>
      <c r="VJ28" s="252"/>
      <c r="VK28" s="252"/>
      <c r="VL28" s="252"/>
      <c r="VM28" s="252"/>
      <c r="VN28" s="252"/>
      <c r="VO28" s="252"/>
      <c r="VP28" s="252"/>
      <c r="VQ28" s="252"/>
      <c r="VR28" s="252"/>
      <c r="VS28" s="252"/>
      <c r="VT28" s="252"/>
      <c r="VU28" s="252"/>
      <c r="VV28" s="252"/>
      <c r="VW28" s="252"/>
      <c r="VX28" s="252"/>
      <c r="VY28" s="252"/>
      <c r="VZ28" s="252"/>
      <c r="WA28" s="252"/>
      <c r="WB28" s="252"/>
      <c r="WC28" s="252"/>
      <c r="WD28" s="252"/>
      <c r="WE28" s="252"/>
      <c r="WF28" s="252"/>
      <c r="WG28" s="252"/>
      <c r="WH28" s="252"/>
      <c r="WI28" s="252"/>
      <c r="WJ28" s="252"/>
      <c r="WK28" s="252"/>
      <c r="WL28" s="252"/>
      <c r="WM28" s="252"/>
      <c r="WN28" s="252"/>
      <c r="WO28" s="252"/>
      <c r="WP28" s="252"/>
      <c r="WQ28" s="252"/>
      <c r="WR28" s="252"/>
      <c r="WS28" s="252"/>
      <c r="WT28" s="252"/>
      <c r="WU28" s="252"/>
      <c r="WV28" s="252"/>
      <c r="WW28" s="252"/>
      <c r="WX28" s="252"/>
      <c r="WY28" s="252"/>
      <c r="WZ28" s="252"/>
      <c r="XA28" s="252"/>
      <c r="XB28" s="252"/>
      <c r="XC28" s="252"/>
      <c r="XD28" s="252"/>
      <c r="XE28" s="252"/>
      <c r="XF28" s="252"/>
      <c r="XG28" s="252"/>
      <c r="XH28" s="252"/>
      <c r="XI28" s="252"/>
      <c r="XJ28" s="252"/>
      <c r="XK28" s="252"/>
      <c r="XL28" s="252"/>
      <c r="XM28" s="252"/>
      <c r="XN28" s="252"/>
      <c r="XO28" s="252"/>
      <c r="XP28" s="252"/>
      <c r="XQ28" s="252"/>
      <c r="XR28" s="252"/>
      <c r="XS28" s="252"/>
      <c r="XT28" s="252"/>
      <c r="XU28" s="252"/>
      <c r="XV28" s="252"/>
      <c r="XW28" s="252"/>
      <c r="XX28" s="252"/>
      <c r="XY28" s="252"/>
      <c r="XZ28" s="252"/>
      <c r="YA28" s="252"/>
      <c r="YB28" s="252"/>
      <c r="YC28" s="252"/>
      <c r="YD28" s="252"/>
      <c r="YE28" s="252"/>
      <c r="YF28" s="252"/>
      <c r="YG28" s="252"/>
      <c r="YH28" s="252"/>
      <c r="YI28" s="252"/>
      <c r="YJ28" s="252"/>
      <c r="YK28" s="252"/>
      <c r="YL28" s="252"/>
      <c r="YM28" s="252"/>
      <c r="YN28" s="252"/>
      <c r="YO28" s="252"/>
      <c r="YP28" s="252"/>
      <c r="YQ28" s="252"/>
      <c r="YR28" s="252"/>
      <c r="YS28" s="252"/>
      <c r="YT28" s="252"/>
      <c r="YU28" s="252"/>
      <c r="YV28" s="252"/>
      <c r="YW28" s="252"/>
      <c r="YX28" s="252"/>
      <c r="YY28" s="252"/>
      <c r="YZ28" s="252"/>
      <c r="ZA28" s="252"/>
      <c r="ZB28" s="252"/>
      <c r="ZC28" s="252"/>
      <c r="ZD28" s="252"/>
      <c r="ZE28" s="252"/>
      <c r="ZF28" s="252"/>
      <c r="ZG28" s="252"/>
      <c r="ZH28" s="252"/>
      <c r="ZI28" s="252"/>
      <c r="ZJ28" s="252"/>
      <c r="ZK28" s="252"/>
      <c r="ZL28" s="252"/>
      <c r="ZM28" s="252"/>
      <c r="ZN28" s="252"/>
      <c r="ZO28" s="252"/>
      <c r="ZP28" s="252"/>
      <c r="ZQ28" s="252"/>
      <c r="ZR28" s="252"/>
      <c r="ZS28" s="252"/>
      <c r="ZT28" s="252"/>
      <c r="ZU28" s="252"/>
      <c r="ZV28" s="252"/>
      <c r="ZW28" s="252"/>
      <c r="ZX28" s="252"/>
      <c r="ZY28" s="252"/>
      <c r="ZZ28" s="252"/>
      <c r="AAA28" s="252"/>
      <c r="AAB28" s="252"/>
      <c r="AAC28" s="252"/>
      <c r="AAD28" s="252"/>
      <c r="AAE28" s="252"/>
      <c r="AAF28" s="252"/>
      <c r="AAG28" s="252"/>
      <c r="AAH28" s="252"/>
      <c r="AAI28" s="252"/>
      <c r="AAJ28" s="252"/>
      <c r="AAK28" s="252"/>
      <c r="AAL28" s="252"/>
      <c r="AAM28" s="252"/>
      <c r="AAN28" s="252"/>
      <c r="AAO28" s="252"/>
      <c r="AAP28" s="252"/>
      <c r="AAQ28" s="252"/>
      <c r="AAR28" s="252"/>
      <c r="AAS28" s="252"/>
      <c r="AAT28" s="252"/>
      <c r="AAU28" s="252"/>
      <c r="AAV28" s="252"/>
      <c r="AAW28" s="252"/>
      <c r="AAX28" s="252"/>
      <c r="AAY28" s="252"/>
      <c r="AAZ28" s="252"/>
      <c r="ABA28" s="252"/>
      <c r="ABB28" s="252"/>
      <c r="ABC28" s="252"/>
      <c r="ABD28" s="252"/>
      <c r="ABE28" s="252"/>
      <c r="ABF28" s="252"/>
      <c r="ABG28" s="252"/>
      <c r="ABH28" s="252"/>
      <c r="ABI28" s="252"/>
      <c r="ABJ28" s="252"/>
      <c r="ABK28" s="252"/>
      <c r="ABL28" s="252"/>
      <c r="ABM28" s="252"/>
      <c r="ABN28" s="252"/>
      <c r="ABO28" s="252"/>
      <c r="ABP28" s="252"/>
      <c r="ABQ28" s="252"/>
      <c r="ABR28" s="252"/>
      <c r="ABS28" s="252"/>
      <c r="ABT28" s="252"/>
      <c r="ABU28" s="252"/>
      <c r="ABV28" s="252"/>
      <c r="ABW28" s="252"/>
      <c r="ABX28" s="252"/>
      <c r="ABY28" s="252"/>
      <c r="ABZ28" s="252"/>
      <c r="ACA28" s="252"/>
      <c r="ACB28" s="252"/>
      <c r="ACC28" s="252"/>
      <c r="ACD28" s="252"/>
      <c r="ACE28" s="252"/>
      <c r="ACF28" s="252"/>
      <c r="ACG28" s="252"/>
      <c r="ACH28" s="252"/>
      <c r="ACI28" s="252"/>
      <c r="ACJ28" s="252"/>
      <c r="ACK28" s="252"/>
      <c r="ACL28" s="252"/>
      <c r="ACM28" s="252"/>
      <c r="ACN28" s="252"/>
      <c r="ACO28" s="252"/>
      <c r="ACP28" s="252"/>
      <c r="ACQ28" s="252"/>
      <c r="ACR28" s="252"/>
      <c r="ACS28" s="252"/>
      <c r="ACT28" s="252"/>
      <c r="ACU28" s="252"/>
      <c r="ACV28" s="252"/>
      <c r="ACW28" s="252"/>
      <c r="ACX28" s="252"/>
      <c r="ACY28" s="252"/>
      <c r="ACZ28" s="252"/>
      <c r="ADA28" s="252"/>
      <c r="ADB28" s="252"/>
      <c r="ADC28" s="252"/>
      <c r="ADD28" s="252"/>
      <c r="ADE28" s="252"/>
      <c r="ADF28" s="252"/>
      <c r="ADG28" s="252"/>
      <c r="ADH28" s="252"/>
      <c r="ADI28" s="252"/>
      <c r="ADJ28" s="252"/>
      <c r="ADK28" s="252"/>
      <c r="ADL28" s="252"/>
      <c r="ADM28" s="252"/>
      <c r="ADN28" s="252"/>
      <c r="ADO28" s="252"/>
      <c r="ADP28" s="252"/>
      <c r="ADQ28" s="252"/>
      <c r="ADR28" s="252"/>
      <c r="ADS28" s="252"/>
      <c r="ADT28" s="252"/>
      <c r="ADU28" s="252"/>
      <c r="ADV28" s="252"/>
      <c r="ADW28" s="252"/>
      <c r="ADX28" s="252"/>
      <c r="ADY28" s="252"/>
      <c r="ADZ28" s="252"/>
      <c r="AEA28" s="252"/>
      <c r="AEB28" s="252"/>
      <c r="AEC28" s="252"/>
      <c r="AED28" s="252"/>
      <c r="AEE28" s="252"/>
      <c r="AEF28" s="252"/>
      <c r="AEG28" s="252"/>
      <c r="AEH28" s="252"/>
      <c r="AEI28" s="252"/>
      <c r="AEJ28" s="252"/>
      <c r="AEK28" s="252"/>
      <c r="AEL28" s="252"/>
      <c r="AEM28" s="252"/>
      <c r="AEN28" s="252"/>
      <c r="AEO28" s="252"/>
      <c r="AEP28" s="252"/>
      <c r="AEQ28" s="252"/>
      <c r="AER28" s="252"/>
      <c r="AES28" s="252"/>
      <c r="AET28" s="252"/>
      <c r="AEU28" s="252"/>
      <c r="AEV28" s="252"/>
      <c r="AEW28" s="252"/>
      <c r="AEX28" s="252"/>
      <c r="AEY28" s="252"/>
      <c r="AEZ28" s="252"/>
      <c r="AFA28" s="252"/>
      <c r="AFB28" s="252"/>
      <c r="AFC28" s="252"/>
      <c r="AFD28" s="252"/>
      <c r="AFE28" s="252"/>
      <c r="AFF28" s="252"/>
      <c r="AFG28" s="252"/>
      <c r="AFH28" s="252"/>
      <c r="AFI28" s="252"/>
      <c r="AFJ28" s="252"/>
      <c r="AFK28" s="252"/>
      <c r="AFL28" s="252"/>
      <c r="AFM28" s="252"/>
      <c r="AFN28" s="252"/>
      <c r="AFO28" s="252"/>
      <c r="AFP28" s="252"/>
      <c r="AFQ28" s="252"/>
      <c r="AFR28" s="252"/>
      <c r="AFS28" s="252"/>
      <c r="AFT28" s="252"/>
      <c r="AFU28" s="252"/>
      <c r="AFV28" s="252"/>
      <c r="AFW28" s="252"/>
      <c r="AFX28" s="252"/>
      <c r="AFY28" s="252"/>
      <c r="AFZ28" s="252"/>
      <c r="AGA28" s="252"/>
      <c r="AGB28" s="252"/>
      <c r="AGC28" s="252"/>
      <c r="AGD28" s="252"/>
      <c r="AGE28" s="252"/>
      <c r="AGF28" s="252"/>
      <c r="AGG28" s="252"/>
      <c r="AGH28" s="252"/>
      <c r="AGI28" s="252"/>
      <c r="AGJ28" s="252"/>
      <c r="AGK28" s="252"/>
      <c r="AGL28" s="252"/>
      <c r="AGM28" s="252"/>
      <c r="AGN28" s="252"/>
      <c r="AGO28" s="252"/>
      <c r="AGP28" s="252"/>
      <c r="AGQ28" s="252"/>
      <c r="AGR28" s="252"/>
      <c r="AGS28" s="252"/>
      <c r="AGT28" s="252"/>
      <c r="AGU28" s="252"/>
      <c r="AGV28" s="252"/>
      <c r="AGW28" s="252"/>
      <c r="AGX28" s="252"/>
      <c r="AGY28" s="252"/>
      <c r="AGZ28" s="252"/>
      <c r="AHA28" s="252"/>
      <c r="AHB28" s="252"/>
      <c r="AHC28" s="252"/>
      <c r="AHD28" s="252"/>
      <c r="AHE28" s="252"/>
      <c r="AHF28" s="252"/>
      <c r="AHG28" s="252"/>
      <c r="AHH28" s="252"/>
      <c r="AHI28" s="252"/>
      <c r="AHJ28" s="252"/>
      <c r="AHK28" s="252"/>
      <c r="AHL28" s="252"/>
      <c r="AHM28" s="252"/>
      <c r="AHN28" s="252"/>
      <c r="AHO28" s="252"/>
      <c r="AHP28" s="252"/>
      <c r="AHQ28" s="252"/>
      <c r="AHR28" s="252"/>
      <c r="AHS28" s="252"/>
      <c r="AHT28" s="252"/>
      <c r="AHU28" s="252"/>
      <c r="AHV28" s="252"/>
      <c r="AHW28" s="252"/>
      <c r="AHX28" s="252"/>
      <c r="AHY28" s="252"/>
      <c r="AHZ28" s="252"/>
      <c r="AIA28" s="252"/>
      <c r="AIB28" s="252"/>
      <c r="AIC28" s="252"/>
      <c r="AID28" s="252"/>
      <c r="AIE28" s="252"/>
      <c r="AIF28" s="252"/>
      <c r="AIG28" s="252"/>
      <c r="AIH28" s="252"/>
      <c r="AII28" s="252"/>
      <c r="AIJ28" s="252"/>
      <c r="AIK28" s="252"/>
      <c r="AIL28" s="252"/>
      <c r="AIM28" s="252"/>
      <c r="AIN28" s="252"/>
      <c r="AIO28" s="252"/>
      <c r="AIP28" s="252"/>
      <c r="AIQ28" s="252"/>
      <c r="AIR28" s="252"/>
      <c r="AIS28" s="252"/>
      <c r="AIT28" s="252"/>
      <c r="AIU28" s="252"/>
      <c r="AIV28" s="252"/>
      <c r="AIW28" s="252"/>
      <c r="AIX28" s="252"/>
      <c r="AIY28" s="252"/>
      <c r="AIZ28" s="252"/>
      <c r="AJA28" s="252"/>
      <c r="AJB28" s="252"/>
      <c r="AJC28" s="252"/>
      <c r="AJD28" s="252"/>
      <c r="AJE28" s="252"/>
      <c r="AJF28" s="252"/>
      <c r="AJG28" s="252"/>
      <c r="AJH28" s="252"/>
      <c r="AJI28" s="252"/>
      <c r="AJJ28" s="252"/>
      <c r="AJK28" s="252"/>
      <c r="AJL28" s="252"/>
      <c r="AJM28" s="252"/>
      <c r="AJN28" s="252"/>
      <c r="AJO28" s="252"/>
      <c r="AJP28" s="252"/>
      <c r="AJQ28" s="252"/>
      <c r="AJR28" s="252"/>
      <c r="AJS28" s="252"/>
      <c r="AJT28" s="252"/>
      <c r="AJU28" s="252"/>
      <c r="AJV28" s="252"/>
      <c r="AJW28" s="252"/>
      <c r="AJX28" s="252"/>
      <c r="AJY28" s="252"/>
      <c r="AJZ28" s="252"/>
      <c r="AKA28" s="252"/>
      <c r="AKB28" s="252"/>
      <c r="AKC28" s="252"/>
      <c r="AKD28" s="252"/>
      <c r="AKE28" s="252"/>
      <c r="AKF28" s="252"/>
      <c r="AKG28" s="252"/>
      <c r="AKH28" s="252"/>
      <c r="AKI28" s="252"/>
      <c r="AKJ28" s="252"/>
      <c r="AKK28" s="252"/>
      <c r="AKL28" s="252"/>
      <c r="AKM28" s="252"/>
      <c r="AKN28" s="252"/>
      <c r="AKO28" s="252"/>
      <c r="AKP28" s="252"/>
      <c r="AKQ28" s="252"/>
      <c r="AKR28" s="252"/>
      <c r="AKS28" s="252"/>
      <c r="AKT28" s="252"/>
      <c r="AKU28" s="252"/>
      <c r="AKV28" s="252"/>
      <c r="AKW28" s="252"/>
      <c r="AKX28" s="252"/>
      <c r="AKY28" s="252"/>
      <c r="AKZ28" s="252"/>
      <c r="ALA28" s="252"/>
      <c r="ALB28" s="252"/>
      <c r="ALC28" s="252"/>
      <c r="ALD28" s="252"/>
      <c r="ALE28" s="252"/>
      <c r="ALF28" s="252"/>
      <c r="ALG28" s="252"/>
      <c r="ALH28" s="252"/>
      <c r="ALI28" s="252"/>
      <c r="ALJ28" s="252"/>
      <c r="ALK28" s="252"/>
      <c r="ALL28" s="252"/>
      <c r="ALM28" s="252"/>
      <c r="ALN28" s="252"/>
      <c r="ALO28" s="252"/>
      <c r="ALP28" s="252"/>
      <c r="ALQ28" s="252"/>
      <c r="ALR28" s="252"/>
      <c r="ALS28" s="252"/>
      <c r="ALT28" s="252"/>
      <c r="ALU28" s="252"/>
      <c r="ALV28" s="252"/>
      <c r="ALW28" s="252"/>
      <c r="ALX28" s="252"/>
      <c r="ALY28" s="252"/>
      <c r="ALZ28" s="252"/>
      <c r="AMA28" s="252"/>
      <c r="AMB28" s="252"/>
      <c r="AMC28" s="252"/>
      <c r="AMD28" s="252"/>
      <c r="AME28" s="252"/>
      <c r="AMF28" s="252"/>
      <c r="AMG28" s="252"/>
      <c r="AMH28" s="252"/>
      <c r="AMI28" s="252"/>
      <c r="AMJ28" s="252"/>
      <c r="AMK28" s="252"/>
      <c r="AML28" s="252"/>
      <c r="AMM28" s="252"/>
      <c r="AMN28" s="252"/>
      <c r="AMO28" s="252"/>
      <c r="AMP28" s="252"/>
      <c r="AMQ28" s="252"/>
      <c r="AMR28" s="252"/>
      <c r="AMS28" s="252"/>
      <c r="AMT28" s="252"/>
      <c r="AMU28" s="252"/>
      <c r="AMV28" s="252"/>
      <c r="AMW28" s="252"/>
      <c r="AMX28" s="252"/>
      <c r="AMY28" s="252"/>
      <c r="AMZ28" s="252"/>
      <c r="ANA28" s="252"/>
      <c r="ANB28" s="252"/>
      <c r="ANC28" s="252"/>
      <c r="AND28" s="252"/>
      <c r="ANE28" s="252"/>
      <c r="ANF28" s="252"/>
      <c r="ANG28" s="252"/>
      <c r="ANH28" s="252"/>
      <c r="ANI28" s="252"/>
      <c r="ANJ28" s="252"/>
      <c r="ANK28" s="252"/>
      <c r="ANL28" s="252"/>
      <c r="ANM28" s="252"/>
      <c r="ANN28" s="252"/>
      <c r="ANO28" s="252"/>
      <c r="ANP28" s="252"/>
      <c r="ANQ28" s="252"/>
      <c r="ANR28" s="252"/>
      <c r="ANS28" s="252"/>
      <c r="ANT28" s="252"/>
      <c r="ANU28" s="252"/>
      <c r="ANV28" s="252"/>
      <c r="ANW28" s="252"/>
      <c r="ANX28" s="252"/>
      <c r="ANY28" s="252"/>
      <c r="ANZ28" s="252"/>
      <c r="AOA28" s="252"/>
      <c r="AOB28" s="252"/>
      <c r="AOC28" s="252"/>
      <c r="AOD28" s="252"/>
      <c r="AOE28" s="252"/>
      <c r="AOF28" s="252"/>
      <c r="AOG28" s="252"/>
      <c r="AOH28" s="252"/>
      <c r="AOI28" s="252"/>
      <c r="AOJ28" s="252"/>
      <c r="AOK28" s="252"/>
      <c r="AOL28" s="252"/>
      <c r="AOM28" s="252"/>
      <c r="AON28" s="252"/>
      <c r="AOO28" s="252"/>
      <c r="AOP28" s="252"/>
      <c r="AOQ28" s="252"/>
      <c r="AOR28" s="252"/>
      <c r="AOS28" s="252"/>
      <c r="AOT28" s="252"/>
      <c r="AOU28" s="252"/>
      <c r="AOV28" s="252"/>
      <c r="AOW28" s="252"/>
      <c r="AOX28" s="252"/>
      <c r="AOY28" s="252"/>
      <c r="AOZ28" s="252"/>
      <c r="APA28" s="252"/>
      <c r="APB28" s="252"/>
      <c r="APC28" s="252"/>
      <c r="APD28" s="252"/>
      <c r="APE28" s="252"/>
      <c r="APF28" s="252"/>
      <c r="APG28" s="252"/>
      <c r="APH28" s="252"/>
      <c r="API28" s="252"/>
      <c r="APJ28" s="252"/>
      <c r="APK28" s="252"/>
      <c r="APL28" s="252"/>
      <c r="APM28" s="252"/>
      <c r="APN28" s="252"/>
      <c r="APO28" s="252"/>
      <c r="APP28" s="252"/>
      <c r="APQ28" s="252"/>
      <c r="APR28" s="252"/>
      <c r="APS28" s="252"/>
      <c r="APT28" s="252"/>
      <c r="APU28" s="252"/>
      <c r="APV28" s="252"/>
      <c r="APW28" s="252"/>
      <c r="APX28" s="252"/>
      <c r="APY28" s="252"/>
      <c r="APZ28" s="252"/>
      <c r="AQA28" s="252"/>
      <c r="AQB28" s="252"/>
      <c r="AQC28" s="252"/>
      <c r="AQD28" s="252"/>
      <c r="AQE28" s="252"/>
      <c r="AQF28" s="252"/>
      <c r="AQG28" s="252"/>
      <c r="AQH28" s="252"/>
      <c r="AQI28" s="252"/>
      <c r="AQJ28" s="252"/>
      <c r="AQK28" s="252"/>
      <c r="AQL28" s="252"/>
      <c r="AQM28" s="252"/>
      <c r="AQN28" s="252"/>
      <c r="AQO28" s="252"/>
      <c r="AQP28" s="252"/>
      <c r="AQQ28" s="252"/>
      <c r="AQR28" s="252"/>
      <c r="AQS28" s="252"/>
      <c r="AQT28" s="252"/>
      <c r="AQU28" s="252"/>
      <c r="AQV28" s="252"/>
      <c r="AQW28" s="252"/>
      <c r="AQX28" s="252"/>
      <c r="AQY28" s="252"/>
      <c r="AQZ28" s="252"/>
      <c r="ARA28" s="252"/>
      <c r="ARB28" s="252"/>
      <c r="ARC28" s="252"/>
      <c r="ARD28" s="252"/>
      <c r="ARE28" s="252"/>
      <c r="ARF28" s="252"/>
      <c r="ARG28" s="252"/>
      <c r="ARH28" s="252"/>
      <c r="ARI28" s="252"/>
      <c r="ARJ28" s="252"/>
      <c r="ARK28" s="252"/>
      <c r="ARL28" s="252"/>
      <c r="ARM28" s="252"/>
      <c r="ARN28" s="252"/>
      <c r="ARO28" s="252"/>
      <c r="ARP28" s="252"/>
      <c r="ARQ28" s="252"/>
      <c r="ARR28" s="252"/>
      <c r="ARS28" s="252"/>
      <c r="ART28" s="252"/>
      <c r="ARU28" s="252"/>
      <c r="ARV28" s="252"/>
      <c r="ARW28" s="252"/>
      <c r="ARX28" s="252"/>
      <c r="ARY28" s="252"/>
      <c r="ARZ28" s="252"/>
      <c r="ASA28" s="252"/>
      <c r="ASB28" s="252"/>
      <c r="ASC28" s="252"/>
      <c r="ASD28" s="252"/>
      <c r="ASE28" s="252"/>
      <c r="ASF28" s="252"/>
      <c r="ASG28" s="252"/>
      <c r="ASH28" s="252"/>
      <c r="ASI28" s="252"/>
      <c r="ASJ28" s="252"/>
      <c r="ASK28" s="252"/>
      <c r="ASL28" s="252"/>
      <c r="ASM28" s="252"/>
      <c r="ASN28" s="252"/>
      <c r="ASO28" s="252"/>
      <c r="ASP28" s="252"/>
      <c r="ASQ28" s="252"/>
      <c r="ASR28" s="252"/>
      <c r="ASS28" s="252"/>
      <c r="AST28" s="252"/>
      <c r="ASU28" s="252"/>
      <c r="ASV28" s="252"/>
      <c r="ASW28" s="252"/>
      <c r="ASX28" s="252"/>
      <c r="ASY28" s="252"/>
      <c r="ASZ28" s="252"/>
      <c r="ATA28" s="252"/>
      <c r="ATB28" s="252"/>
      <c r="ATC28" s="252"/>
      <c r="ATD28" s="252"/>
      <c r="ATE28" s="252"/>
      <c r="ATF28" s="252"/>
      <c r="ATG28" s="252"/>
      <c r="ATH28" s="252"/>
      <c r="ATI28" s="252"/>
      <c r="ATJ28" s="252"/>
      <c r="ATK28" s="252"/>
      <c r="ATL28" s="252"/>
      <c r="ATM28" s="252"/>
      <c r="ATN28" s="252"/>
      <c r="ATO28" s="252"/>
      <c r="ATP28" s="252"/>
      <c r="ATQ28" s="252"/>
      <c r="ATR28" s="252"/>
      <c r="ATS28" s="252"/>
      <c r="ATT28" s="252"/>
      <c r="ATU28" s="252"/>
      <c r="ATV28" s="252"/>
      <c r="ATW28" s="252"/>
      <c r="ATX28" s="252"/>
      <c r="ATY28" s="252"/>
      <c r="ATZ28" s="252"/>
      <c r="AUA28" s="252"/>
      <c r="AUB28" s="252"/>
      <c r="AUC28" s="252"/>
      <c r="AUD28" s="252"/>
      <c r="AUE28" s="252"/>
      <c r="AUF28" s="252"/>
      <c r="AUG28" s="252"/>
      <c r="AUH28" s="252"/>
      <c r="AUI28" s="252"/>
      <c r="AUJ28" s="252"/>
      <c r="AUK28" s="252"/>
      <c r="AUL28" s="252"/>
      <c r="AUM28" s="252"/>
      <c r="AUN28" s="252"/>
      <c r="AUO28" s="252"/>
      <c r="AUP28" s="252"/>
      <c r="AUQ28" s="252"/>
      <c r="AUR28" s="252"/>
      <c r="AUS28" s="252"/>
      <c r="AUT28" s="252"/>
      <c r="AUU28" s="252"/>
      <c r="AUV28" s="252"/>
      <c r="AUW28" s="252"/>
      <c r="AUX28" s="252"/>
      <c r="AUY28" s="252"/>
      <c r="AUZ28" s="252"/>
      <c r="AVA28" s="252"/>
      <c r="AVB28" s="252"/>
      <c r="AVC28" s="252"/>
      <c r="AVD28" s="252"/>
      <c r="AVE28" s="252"/>
      <c r="AVF28" s="252"/>
      <c r="AVG28" s="252"/>
      <c r="AVH28" s="252"/>
      <c r="AVI28" s="252"/>
      <c r="AVJ28" s="252"/>
      <c r="AVK28" s="252"/>
      <c r="AVL28" s="252"/>
      <c r="AVM28" s="252"/>
      <c r="AVN28" s="252"/>
      <c r="AVO28" s="252"/>
      <c r="AVP28" s="252"/>
      <c r="AVQ28" s="252"/>
      <c r="AVR28" s="252"/>
      <c r="AVS28" s="252"/>
      <c r="AVT28" s="252"/>
      <c r="AVU28" s="252"/>
      <c r="AVV28" s="252"/>
      <c r="AVW28" s="252"/>
      <c r="AVX28" s="252"/>
      <c r="AVY28" s="252"/>
      <c r="AVZ28" s="252"/>
      <c r="AWA28" s="252"/>
      <c r="AWB28" s="252"/>
      <c r="AWC28" s="252"/>
      <c r="AWD28" s="252"/>
      <c r="AWE28" s="252"/>
      <c r="AWF28" s="252"/>
      <c r="AWG28" s="252"/>
      <c r="AWH28" s="252"/>
      <c r="AWI28" s="252"/>
      <c r="AWJ28" s="252"/>
      <c r="AWK28" s="252"/>
      <c r="AWL28" s="252"/>
      <c r="AWM28" s="252"/>
      <c r="AWN28" s="252"/>
      <c r="AWO28" s="252"/>
      <c r="AWP28" s="252"/>
      <c r="AWQ28" s="252"/>
      <c r="AWR28" s="252"/>
      <c r="AWS28" s="252"/>
      <c r="AWT28" s="252"/>
      <c r="AWU28" s="252"/>
      <c r="AWV28" s="252"/>
      <c r="AWW28" s="252"/>
      <c r="AWX28" s="252"/>
      <c r="AWY28" s="252"/>
      <c r="AWZ28" s="252"/>
      <c r="AXA28" s="252"/>
      <c r="AXB28" s="252"/>
      <c r="AXC28" s="252"/>
      <c r="AXD28" s="252"/>
      <c r="AXE28" s="252"/>
      <c r="AXF28" s="252"/>
      <c r="AXG28" s="252"/>
      <c r="AXH28" s="252"/>
      <c r="AXI28" s="252"/>
      <c r="AXJ28" s="252"/>
      <c r="AXK28" s="252"/>
      <c r="AXL28" s="252"/>
      <c r="AXM28" s="252"/>
      <c r="AXN28" s="252"/>
      <c r="AXO28" s="252"/>
      <c r="AXP28" s="252"/>
      <c r="AXQ28" s="252"/>
      <c r="AXR28" s="252"/>
      <c r="AXS28" s="252"/>
      <c r="AXT28" s="252"/>
      <c r="AXU28" s="252"/>
      <c r="AXV28" s="252"/>
      <c r="AXW28" s="252"/>
      <c r="AXX28" s="252"/>
      <c r="AXY28" s="252"/>
      <c r="AXZ28" s="252"/>
      <c r="AYA28" s="252"/>
      <c r="AYB28" s="252"/>
      <c r="AYC28" s="252"/>
      <c r="AYD28" s="252"/>
      <c r="AYE28" s="252"/>
      <c r="AYF28" s="252"/>
      <c r="AYG28" s="252"/>
      <c r="AYH28" s="252"/>
      <c r="AYI28" s="252"/>
      <c r="AYJ28" s="252"/>
      <c r="AYK28" s="252"/>
      <c r="AYL28" s="252"/>
      <c r="AYM28" s="252"/>
      <c r="AYN28" s="252"/>
      <c r="AYO28" s="252"/>
      <c r="AYP28" s="252"/>
      <c r="AYQ28" s="252"/>
      <c r="AYR28" s="252"/>
      <c r="AYS28" s="252"/>
      <c r="AYT28" s="252"/>
      <c r="AYU28" s="252"/>
      <c r="AYV28" s="252"/>
      <c r="AYW28" s="252"/>
      <c r="AYX28" s="252"/>
      <c r="AYY28" s="252"/>
      <c r="AYZ28" s="252"/>
      <c r="AZA28" s="252"/>
      <c r="AZB28" s="252"/>
      <c r="AZC28" s="252"/>
      <c r="AZD28" s="252"/>
      <c r="AZE28" s="252"/>
      <c r="AZF28" s="252"/>
      <c r="AZG28" s="252"/>
      <c r="AZH28" s="252"/>
      <c r="AZI28" s="252"/>
      <c r="AZJ28" s="252"/>
      <c r="AZK28" s="252"/>
      <c r="AZL28" s="252"/>
      <c r="AZM28" s="252"/>
      <c r="AZN28" s="252"/>
      <c r="AZO28" s="252"/>
      <c r="AZP28" s="252"/>
      <c r="AZQ28" s="252"/>
      <c r="AZR28" s="252"/>
      <c r="AZS28" s="252"/>
      <c r="AZT28" s="252"/>
      <c r="AZU28" s="252"/>
      <c r="AZV28" s="252"/>
      <c r="AZW28" s="252"/>
      <c r="AZX28" s="252"/>
      <c r="AZY28" s="252"/>
      <c r="AZZ28" s="252"/>
      <c r="BAA28" s="252"/>
      <c r="BAB28" s="252"/>
      <c r="BAC28" s="252"/>
      <c r="BAD28" s="252"/>
      <c r="BAE28" s="252"/>
      <c r="BAF28" s="252"/>
      <c r="BAG28" s="252"/>
      <c r="BAH28" s="252"/>
      <c r="BAI28" s="252"/>
      <c r="BAJ28" s="252"/>
      <c r="BAK28" s="252"/>
      <c r="BAL28" s="252"/>
      <c r="BAM28" s="252"/>
      <c r="BAN28" s="252"/>
      <c r="BAO28" s="252"/>
      <c r="BAP28" s="252"/>
      <c r="BAQ28" s="252"/>
      <c r="BAR28" s="252"/>
      <c r="BAS28" s="252"/>
      <c r="BAT28" s="252"/>
      <c r="BAU28" s="252"/>
      <c r="BAV28" s="252"/>
      <c r="BAW28" s="252"/>
      <c r="BAX28" s="252"/>
      <c r="BAY28" s="252"/>
      <c r="BAZ28" s="252"/>
      <c r="BBA28" s="252"/>
      <c r="BBB28" s="252"/>
      <c r="BBC28" s="252"/>
      <c r="BBD28" s="252"/>
      <c r="BBE28" s="252"/>
      <c r="BBF28" s="252"/>
      <c r="BBG28" s="252"/>
      <c r="BBH28" s="252"/>
      <c r="BBI28" s="252"/>
      <c r="BBJ28" s="252"/>
      <c r="BBK28" s="252"/>
      <c r="BBL28" s="252"/>
      <c r="BBM28" s="252"/>
      <c r="BBN28" s="252"/>
      <c r="BBO28" s="252"/>
      <c r="BBP28" s="252"/>
      <c r="BBQ28" s="252"/>
      <c r="BBR28" s="252"/>
      <c r="BBS28" s="252"/>
      <c r="BBT28" s="252"/>
      <c r="BBU28" s="252"/>
      <c r="BBV28" s="252"/>
      <c r="BBW28" s="252"/>
      <c r="BBX28" s="252"/>
      <c r="BBY28" s="252"/>
      <c r="BBZ28" s="252"/>
      <c r="BCA28" s="252"/>
      <c r="BCB28" s="252"/>
      <c r="BCC28" s="252"/>
      <c r="BCD28" s="252"/>
      <c r="BCE28" s="252"/>
      <c r="BCF28" s="252"/>
      <c r="BCG28" s="252"/>
      <c r="BCH28" s="252"/>
      <c r="BCI28" s="252"/>
      <c r="BCJ28" s="252"/>
      <c r="BCK28" s="252"/>
      <c r="BCL28" s="252"/>
      <c r="BCM28" s="252"/>
      <c r="BCN28" s="252"/>
      <c r="BCO28" s="252"/>
      <c r="BCP28" s="252"/>
      <c r="BCQ28" s="252"/>
      <c r="BCR28" s="252"/>
      <c r="BCS28" s="252"/>
      <c r="BCT28" s="252"/>
      <c r="BCU28" s="252"/>
      <c r="BCV28" s="252"/>
      <c r="BCW28" s="252"/>
      <c r="BCX28" s="252"/>
      <c r="BCY28" s="252"/>
      <c r="BCZ28" s="252"/>
      <c r="BDA28" s="252"/>
      <c r="BDB28" s="252"/>
      <c r="BDC28" s="252"/>
      <c r="BDD28" s="252"/>
      <c r="BDE28" s="252"/>
      <c r="BDF28" s="252"/>
      <c r="BDG28" s="252"/>
      <c r="BDH28" s="252"/>
      <c r="BDI28" s="252"/>
      <c r="BDJ28" s="252"/>
      <c r="BDK28" s="252"/>
      <c r="BDL28" s="252"/>
      <c r="BDM28" s="252"/>
      <c r="BDN28" s="252"/>
      <c r="BDO28" s="252"/>
      <c r="BDP28" s="252"/>
      <c r="BDQ28" s="252"/>
      <c r="BDR28" s="252"/>
      <c r="BDS28" s="252"/>
      <c r="BDT28" s="252"/>
      <c r="BDU28" s="252"/>
      <c r="BDV28" s="252"/>
      <c r="BDW28" s="252"/>
      <c r="BDX28" s="252"/>
      <c r="BDY28" s="252"/>
      <c r="BDZ28" s="252"/>
      <c r="BEA28" s="252"/>
      <c r="BEB28" s="252"/>
      <c r="BEC28" s="252"/>
      <c r="BED28" s="252"/>
      <c r="BEE28" s="252"/>
      <c r="BEF28" s="252"/>
      <c r="BEG28" s="252"/>
      <c r="BEH28" s="252"/>
      <c r="BEI28" s="252"/>
      <c r="BEJ28" s="252"/>
      <c r="BEK28" s="252"/>
      <c r="BEL28" s="252"/>
      <c r="BEM28" s="252"/>
      <c r="BEN28" s="252"/>
      <c r="BEO28" s="252"/>
      <c r="BEP28" s="252"/>
      <c r="BEQ28" s="252"/>
      <c r="BER28" s="252"/>
      <c r="BES28" s="252"/>
      <c r="BET28" s="252"/>
      <c r="BEU28" s="252"/>
      <c r="BEV28" s="252"/>
      <c r="BEW28" s="252"/>
      <c r="BEX28" s="252"/>
      <c r="BEY28" s="252"/>
      <c r="BEZ28" s="252"/>
      <c r="BFA28" s="252"/>
      <c r="BFB28" s="252"/>
      <c r="BFC28" s="252"/>
      <c r="BFD28" s="252"/>
      <c r="BFE28" s="252"/>
      <c r="BFF28" s="252"/>
      <c r="BFG28" s="252"/>
      <c r="BFH28" s="252"/>
      <c r="BFI28" s="252"/>
      <c r="BFJ28" s="252"/>
      <c r="BFK28" s="252"/>
      <c r="BFL28" s="252"/>
      <c r="BFM28" s="252"/>
      <c r="BFN28" s="252"/>
      <c r="BFO28" s="252"/>
      <c r="BFP28" s="252"/>
      <c r="BFQ28" s="252"/>
      <c r="BFR28" s="252"/>
      <c r="BFS28" s="252"/>
      <c r="BFT28" s="252"/>
      <c r="BFU28" s="252"/>
      <c r="BFV28" s="252"/>
      <c r="BFW28" s="252"/>
      <c r="BFX28" s="252"/>
      <c r="BFY28" s="252"/>
      <c r="BFZ28" s="252"/>
      <c r="BGA28" s="252"/>
      <c r="BGB28" s="252"/>
      <c r="BGC28" s="252"/>
      <c r="BGD28" s="252"/>
      <c r="BGE28" s="252"/>
      <c r="BGF28" s="252"/>
      <c r="BGG28" s="252"/>
      <c r="BGH28" s="252"/>
      <c r="BGI28" s="252"/>
      <c r="BGJ28" s="252"/>
      <c r="BGK28" s="252"/>
      <c r="BGL28" s="252"/>
      <c r="BGM28" s="252"/>
      <c r="BGN28" s="252"/>
      <c r="BGO28" s="252"/>
      <c r="BGP28" s="252"/>
      <c r="BGQ28" s="252"/>
      <c r="BGR28" s="252"/>
      <c r="BGS28" s="252"/>
      <c r="BGT28" s="252"/>
      <c r="BGU28" s="252"/>
      <c r="BGV28" s="252"/>
      <c r="BGW28" s="252"/>
      <c r="BGX28" s="252"/>
      <c r="BGY28" s="252"/>
      <c r="BGZ28" s="252"/>
      <c r="BHA28" s="252"/>
      <c r="BHB28" s="252"/>
      <c r="BHC28" s="252"/>
      <c r="BHD28" s="252"/>
      <c r="BHE28" s="252"/>
      <c r="BHF28" s="252"/>
      <c r="BHG28" s="252"/>
      <c r="BHH28" s="252"/>
      <c r="BHI28" s="252"/>
      <c r="BHJ28" s="252"/>
      <c r="BHK28" s="252"/>
      <c r="BHL28" s="252"/>
      <c r="BHM28" s="252"/>
      <c r="BHN28" s="252"/>
      <c r="BHO28" s="252"/>
      <c r="BHP28" s="252"/>
      <c r="BHQ28" s="252"/>
      <c r="BHR28" s="252"/>
      <c r="BHS28" s="252"/>
      <c r="BHT28" s="252"/>
      <c r="BHU28" s="252"/>
      <c r="BHV28" s="252"/>
      <c r="BHW28" s="252"/>
      <c r="BHX28" s="252"/>
      <c r="BHY28" s="252"/>
      <c r="BHZ28" s="252"/>
      <c r="BIA28" s="252"/>
      <c r="BIB28" s="252"/>
      <c r="BIC28" s="252"/>
      <c r="BID28" s="252"/>
      <c r="BIE28" s="252"/>
      <c r="BIF28" s="252"/>
      <c r="BIG28" s="252"/>
      <c r="BIH28" s="252"/>
      <c r="BII28" s="252"/>
      <c r="BIJ28" s="252"/>
      <c r="BIK28" s="252"/>
      <c r="BIL28" s="252"/>
      <c r="BIM28" s="252"/>
      <c r="BIN28" s="252"/>
      <c r="BIO28" s="252"/>
      <c r="BIP28" s="252"/>
      <c r="BIQ28" s="252"/>
      <c r="BIR28" s="252"/>
      <c r="BIS28" s="252"/>
      <c r="BIT28" s="252"/>
      <c r="BIU28" s="252"/>
      <c r="BIV28" s="252"/>
      <c r="BIW28" s="252"/>
      <c r="BIX28" s="252"/>
      <c r="BIY28" s="252"/>
      <c r="BIZ28" s="252"/>
      <c r="BJA28" s="252"/>
      <c r="BJB28" s="252"/>
      <c r="BJC28" s="252"/>
      <c r="BJD28" s="252"/>
      <c r="BJE28" s="252"/>
      <c r="BJF28" s="252"/>
      <c r="BJG28" s="252"/>
      <c r="BJH28" s="252"/>
      <c r="BJI28" s="252"/>
      <c r="BJJ28" s="252"/>
      <c r="BJK28" s="252"/>
      <c r="BJL28" s="252"/>
      <c r="BJM28" s="252"/>
      <c r="BJN28" s="252"/>
      <c r="BJO28" s="252"/>
      <c r="BJP28" s="252"/>
      <c r="BJQ28" s="252"/>
      <c r="BJR28" s="252"/>
      <c r="BJS28" s="252"/>
      <c r="BJT28" s="252"/>
      <c r="BJU28" s="252"/>
      <c r="BJV28" s="252"/>
      <c r="BJW28" s="252"/>
      <c r="BJX28" s="252"/>
      <c r="BJY28" s="252"/>
      <c r="BJZ28" s="252"/>
      <c r="BKA28" s="252"/>
      <c r="BKB28" s="252"/>
      <c r="BKC28" s="252"/>
      <c r="BKD28" s="252"/>
      <c r="BKE28" s="252"/>
      <c r="BKF28" s="252"/>
      <c r="BKG28" s="252"/>
      <c r="BKH28" s="252"/>
      <c r="BKI28" s="252"/>
      <c r="BKJ28" s="252"/>
      <c r="BKK28" s="252"/>
      <c r="BKL28" s="252"/>
      <c r="BKM28" s="252"/>
      <c r="BKN28" s="252"/>
      <c r="BKO28" s="252"/>
      <c r="BKP28" s="252"/>
      <c r="BKQ28" s="252"/>
      <c r="BKR28" s="252"/>
      <c r="BKS28" s="252"/>
      <c r="BKT28" s="252"/>
      <c r="BKU28" s="252"/>
      <c r="BKV28" s="252"/>
      <c r="BKW28" s="252"/>
      <c r="BKX28" s="252"/>
      <c r="BKY28" s="252"/>
      <c r="BKZ28" s="252"/>
      <c r="BLA28" s="252"/>
      <c r="BLB28" s="252"/>
      <c r="BLC28" s="252"/>
      <c r="BLD28" s="252"/>
      <c r="BLE28" s="252"/>
      <c r="BLF28" s="252"/>
      <c r="BLG28" s="252"/>
      <c r="BLH28" s="252"/>
      <c r="BLI28" s="252"/>
      <c r="BLJ28" s="252"/>
      <c r="BLK28" s="252"/>
      <c r="BLL28" s="252"/>
      <c r="BLM28" s="252"/>
      <c r="BLN28" s="252"/>
      <c r="BLO28" s="252"/>
      <c r="BLP28" s="252"/>
      <c r="BLQ28" s="252"/>
      <c r="BLR28" s="252"/>
      <c r="BLS28" s="252"/>
      <c r="BLT28" s="252"/>
      <c r="BLU28" s="252"/>
      <c r="BLV28" s="252"/>
      <c r="BLW28" s="252"/>
      <c r="BLX28" s="252"/>
      <c r="BLY28" s="252"/>
      <c r="BLZ28" s="252"/>
      <c r="BMA28" s="252"/>
      <c r="BMB28" s="252"/>
      <c r="BMC28" s="252"/>
      <c r="BMD28" s="252"/>
      <c r="BME28" s="252"/>
      <c r="BMF28" s="252"/>
      <c r="BMG28" s="252"/>
      <c r="BMH28" s="252"/>
      <c r="BMI28" s="252"/>
      <c r="BMJ28" s="252"/>
      <c r="BMK28" s="252"/>
      <c r="BML28" s="252"/>
      <c r="BMM28" s="252"/>
      <c r="BMN28" s="252"/>
      <c r="BMO28" s="252"/>
      <c r="BMP28" s="252"/>
      <c r="BMQ28" s="252"/>
      <c r="BMR28" s="252"/>
      <c r="BMS28" s="252"/>
      <c r="BMT28" s="252"/>
      <c r="BMU28" s="252"/>
      <c r="BMV28" s="252"/>
      <c r="BMW28" s="252"/>
      <c r="BMX28" s="252"/>
      <c r="BMY28" s="252"/>
      <c r="BMZ28" s="252"/>
      <c r="BNA28" s="252"/>
      <c r="BNB28" s="252"/>
      <c r="BNC28" s="252"/>
      <c r="BND28" s="252"/>
      <c r="BNE28" s="252"/>
      <c r="BNF28" s="252"/>
      <c r="BNG28" s="252"/>
      <c r="BNH28" s="252"/>
      <c r="BNI28" s="252"/>
      <c r="BNJ28" s="252"/>
      <c r="BNK28" s="252"/>
      <c r="BNL28" s="252"/>
      <c r="BNM28" s="252"/>
      <c r="BNN28" s="252"/>
      <c r="BNO28" s="252"/>
      <c r="BNP28" s="252"/>
      <c r="BNQ28" s="252"/>
      <c r="BNR28" s="252"/>
      <c r="BNS28" s="252"/>
      <c r="BNT28" s="252"/>
      <c r="BNU28" s="252"/>
      <c r="BNV28" s="252"/>
      <c r="BNW28" s="252"/>
      <c r="BNX28" s="252"/>
      <c r="BNY28" s="252"/>
      <c r="BNZ28" s="252"/>
      <c r="BOA28" s="252"/>
      <c r="BOB28" s="252"/>
      <c r="BOC28" s="252"/>
      <c r="BOD28" s="252"/>
      <c r="BOE28" s="252"/>
      <c r="BOF28" s="252"/>
      <c r="BOG28" s="252"/>
      <c r="BOH28" s="252"/>
      <c r="BOI28" s="252"/>
      <c r="BOJ28" s="252"/>
      <c r="BOK28" s="252"/>
      <c r="BOL28" s="252"/>
      <c r="BOM28" s="252"/>
      <c r="BON28" s="252"/>
      <c r="BOO28" s="252"/>
      <c r="BOP28" s="252"/>
      <c r="BOQ28" s="252"/>
      <c r="BOR28" s="252"/>
      <c r="BOS28" s="252"/>
      <c r="BOT28" s="252"/>
      <c r="BOU28" s="252"/>
      <c r="BOV28" s="252"/>
      <c r="BOW28" s="252"/>
      <c r="BOX28" s="252"/>
      <c r="BOY28" s="252"/>
      <c r="BOZ28" s="252"/>
      <c r="BPA28" s="252"/>
      <c r="BPB28" s="252"/>
      <c r="BPC28" s="252"/>
      <c r="BPD28" s="252"/>
      <c r="BPE28" s="252"/>
      <c r="BPF28" s="252"/>
      <c r="BPG28" s="252"/>
      <c r="BPH28" s="252"/>
      <c r="BPI28" s="252"/>
      <c r="BPJ28" s="252"/>
      <c r="BPK28" s="252"/>
      <c r="BPL28" s="252"/>
      <c r="BPM28" s="252"/>
      <c r="BPN28" s="252"/>
      <c r="BPO28" s="252"/>
      <c r="BPP28" s="252"/>
      <c r="BPQ28" s="252"/>
      <c r="BPR28" s="252"/>
      <c r="BPS28" s="252"/>
      <c r="BPT28" s="252"/>
      <c r="BPU28" s="252"/>
      <c r="BPV28" s="252"/>
      <c r="BPW28" s="252"/>
      <c r="BPX28" s="252"/>
      <c r="BPY28" s="252"/>
      <c r="BPZ28" s="252"/>
      <c r="BQA28" s="252"/>
      <c r="BQB28" s="252"/>
      <c r="BQC28" s="252"/>
      <c r="BQD28" s="252"/>
      <c r="BQE28" s="252"/>
      <c r="BQF28" s="252"/>
      <c r="BQG28" s="252"/>
      <c r="BQH28" s="252"/>
      <c r="BQI28" s="252"/>
      <c r="BQJ28" s="252"/>
      <c r="BQK28" s="252"/>
      <c r="BQL28" s="252"/>
      <c r="BQM28" s="252"/>
      <c r="BQN28" s="252"/>
      <c r="BQO28" s="252"/>
      <c r="BQP28" s="252"/>
      <c r="BQQ28" s="252"/>
      <c r="BQR28" s="252"/>
      <c r="BQS28" s="252"/>
      <c r="BQT28" s="252"/>
      <c r="BQU28" s="252"/>
      <c r="BQV28" s="252"/>
      <c r="BQW28" s="252"/>
      <c r="BQX28" s="252"/>
      <c r="BQY28" s="252"/>
      <c r="BQZ28" s="252"/>
      <c r="BRA28" s="252"/>
      <c r="BRB28" s="252"/>
      <c r="BRC28" s="252"/>
      <c r="BRD28" s="252"/>
      <c r="BRE28" s="252"/>
      <c r="BRF28" s="252"/>
      <c r="BRG28" s="252"/>
      <c r="BRH28" s="252"/>
      <c r="BRI28" s="252"/>
      <c r="BRJ28" s="252"/>
      <c r="BRK28" s="252"/>
      <c r="BRL28" s="252"/>
      <c r="BRM28" s="252"/>
      <c r="BRN28" s="252"/>
      <c r="BRO28" s="252"/>
      <c r="BRP28" s="252"/>
      <c r="BRQ28" s="252"/>
      <c r="BRR28" s="252"/>
      <c r="BRS28" s="252"/>
      <c r="BRT28" s="252"/>
      <c r="BRU28" s="252"/>
      <c r="BRV28" s="252"/>
      <c r="BRW28" s="252"/>
      <c r="BRX28" s="252"/>
      <c r="BRY28" s="252"/>
      <c r="BRZ28" s="252"/>
      <c r="BSA28" s="252"/>
      <c r="BSB28" s="252"/>
      <c r="BSC28" s="252"/>
      <c r="BSD28" s="252"/>
      <c r="BSE28" s="252"/>
      <c r="BSF28" s="252"/>
      <c r="BSG28" s="252"/>
      <c r="BSH28" s="252"/>
      <c r="BSI28" s="252"/>
      <c r="BSJ28" s="252"/>
      <c r="BSK28" s="252"/>
      <c r="BSL28" s="252"/>
      <c r="BSM28" s="252"/>
      <c r="BSN28" s="252"/>
      <c r="BSO28" s="252"/>
      <c r="BSP28" s="252"/>
      <c r="BSQ28" s="252"/>
      <c r="BSR28" s="252"/>
      <c r="BSS28" s="252"/>
      <c r="BST28" s="252"/>
      <c r="BSU28" s="252"/>
      <c r="BSV28" s="252"/>
      <c r="BSW28" s="252"/>
      <c r="BSX28" s="252"/>
      <c r="BSY28" s="252"/>
      <c r="BSZ28" s="252"/>
      <c r="BTA28" s="252"/>
      <c r="BTB28" s="252"/>
      <c r="BTC28" s="252"/>
      <c r="BTD28" s="252"/>
      <c r="BTE28" s="252"/>
      <c r="BTF28" s="252"/>
      <c r="BTG28" s="252"/>
      <c r="BTH28" s="252"/>
      <c r="BTI28" s="252"/>
      <c r="BTJ28" s="252"/>
      <c r="BTK28" s="252"/>
      <c r="BTL28" s="252"/>
      <c r="BTM28" s="252"/>
      <c r="BTN28" s="252"/>
      <c r="BTO28" s="252"/>
      <c r="BTP28" s="252"/>
      <c r="BTQ28" s="252"/>
      <c r="BTR28" s="252"/>
      <c r="BTS28" s="252"/>
      <c r="BTT28" s="252"/>
      <c r="BTU28" s="252"/>
      <c r="BTV28" s="252"/>
      <c r="BTW28" s="252"/>
      <c r="BTX28" s="252"/>
      <c r="BTY28" s="252"/>
      <c r="BTZ28" s="252"/>
      <c r="BUA28" s="252"/>
      <c r="BUB28" s="252"/>
      <c r="BUC28" s="252"/>
      <c r="BUD28" s="252"/>
      <c r="BUE28" s="252"/>
      <c r="BUF28" s="252"/>
      <c r="BUG28" s="252"/>
      <c r="BUH28" s="252"/>
      <c r="BUI28" s="252"/>
      <c r="BUJ28" s="252"/>
      <c r="BUK28" s="252"/>
      <c r="BUL28" s="252"/>
      <c r="BUM28" s="252"/>
      <c r="BUN28" s="252"/>
      <c r="BUO28" s="252"/>
      <c r="BUP28" s="252"/>
      <c r="BUQ28" s="252"/>
      <c r="BUR28" s="252"/>
      <c r="BUS28" s="252"/>
      <c r="BUT28" s="252"/>
      <c r="BUU28" s="252"/>
      <c r="BUV28" s="252"/>
      <c r="BUW28" s="252"/>
      <c r="BUX28" s="252"/>
      <c r="BUY28" s="252"/>
      <c r="BUZ28" s="252"/>
      <c r="BVA28" s="252"/>
      <c r="BVB28" s="252"/>
      <c r="BVC28" s="252"/>
      <c r="BVD28" s="252"/>
      <c r="BVE28" s="252"/>
      <c r="BVF28" s="252"/>
      <c r="BVG28" s="252"/>
      <c r="BVH28" s="252"/>
      <c r="BVI28" s="252"/>
      <c r="BVJ28" s="252"/>
      <c r="BVK28" s="252"/>
      <c r="BVL28" s="252"/>
      <c r="BVM28" s="252"/>
      <c r="BVN28" s="252"/>
      <c r="BVO28" s="252"/>
      <c r="BVP28" s="252"/>
      <c r="BVQ28" s="252"/>
      <c r="BVR28" s="252"/>
      <c r="BVS28" s="252"/>
      <c r="BVT28" s="252"/>
      <c r="BVU28" s="252"/>
      <c r="BVV28" s="252"/>
      <c r="BVW28" s="252"/>
      <c r="BVX28" s="252"/>
      <c r="BVY28" s="252"/>
      <c r="BVZ28" s="252"/>
      <c r="BWA28" s="252"/>
      <c r="BWB28" s="252"/>
      <c r="BWC28" s="252"/>
      <c r="BWD28" s="252"/>
      <c r="BWE28" s="252"/>
      <c r="BWF28" s="252"/>
      <c r="BWG28" s="252"/>
      <c r="BWH28" s="252"/>
      <c r="BWI28" s="252"/>
      <c r="BWJ28" s="252"/>
      <c r="BWK28" s="252"/>
      <c r="BWL28" s="252"/>
      <c r="BWM28" s="252"/>
      <c r="BWN28" s="252"/>
      <c r="BWO28" s="252"/>
      <c r="BWP28" s="252"/>
      <c r="BWQ28" s="252"/>
      <c r="BWR28" s="252"/>
      <c r="BWS28" s="252"/>
      <c r="BWT28" s="252"/>
      <c r="BWU28" s="252"/>
      <c r="BWV28" s="252"/>
      <c r="BWW28" s="252"/>
      <c r="BWX28" s="252"/>
      <c r="BWY28" s="252"/>
      <c r="BWZ28" s="252"/>
      <c r="BXA28" s="252"/>
      <c r="BXB28" s="252"/>
      <c r="BXC28" s="252"/>
      <c r="BXD28" s="252"/>
      <c r="BXE28" s="252"/>
      <c r="BXF28" s="252"/>
      <c r="BXG28" s="252"/>
      <c r="BXH28" s="252"/>
      <c r="BXI28" s="252"/>
      <c r="BXJ28" s="252"/>
      <c r="BXK28" s="252"/>
      <c r="BXL28" s="252"/>
      <c r="BXM28" s="252"/>
      <c r="BXN28" s="252"/>
      <c r="BXO28" s="252"/>
      <c r="BXP28" s="252"/>
      <c r="BXQ28" s="252"/>
      <c r="BXR28" s="252"/>
      <c r="BXS28" s="252"/>
      <c r="BXT28" s="252"/>
      <c r="BXU28" s="252"/>
      <c r="BXV28" s="252"/>
      <c r="BXW28" s="252"/>
      <c r="BXX28" s="252"/>
      <c r="BXY28" s="252"/>
      <c r="BXZ28" s="252"/>
      <c r="BYA28" s="252"/>
      <c r="BYB28" s="252"/>
      <c r="BYC28" s="252"/>
      <c r="BYD28" s="252"/>
      <c r="BYE28" s="252"/>
      <c r="BYF28" s="252"/>
      <c r="BYG28" s="252"/>
      <c r="BYH28" s="252"/>
      <c r="BYI28" s="252"/>
      <c r="BYJ28" s="252"/>
      <c r="BYK28" s="252"/>
      <c r="BYL28" s="252"/>
      <c r="BYM28" s="252"/>
      <c r="BYN28" s="252"/>
      <c r="BYO28" s="252"/>
      <c r="BYP28" s="252"/>
      <c r="BYQ28" s="252"/>
      <c r="BYR28" s="252"/>
      <c r="BYS28" s="252"/>
      <c r="BYT28" s="252"/>
      <c r="BYU28" s="252"/>
      <c r="BYV28" s="252"/>
      <c r="BYW28" s="252"/>
      <c r="BYX28" s="252"/>
      <c r="BYY28" s="252"/>
      <c r="BYZ28" s="252"/>
      <c r="BZA28" s="252"/>
      <c r="BZB28" s="252"/>
      <c r="BZC28" s="252"/>
      <c r="BZD28" s="252"/>
      <c r="BZE28" s="252"/>
      <c r="BZF28" s="252"/>
      <c r="BZG28" s="252"/>
      <c r="BZH28" s="252"/>
      <c r="BZI28" s="252"/>
      <c r="BZJ28" s="252"/>
      <c r="BZK28" s="252"/>
      <c r="BZL28" s="252"/>
      <c r="BZM28" s="252"/>
      <c r="BZN28" s="252"/>
      <c r="BZO28" s="252"/>
      <c r="BZP28" s="252"/>
      <c r="BZQ28" s="252"/>
      <c r="BZR28" s="252"/>
      <c r="BZS28" s="252"/>
      <c r="BZT28" s="252"/>
      <c r="BZU28" s="252"/>
      <c r="BZV28" s="252"/>
      <c r="BZW28" s="252"/>
      <c r="BZX28" s="252"/>
      <c r="BZY28" s="252"/>
      <c r="BZZ28" s="252"/>
      <c r="CAA28" s="252"/>
      <c r="CAB28" s="252"/>
      <c r="CAC28" s="252"/>
      <c r="CAD28" s="252"/>
      <c r="CAE28" s="252"/>
      <c r="CAF28" s="252"/>
      <c r="CAG28" s="252"/>
      <c r="CAH28" s="252"/>
      <c r="CAI28" s="252"/>
      <c r="CAJ28" s="252"/>
      <c r="CAK28" s="252"/>
      <c r="CAL28" s="252"/>
      <c r="CAM28" s="252"/>
      <c r="CAN28" s="252"/>
      <c r="CAO28" s="252"/>
      <c r="CAP28" s="252"/>
      <c r="CAQ28" s="252"/>
      <c r="CAR28" s="252"/>
      <c r="CAS28" s="252"/>
      <c r="CAT28" s="252"/>
      <c r="CAU28" s="252"/>
      <c r="CAV28" s="252"/>
      <c r="CAW28" s="252"/>
      <c r="CAX28" s="252"/>
      <c r="CAY28" s="252"/>
      <c r="CAZ28" s="252"/>
      <c r="CBA28" s="252"/>
      <c r="CBB28" s="252"/>
      <c r="CBC28" s="252"/>
      <c r="CBD28" s="252"/>
      <c r="CBE28" s="252"/>
      <c r="CBF28" s="252"/>
      <c r="CBG28" s="252"/>
      <c r="CBH28" s="252"/>
      <c r="CBI28" s="252"/>
      <c r="CBJ28" s="252"/>
      <c r="CBK28" s="252"/>
      <c r="CBL28" s="252"/>
      <c r="CBM28" s="252"/>
      <c r="CBN28" s="252"/>
      <c r="CBO28" s="252"/>
      <c r="CBP28" s="252"/>
      <c r="CBQ28" s="252"/>
      <c r="CBR28" s="252"/>
      <c r="CBS28" s="252"/>
      <c r="CBT28" s="252"/>
      <c r="CBU28" s="252"/>
      <c r="CBV28" s="252"/>
      <c r="CBW28" s="252"/>
      <c r="CBX28" s="252"/>
      <c r="CBY28" s="252"/>
      <c r="CBZ28" s="252"/>
      <c r="CCA28" s="252"/>
      <c r="CCB28" s="252"/>
      <c r="CCC28" s="252"/>
      <c r="CCD28" s="252"/>
      <c r="CCE28" s="252"/>
      <c r="CCF28" s="252"/>
      <c r="CCG28" s="252"/>
      <c r="CCH28" s="252"/>
      <c r="CCI28" s="252"/>
      <c r="CCJ28" s="252"/>
      <c r="CCK28" s="252"/>
      <c r="CCL28" s="252"/>
      <c r="CCM28" s="252"/>
      <c r="CCN28" s="252"/>
      <c r="CCO28" s="252"/>
      <c r="CCP28" s="252"/>
      <c r="CCQ28" s="252"/>
      <c r="CCR28" s="252"/>
      <c r="CCS28" s="252"/>
      <c r="CCT28" s="252"/>
      <c r="CCU28" s="252"/>
      <c r="CCV28" s="252"/>
      <c r="CCW28" s="252"/>
      <c r="CCX28" s="252"/>
      <c r="CCY28" s="252"/>
      <c r="CCZ28" s="252"/>
      <c r="CDA28" s="252"/>
      <c r="CDB28" s="252"/>
      <c r="CDC28" s="252"/>
      <c r="CDD28" s="252"/>
      <c r="CDE28" s="252"/>
      <c r="CDF28" s="252"/>
      <c r="CDG28" s="252"/>
      <c r="CDH28" s="252"/>
      <c r="CDI28" s="252"/>
      <c r="CDJ28" s="252"/>
      <c r="CDK28" s="252"/>
      <c r="CDL28" s="252"/>
      <c r="CDM28" s="252"/>
      <c r="CDN28" s="252"/>
      <c r="CDO28" s="252"/>
      <c r="CDP28" s="252"/>
      <c r="CDQ28" s="252"/>
      <c r="CDR28" s="252"/>
      <c r="CDS28" s="252"/>
      <c r="CDT28" s="252"/>
      <c r="CDU28" s="252"/>
      <c r="CDV28" s="252"/>
      <c r="CDW28" s="252"/>
      <c r="CDX28" s="252"/>
      <c r="CDY28" s="252"/>
      <c r="CDZ28" s="252"/>
      <c r="CEA28" s="252"/>
      <c r="CEB28" s="252"/>
      <c r="CEC28" s="252"/>
      <c r="CED28" s="252"/>
      <c r="CEE28" s="252"/>
      <c r="CEF28" s="252"/>
      <c r="CEG28" s="252"/>
      <c r="CEH28" s="252"/>
      <c r="CEI28" s="252"/>
      <c r="CEJ28" s="252"/>
      <c r="CEK28" s="252"/>
      <c r="CEL28" s="252"/>
      <c r="CEM28" s="252"/>
      <c r="CEN28" s="252"/>
      <c r="CEO28" s="252"/>
      <c r="CEP28" s="252"/>
      <c r="CEQ28" s="252"/>
      <c r="CER28" s="252"/>
      <c r="CES28" s="252"/>
      <c r="CET28" s="252"/>
      <c r="CEU28" s="252"/>
      <c r="CEV28" s="252"/>
      <c r="CEW28" s="252"/>
      <c r="CEX28" s="252"/>
      <c r="CEY28" s="252"/>
      <c r="CEZ28" s="252"/>
      <c r="CFA28" s="252"/>
      <c r="CFB28" s="252"/>
      <c r="CFC28" s="252"/>
      <c r="CFD28" s="252"/>
      <c r="CFE28" s="252"/>
      <c r="CFF28" s="252"/>
      <c r="CFG28" s="252"/>
      <c r="CFH28" s="252"/>
      <c r="CFI28" s="252"/>
      <c r="CFJ28" s="252"/>
      <c r="CFK28" s="252"/>
      <c r="CFL28" s="252"/>
      <c r="CFM28" s="252"/>
      <c r="CFN28" s="252"/>
      <c r="CFO28" s="252"/>
      <c r="CFP28" s="252"/>
      <c r="CFQ28" s="252"/>
      <c r="CFR28" s="252"/>
      <c r="CFS28" s="252"/>
      <c r="CFT28" s="252"/>
      <c r="CFU28" s="252"/>
      <c r="CFV28" s="252"/>
      <c r="CFW28" s="252"/>
      <c r="CFX28" s="252"/>
      <c r="CFY28" s="252"/>
      <c r="CFZ28" s="252"/>
      <c r="CGA28" s="252"/>
      <c r="CGB28" s="252"/>
      <c r="CGC28" s="252"/>
      <c r="CGD28" s="252"/>
      <c r="CGE28" s="252"/>
      <c r="CGF28" s="252"/>
      <c r="CGG28" s="252"/>
      <c r="CGH28" s="252"/>
      <c r="CGI28" s="252"/>
      <c r="CGJ28" s="252"/>
      <c r="CGK28" s="252"/>
      <c r="CGL28" s="252"/>
      <c r="CGM28" s="252"/>
      <c r="CGN28" s="252"/>
      <c r="CGO28" s="252"/>
      <c r="CGP28" s="252"/>
      <c r="CGQ28" s="252"/>
      <c r="CGR28" s="252"/>
      <c r="CGS28" s="252"/>
      <c r="CGT28" s="252"/>
      <c r="CGU28" s="252"/>
      <c r="CGV28" s="252"/>
      <c r="CGW28" s="252"/>
      <c r="CGX28" s="252"/>
      <c r="CGY28" s="252"/>
      <c r="CGZ28" s="252"/>
      <c r="CHA28" s="252"/>
      <c r="CHB28" s="252"/>
      <c r="CHC28" s="252"/>
      <c r="CHD28" s="252"/>
      <c r="CHE28" s="252"/>
      <c r="CHF28" s="252"/>
      <c r="CHG28" s="252"/>
      <c r="CHH28" s="252"/>
      <c r="CHI28" s="252"/>
      <c r="CHJ28" s="252"/>
      <c r="CHK28" s="252"/>
      <c r="CHL28" s="252"/>
      <c r="CHM28" s="252"/>
      <c r="CHN28" s="252"/>
      <c r="CHO28" s="252"/>
      <c r="CHP28" s="252"/>
      <c r="CHQ28" s="252"/>
      <c r="CHR28" s="252"/>
      <c r="CHS28" s="252"/>
      <c r="CHT28" s="252"/>
      <c r="CHU28" s="252"/>
      <c r="CHV28" s="252"/>
      <c r="CHW28" s="252"/>
      <c r="CHX28" s="252"/>
      <c r="CHY28" s="252"/>
      <c r="CHZ28" s="252"/>
      <c r="CIA28" s="252"/>
      <c r="CIB28" s="252"/>
      <c r="CIC28" s="252"/>
      <c r="CID28" s="252"/>
      <c r="CIE28" s="252"/>
      <c r="CIF28" s="252"/>
      <c r="CIG28" s="252"/>
      <c r="CIH28" s="252"/>
      <c r="CII28" s="252"/>
      <c r="CIJ28" s="252"/>
      <c r="CIK28" s="252"/>
      <c r="CIL28" s="252"/>
      <c r="CIM28" s="252"/>
      <c r="CIN28" s="252"/>
      <c r="CIO28" s="252"/>
      <c r="CIP28" s="252"/>
      <c r="CIQ28" s="252"/>
      <c r="CIR28" s="252"/>
      <c r="CIS28" s="252"/>
      <c r="CIT28" s="252"/>
      <c r="CIU28" s="252"/>
      <c r="CIV28" s="252"/>
      <c r="CIW28" s="252"/>
      <c r="CIX28" s="252"/>
      <c r="CIY28" s="252"/>
      <c r="CIZ28" s="252"/>
      <c r="CJA28" s="252"/>
      <c r="CJB28" s="252"/>
      <c r="CJC28" s="252"/>
      <c r="CJD28" s="252"/>
      <c r="CJE28" s="252"/>
      <c r="CJF28" s="252"/>
      <c r="CJG28" s="252"/>
      <c r="CJH28" s="252"/>
      <c r="CJI28" s="252"/>
      <c r="CJJ28" s="252"/>
      <c r="CJK28" s="252"/>
      <c r="CJL28" s="252"/>
      <c r="CJM28" s="252"/>
      <c r="CJN28" s="252"/>
      <c r="CJO28" s="252"/>
      <c r="CJP28" s="252"/>
      <c r="CJQ28" s="252"/>
      <c r="CJR28" s="252"/>
      <c r="CJS28" s="252"/>
      <c r="CJT28" s="252"/>
      <c r="CJU28" s="252"/>
      <c r="CJV28" s="252"/>
      <c r="CJW28" s="252"/>
      <c r="CJX28" s="252"/>
      <c r="CJY28" s="252"/>
      <c r="CJZ28" s="252"/>
      <c r="CKA28" s="252"/>
      <c r="CKB28" s="252"/>
      <c r="CKC28" s="252"/>
      <c r="CKD28" s="252"/>
      <c r="CKE28" s="252"/>
      <c r="CKF28" s="252"/>
      <c r="CKG28" s="252"/>
      <c r="CKH28" s="252"/>
      <c r="CKI28" s="252"/>
      <c r="CKJ28" s="252"/>
      <c r="CKK28" s="252"/>
      <c r="CKL28" s="252"/>
      <c r="CKM28" s="252"/>
      <c r="CKN28" s="252"/>
      <c r="CKO28" s="252"/>
      <c r="CKP28" s="252"/>
      <c r="CKQ28" s="252"/>
      <c r="CKR28" s="252"/>
      <c r="CKS28" s="252"/>
      <c r="CKT28" s="252"/>
      <c r="CKU28" s="252"/>
      <c r="CKV28" s="252"/>
      <c r="CKW28" s="252"/>
      <c r="CKX28" s="252"/>
      <c r="CKY28" s="252"/>
      <c r="CKZ28" s="252"/>
      <c r="CLA28" s="252"/>
      <c r="CLB28" s="252"/>
      <c r="CLC28" s="252"/>
      <c r="CLD28" s="252"/>
      <c r="CLE28" s="252"/>
      <c r="CLF28" s="252"/>
      <c r="CLG28" s="252"/>
      <c r="CLH28" s="252"/>
      <c r="CLI28" s="252"/>
      <c r="CLJ28" s="252"/>
      <c r="CLK28" s="252"/>
      <c r="CLL28" s="252"/>
      <c r="CLM28" s="252"/>
      <c r="CLN28" s="252"/>
      <c r="CLO28" s="252"/>
      <c r="CLP28" s="252"/>
      <c r="CLQ28" s="252"/>
      <c r="CLR28" s="252"/>
      <c r="CLS28" s="252"/>
      <c r="CLT28" s="252"/>
      <c r="CLU28" s="252"/>
      <c r="CLV28" s="252"/>
      <c r="CLW28" s="252"/>
      <c r="CLX28" s="252"/>
      <c r="CLY28" s="252"/>
      <c r="CLZ28" s="252"/>
      <c r="CMA28" s="252"/>
      <c r="CMB28" s="252"/>
      <c r="CMC28" s="252"/>
      <c r="CMD28" s="252"/>
      <c r="CME28" s="252"/>
      <c r="CMF28" s="252"/>
      <c r="CMG28" s="252"/>
      <c r="CMH28" s="252"/>
      <c r="CMI28" s="252"/>
      <c r="CMJ28" s="252"/>
      <c r="CMK28" s="252"/>
      <c r="CML28" s="252"/>
      <c r="CMM28" s="252"/>
      <c r="CMN28" s="252"/>
      <c r="CMO28" s="252"/>
      <c r="CMP28" s="252"/>
      <c r="CMQ28" s="252"/>
      <c r="CMR28" s="252"/>
      <c r="CMS28" s="252"/>
      <c r="CMT28" s="252"/>
      <c r="CMU28" s="252"/>
      <c r="CMV28" s="252"/>
      <c r="CMW28" s="252"/>
      <c r="CMX28" s="252"/>
      <c r="CMY28" s="252"/>
      <c r="CMZ28" s="252"/>
      <c r="CNA28" s="252"/>
      <c r="CNB28" s="252"/>
      <c r="CNC28" s="252"/>
      <c r="CND28" s="252"/>
      <c r="CNE28" s="252"/>
      <c r="CNF28" s="252"/>
      <c r="CNG28" s="252"/>
      <c r="CNH28" s="252"/>
      <c r="CNI28" s="252"/>
      <c r="CNJ28" s="252"/>
      <c r="CNK28" s="252"/>
      <c r="CNL28" s="252"/>
      <c r="CNM28" s="252"/>
      <c r="CNN28" s="252"/>
      <c r="CNO28" s="252"/>
      <c r="CNP28" s="252"/>
      <c r="CNQ28" s="252"/>
      <c r="CNR28" s="252"/>
      <c r="CNS28" s="252"/>
      <c r="CNT28" s="252"/>
      <c r="CNU28" s="252"/>
      <c r="CNV28" s="252"/>
      <c r="CNW28" s="252"/>
      <c r="CNX28" s="252"/>
      <c r="CNY28" s="252"/>
      <c r="CNZ28" s="252"/>
      <c r="COA28" s="252"/>
      <c r="COB28" s="252"/>
      <c r="COC28" s="252"/>
      <c r="COD28" s="252"/>
      <c r="COE28" s="252"/>
      <c r="COF28" s="252"/>
      <c r="COG28" s="252"/>
      <c r="COH28" s="252"/>
      <c r="COI28" s="252"/>
      <c r="COJ28" s="252"/>
      <c r="COK28" s="252"/>
      <c r="COL28" s="252"/>
      <c r="COM28" s="252"/>
      <c r="CON28" s="252"/>
      <c r="COO28" s="252"/>
      <c r="COP28" s="252"/>
      <c r="COQ28" s="252"/>
      <c r="COR28" s="252"/>
      <c r="COS28" s="252"/>
      <c r="COT28" s="252"/>
      <c r="COU28" s="252"/>
      <c r="COV28" s="252"/>
      <c r="COW28" s="252"/>
      <c r="COX28" s="252"/>
      <c r="COY28" s="252"/>
      <c r="COZ28" s="252"/>
      <c r="CPA28" s="252"/>
      <c r="CPB28" s="252"/>
      <c r="CPC28" s="252"/>
      <c r="CPD28" s="252"/>
      <c r="CPE28" s="252"/>
      <c r="CPF28" s="252"/>
      <c r="CPG28" s="252"/>
      <c r="CPH28" s="252"/>
      <c r="CPI28" s="252"/>
      <c r="CPJ28" s="252"/>
      <c r="CPK28" s="252"/>
      <c r="CPL28" s="252"/>
      <c r="CPM28" s="252"/>
      <c r="CPN28" s="252"/>
      <c r="CPO28" s="252"/>
      <c r="CPP28" s="252"/>
      <c r="CPQ28" s="252"/>
      <c r="CPR28" s="252"/>
      <c r="CPS28" s="252"/>
      <c r="CPT28" s="252"/>
      <c r="CPU28" s="252"/>
      <c r="CPV28" s="252"/>
      <c r="CPW28" s="252"/>
      <c r="CPX28" s="252"/>
      <c r="CPY28" s="252"/>
      <c r="CPZ28" s="252"/>
      <c r="CQA28" s="252"/>
      <c r="CQB28" s="252"/>
      <c r="CQC28" s="252"/>
      <c r="CQD28" s="252"/>
      <c r="CQE28" s="252"/>
      <c r="CQF28" s="252"/>
      <c r="CQG28" s="252"/>
      <c r="CQH28" s="252"/>
      <c r="CQI28" s="252"/>
      <c r="CQJ28" s="252"/>
      <c r="CQK28" s="252"/>
      <c r="CQL28" s="252"/>
      <c r="CQM28" s="252"/>
      <c r="CQN28" s="252"/>
      <c r="CQO28" s="252"/>
      <c r="CQP28" s="252"/>
      <c r="CQQ28" s="252"/>
      <c r="CQR28" s="252"/>
      <c r="CQS28" s="252"/>
      <c r="CQT28" s="252"/>
      <c r="CQU28" s="252"/>
      <c r="CQV28" s="252"/>
      <c r="CQW28" s="252"/>
      <c r="CQX28" s="252"/>
      <c r="CQY28" s="252"/>
      <c r="CQZ28" s="252"/>
      <c r="CRA28" s="252"/>
      <c r="CRB28" s="252"/>
      <c r="CRC28" s="252"/>
      <c r="CRD28" s="252"/>
      <c r="CRE28" s="252"/>
      <c r="CRF28" s="252"/>
      <c r="CRG28" s="252"/>
      <c r="CRH28" s="252"/>
      <c r="CRI28" s="252"/>
      <c r="CRJ28" s="252"/>
      <c r="CRK28" s="252"/>
      <c r="CRL28" s="252"/>
      <c r="CRM28" s="252"/>
      <c r="CRN28" s="252"/>
      <c r="CRO28" s="252"/>
      <c r="CRP28" s="252"/>
      <c r="CRQ28" s="252"/>
      <c r="CRR28" s="252"/>
      <c r="CRS28" s="252"/>
      <c r="CRT28" s="252"/>
      <c r="CRU28" s="252"/>
      <c r="CRV28" s="252"/>
      <c r="CRW28" s="252"/>
      <c r="CRX28" s="252"/>
      <c r="CRY28" s="252"/>
      <c r="CRZ28" s="252"/>
      <c r="CSA28" s="252"/>
      <c r="CSB28" s="252"/>
      <c r="CSC28" s="252"/>
      <c r="CSD28" s="252"/>
      <c r="CSE28" s="252"/>
      <c r="CSF28" s="252"/>
      <c r="CSG28" s="252"/>
      <c r="CSH28" s="252"/>
      <c r="CSI28" s="252"/>
      <c r="CSJ28" s="252"/>
      <c r="CSK28" s="252"/>
      <c r="CSL28" s="252"/>
      <c r="CSM28" s="252"/>
      <c r="CSN28" s="252"/>
      <c r="CSO28" s="252"/>
      <c r="CSP28" s="252"/>
      <c r="CSQ28" s="252"/>
      <c r="CSR28" s="252"/>
      <c r="CSS28" s="252"/>
      <c r="CST28" s="252"/>
      <c r="CSU28" s="252"/>
      <c r="CSV28" s="252"/>
      <c r="CSW28" s="252"/>
      <c r="CSX28" s="252"/>
      <c r="CSY28" s="252"/>
      <c r="CSZ28" s="252"/>
      <c r="CTA28" s="252"/>
      <c r="CTB28" s="252"/>
      <c r="CTC28" s="252"/>
      <c r="CTD28" s="252"/>
      <c r="CTE28" s="252"/>
      <c r="CTF28" s="252"/>
      <c r="CTG28" s="252"/>
      <c r="CTH28" s="252"/>
      <c r="CTI28" s="252"/>
      <c r="CTJ28" s="252"/>
      <c r="CTK28" s="252"/>
      <c r="CTL28" s="252"/>
      <c r="CTM28" s="252"/>
      <c r="CTN28" s="252"/>
      <c r="CTO28" s="252"/>
      <c r="CTP28" s="252"/>
      <c r="CTQ28" s="252"/>
      <c r="CTR28" s="252"/>
      <c r="CTS28" s="252"/>
      <c r="CTT28" s="252"/>
      <c r="CTU28" s="252"/>
      <c r="CTV28" s="252"/>
      <c r="CTW28" s="252"/>
      <c r="CTX28" s="252"/>
      <c r="CTY28" s="252"/>
      <c r="CTZ28" s="252"/>
      <c r="CUA28" s="252"/>
      <c r="CUB28" s="252"/>
      <c r="CUC28" s="252"/>
      <c r="CUD28" s="252"/>
      <c r="CUE28" s="252"/>
      <c r="CUF28" s="252"/>
      <c r="CUG28" s="252"/>
      <c r="CUH28" s="252"/>
      <c r="CUI28" s="252"/>
      <c r="CUJ28" s="252"/>
      <c r="CUK28" s="252"/>
      <c r="CUL28" s="252"/>
      <c r="CUM28" s="252"/>
      <c r="CUN28" s="252"/>
      <c r="CUO28" s="252"/>
      <c r="CUP28" s="252"/>
      <c r="CUQ28" s="252"/>
      <c r="CUR28" s="252"/>
      <c r="CUS28" s="252"/>
      <c r="CUT28" s="252"/>
      <c r="CUU28" s="252"/>
      <c r="CUV28" s="252"/>
      <c r="CUW28" s="252"/>
      <c r="CUX28" s="252"/>
      <c r="CUY28" s="252"/>
      <c r="CUZ28" s="252"/>
      <c r="CVA28" s="252"/>
      <c r="CVB28" s="252"/>
      <c r="CVC28" s="252"/>
      <c r="CVD28" s="252"/>
      <c r="CVE28" s="252"/>
      <c r="CVF28" s="252"/>
      <c r="CVG28" s="252"/>
      <c r="CVH28" s="252"/>
      <c r="CVI28" s="252"/>
      <c r="CVJ28" s="252"/>
      <c r="CVK28" s="252"/>
      <c r="CVL28" s="252"/>
      <c r="CVM28" s="252"/>
      <c r="CVN28" s="252"/>
      <c r="CVO28" s="252"/>
      <c r="CVP28" s="252"/>
      <c r="CVQ28" s="252"/>
      <c r="CVR28" s="252"/>
      <c r="CVS28" s="252"/>
      <c r="CVT28" s="252"/>
      <c r="CVU28" s="252"/>
      <c r="CVV28" s="252"/>
      <c r="CVW28" s="252"/>
      <c r="CVX28" s="252"/>
      <c r="CVY28" s="252"/>
      <c r="CVZ28" s="252"/>
      <c r="CWA28" s="252"/>
      <c r="CWB28" s="252"/>
      <c r="CWC28" s="252"/>
      <c r="CWD28" s="252"/>
      <c r="CWE28" s="252"/>
      <c r="CWF28" s="252"/>
      <c r="CWG28" s="252"/>
      <c r="CWH28" s="252"/>
      <c r="CWI28" s="252"/>
      <c r="CWJ28" s="252"/>
      <c r="CWK28" s="252"/>
      <c r="CWL28" s="252"/>
      <c r="CWM28" s="252"/>
      <c r="CWN28" s="252"/>
      <c r="CWO28" s="252"/>
      <c r="CWP28" s="252"/>
      <c r="CWQ28" s="252"/>
      <c r="CWR28" s="252"/>
      <c r="CWS28" s="252"/>
      <c r="CWT28" s="252"/>
      <c r="CWU28" s="252"/>
      <c r="CWV28" s="252"/>
      <c r="CWW28" s="252"/>
      <c r="CWX28" s="252"/>
      <c r="CWY28" s="252"/>
      <c r="CWZ28" s="252"/>
      <c r="CXA28" s="252"/>
      <c r="CXB28" s="252"/>
      <c r="CXC28" s="252"/>
      <c r="CXD28" s="252"/>
      <c r="CXE28" s="252"/>
      <c r="CXF28" s="252"/>
      <c r="CXG28" s="252"/>
      <c r="CXH28" s="252"/>
      <c r="CXI28" s="252"/>
      <c r="CXJ28" s="252"/>
      <c r="CXK28" s="252"/>
      <c r="CXL28" s="252"/>
      <c r="CXM28" s="252"/>
      <c r="CXN28" s="252"/>
      <c r="CXO28" s="252"/>
      <c r="CXP28" s="252"/>
      <c r="CXQ28" s="252"/>
      <c r="CXR28" s="252"/>
      <c r="CXS28" s="252"/>
      <c r="CXT28" s="252"/>
      <c r="CXU28" s="252"/>
      <c r="CXV28" s="252"/>
      <c r="CXW28" s="252"/>
      <c r="CXX28" s="252"/>
      <c r="CXY28" s="252"/>
      <c r="CXZ28" s="252"/>
      <c r="CYA28" s="252"/>
      <c r="CYB28" s="252"/>
      <c r="CYC28" s="252"/>
      <c r="CYD28" s="252"/>
      <c r="CYE28" s="252"/>
      <c r="CYF28" s="252"/>
      <c r="CYG28" s="252"/>
      <c r="CYH28" s="252"/>
      <c r="CYI28" s="252"/>
      <c r="CYJ28" s="252"/>
      <c r="CYK28" s="252"/>
      <c r="CYL28" s="252"/>
      <c r="CYM28" s="252"/>
      <c r="CYN28" s="252"/>
      <c r="CYO28" s="252"/>
      <c r="CYP28" s="252"/>
      <c r="CYQ28" s="252"/>
      <c r="CYR28" s="252"/>
      <c r="CYS28" s="252"/>
      <c r="CYT28" s="252"/>
      <c r="CYU28" s="252"/>
      <c r="CYV28" s="252"/>
      <c r="CYW28" s="252"/>
      <c r="CYX28" s="252"/>
      <c r="CYY28" s="252"/>
      <c r="CYZ28" s="252"/>
      <c r="CZA28" s="252"/>
      <c r="CZB28" s="252"/>
      <c r="CZC28" s="252"/>
      <c r="CZD28" s="252"/>
      <c r="CZE28" s="252"/>
      <c r="CZF28" s="252"/>
      <c r="CZG28" s="252"/>
      <c r="CZH28" s="252"/>
      <c r="CZI28" s="252"/>
      <c r="CZJ28" s="252"/>
      <c r="CZK28" s="252"/>
      <c r="CZL28" s="252"/>
      <c r="CZM28" s="252"/>
      <c r="CZN28" s="252"/>
      <c r="CZO28" s="252"/>
      <c r="CZP28" s="252"/>
      <c r="CZQ28" s="252"/>
      <c r="CZR28" s="252"/>
      <c r="CZS28" s="252"/>
      <c r="CZT28" s="252"/>
      <c r="CZU28" s="252"/>
      <c r="CZV28" s="252"/>
      <c r="CZW28" s="252"/>
      <c r="CZX28" s="252"/>
      <c r="CZY28" s="252"/>
      <c r="CZZ28" s="252"/>
      <c r="DAA28" s="252"/>
      <c r="DAB28" s="252"/>
      <c r="DAC28" s="252"/>
      <c r="DAD28" s="252"/>
      <c r="DAE28" s="252"/>
      <c r="DAF28" s="252"/>
      <c r="DAG28" s="252"/>
      <c r="DAH28" s="252"/>
      <c r="DAI28" s="252"/>
      <c r="DAJ28" s="252"/>
      <c r="DAK28" s="252"/>
      <c r="DAL28" s="252"/>
      <c r="DAM28" s="252"/>
      <c r="DAN28" s="252"/>
      <c r="DAO28" s="252"/>
      <c r="DAP28" s="252"/>
      <c r="DAQ28" s="252"/>
      <c r="DAR28" s="252"/>
      <c r="DAS28" s="252"/>
      <c r="DAT28" s="252"/>
      <c r="DAU28" s="252"/>
      <c r="DAV28" s="252"/>
      <c r="DAW28" s="252"/>
      <c r="DAX28" s="252"/>
      <c r="DAY28" s="252"/>
      <c r="DAZ28" s="252"/>
      <c r="DBA28" s="252"/>
      <c r="DBB28" s="252"/>
      <c r="DBC28" s="252"/>
      <c r="DBD28" s="252"/>
      <c r="DBE28" s="252"/>
      <c r="DBF28" s="252"/>
      <c r="DBG28" s="252"/>
      <c r="DBH28" s="252"/>
      <c r="DBI28" s="252"/>
      <c r="DBJ28" s="252"/>
      <c r="DBK28" s="252"/>
      <c r="DBL28" s="252"/>
      <c r="DBM28" s="252"/>
      <c r="DBN28" s="252"/>
      <c r="DBO28" s="252"/>
      <c r="DBP28" s="252"/>
      <c r="DBQ28" s="252"/>
      <c r="DBR28" s="252"/>
      <c r="DBS28" s="252"/>
      <c r="DBT28" s="252"/>
      <c r="DBU28" s="252"/>
      <c r="DBV28" s="252"/>
      <c r="DBW28" s="252"/>
      <c r="DBX28" s="252"/>
      <c r="DBY28" s="252"/>
      <c r="DBZ28" s="252"/>
      <c r="DCA28" s="252"/>
      <c r="DCB28" s="252"/>
      <c r="DCC28" s="252"/>
      <c r="DCD28" s="252"/>
      <c r="DCE28" s="252"/>
      <c r="DCF28" s="252"/>
      <c r="DCG28" s="252"/>
      <c r="DCH28" s="252"/>
      <c r="DCI28" s="252"/>
      <c r="DCJ28" s="252"/>
      <c r="DCK28" s="252"/>
      <c r="DCL28" s="252"/>
      <c r="DCM28" s="252"/>
      <c r="DCN28" s="252"/>
      <c r="DCO28" s="252"/>
      <c r="DCP28" s="252"/>
      <c r="DCQ28" s="252"/>
      <c r="DCR28" s="252"/>
      <c r="DCS28" s="252"/>
      <c r="DCT28" s="252"/>
      <c r="DCU28" s="252"/>
      <c r="DCV28" s="252"/>
      <c r="DCW28" s="252"/>
      <c r="DCX28" s="252"/>
      <c r="DCY28" s="252"/>
      <c r="DCZ28" s="252"/>
      <c r="DDA28" s="252"/>
      <c r="DDB28" s="252"/>
      <c r="DDC28" s="252"/>
      <c r="DDD28" s="252"/>
      <c r="DDE28" s="252"/>
      <c r="DDF28" s="252"/>
      <c r="DDG28" s="252"/>
      <c r="DDH28" s="252"/>
      <c r="DDI28" s="252"/>
      <c r="DDJ28" s="252"/>
      <c r="DDK28" s="252"/>
      <c r="DDL28" s="252"/>
      <c r="DDM28" s="252"/>
      <c r="DDN28" s="252"/>
      <c r="DDO28" s="252"/>
      <c r="DDP28" s="252"/>
      <c r="DDQ28" s="252"/>
      <c r="DDR28" s="252"/>
      <c r="DDS28" s="252"/>
      <c r="DDT28" s="252"/>
      <c r="DDU28" s="252"/>
      <c r="DDV28" s="252"/>
      <c r="DDW28" s="252"/>
      <c r="DDX28" s="252"/>
      <c r="DDY28" s="252"/>
      <c r="DDZ28" s="252"/>
      <c r="DEA28" s="252"/>
      <c r="DEB28" s="252"/>
      <c r="DEC28" s="252"/>
      <c r="DED28" s="252"/>
      <c r="DEE28" s="252"/>
      <c r="DEF28" s="252"/>
      <c r="DEG28" s="252"/>
      <c r="DEH28" s="252"/>
      <c r="DEI28" s="252"/>
      <c r="DEJ28" s="252"/>
      <c r="DEK28" s="252"/>
      <c r="DEL28" s="252"/>
      <c r="DEM28" s="252"/>
      <c r="DEN28" s="252"/>
      <c r="DEO28" s="252"/>
      <c r="DEP28" s="252"/>
      <c r="DEQ28" s="252"/>
      <c r="DER28" s="252"/>
      <c r="DES28" s="252"/>
      <c r="DET28" s="252"/>
      <c r="DEU28" s="252"/>
      <c r="DEV28" s="252"/>
      <c r="DEW28" s="252"/>
      <c r="DEX28" s="252"/>
      <c r="DEY28" s="252"/>
      <c r="DEZ28" s="252"/>
      <c r="DFA28" s="252"/>
      <c r="DFB28" s="252"/>
      <c r="DFC28" s="252"/>
      <c r="DFD28" s="252"/>
      <c r="DFE28" s="252"/>
      <c r="DFF28" s="252"/>
      <c r="DFG28" s="252"/>
      <c r="DFH28" s="252"/>
      <c r="DFI28" s="252"/>
      <c r="DFJ28" s="252"/>
      <c r="DFK28" s="252"/>
      <c r="DFL28" s="252"/>
      <c r="DFM28" s="252"/>
      <c r="DFN28" s="252"/>
      <c r="DFO28" s="252"/>
      <c r="DFP28" s="252"/>
      <c r="DFQ28" s="252"/>
      <c r="DFR28" s="252"/>
      <c r="DFS28" s="252"/>
      <c r="DFT28" s="252"/>
      <c r="DFU28" s="252"/>
      <c r="DFV28" s="252"/>
      <c r="DFW28" s="252"/>
      <c r="DFX28" s="252"/>
      <c r="DFY28" s="252"/>
      <c r="DFZ28" s="252"/>
      <c r="DGA28" s="252"/>
      <c r="DGB28" s="252"/>
      <c r="DGC28" s="252"/>
      <c r="DGD28" s="252"/>
      <c r="DGE28" s="252"/>
      <c r="DGF28" s="252"/>
      <c r="DGG28" s="252"/>
      <c r="DGH28" s="252"/>
      <c r="DGI28" s="252"/>
      <c r="DGJ28" s="252"/>
      <c r="DGK28" s="252"/>
      <c r="DGL28" s="252"/>
      <c r="DGM28" s="252"/>
      <c r="DGN28" s="252"/>
      <c r="DGO28" s="252"/>
      <c r="DGP28" s="252"/>
      <c r="DGQ28" s="252"/>
      <c r="DGR28" s="252"/>
      <c r="DGS28" s="252"/>
      <c r="DGT28" s="252"/>
      <c r="DGU28" s="252"/>
      <c r="DGV28" s="252"/>
      <c r="DGW28" s="252"/>
      <c r="DGX28" s="252"/>
      <c r="DGY28" s="252"/>
      <c r="DGZ28" s="252"/>
      <c r="DHA28" s="252"/>
      <c r="DHB28" s="252"/>
      <c r="DHC28" s="252"/>
      <c r="DHD28" s="252"/>
      <c r="DHE28" s="252"/>
      <c r="DHF28" s="252"/>
      <c r="DHG28" s="252"/>
      <c r="DHH28" s="252"/>
      <c r="DHI28" s="252"/>
      <c r="DHJ28" s="252"/>
      <c r="DHK28" s="252"/>
      <c r="DHL28" s="252"/>
      <c r="DHM28" s="252"/>
      <c r="DHN28" s="252"/>
      <c r="DHO28" s="252"/>
      <c r="DHP28" s="252"/>
      <c r="DHQ28" s="252"/>
      <c r="DHR28" s="252"/>
      <c r="DHS28" s="252"/>
      <c r="DHT28" s="252"/>
      <c r="DHU28" s="252"/>
      <c r="DHV28" s="252"/>
      <c r="DHW28" s="252"/>
      <c r="DHX28" s="252"/>
      <c r="DHY28" s="252"/>
      <c r="DHZ28" s="252"/>
      <c r="DIA28" s="252"/>
      <c r="DIB28" s="252"/>
      <c r="DIC28" s="252"/>
      <c r="DID28" s="252"/>
      <c r="DIE28" s="252"/>
      <c r="DIF28" s="252"/>
      <c r="DIG28" s="252"/>
      <c r="DIH28" s="252"/>
      <c r="DII28" s="252"/>
      <c r="DIJ28" s="252"/>
      <c r="DIK28" s="252"/>
      <c r="DIL28" s="252"/>
      <c r="DIM28" s="252"/>
      <c r="DIN28" s="252"/>
      <c r="DIO28" s="252"/>
      <c r="DIP28" s="252"/>
      <c r="DIQ28" s="252"/>
      <c r="DIR28" s="252"/>
      <c r="DIS28" s="252"/>
      <c r="DIT28" s="252"/>
      <c r="DIU28" s="252"/>
      <c r="DIV28" s="252"/>
      <c r="DIW28" s="252"/>
      <c r="DIX28" s="252"/>
      <c r="DIY28" s="252"/>
      <c r="DIZ28" s="252"/>
      <c r="DJA28" s="252"/>
      <c r="DJB28" s="252"/>
      <c r="DJC28" s="252"/>
      <c r="DJD28" s="252"/>
      <c r="DJE28" s="252"/>
      <c r="DJF28" s="252"/>
      <c r="DJG28" s="252"/>
      <c r="DJH28" s="252"/>
      <c r="DJI28" s="252"/>
      <c r="DJJ28" s="252"/>
      <c r="DJK28" s="252"/>
      <c r="DJL28" s="252"/>
      <c r="DJM28" s="252"/>
      <c r="DJN28" s="252"/>
      <c r="DJO28" s="252"/>
      <c r="DJP28" s="252"/>
      <c r="DJQ28" s="252"/>
      <c r="DJR28" s="252"/>
      <c r="DJS28" s="252"/>
      <c r="DJT28" s="252"/>
      <c r="DJU28" s="252"/>
      <c r="DJV28" s="252"/>
      <c r="DJW28" s="252"/>
      <c r="DJX28" s="252"/>
      <c r="DJY28" s="252"/>
      <c r="DJZ28" s="252"/>
      <c r="DKA28" s="252"/>
      <c r="DKB28" s="252"/>
      <c r="DKC28" s="252"/>
      <c r="DKD28" s="252"/>
      <c r="DKE28" s="252"/>
      <c r="DKF28" s="252"/>
      <c r="DKG28" s="252"/>
      <c r="DKH28" s="252"/>
      <c r="DKI28" s="252"/>
      <c r="DKJ28" s="252"/>
      <c r="DKK28" s="252"/>
      <c r="DKL28" s="252"/>
      <c r="DKM28" s="252"/>
      <c r="DKN28" s="252"/>
      <c r="DKO28" s="252"/>
      <c r="DKP28" s="252"/>
      <c r="DKQ28" s="252"/>
      <c r="DKR28" s="252"/>
      <c r="DKS28" s="252"/>
      <c r="DKT28" s="252"/>
      <c r="DKU28" s="252"/>
      <c r="DKV28" s="252"/>
      <c r="DKW28" s="252"/>
      <c r="DKX28" s="252"/>
      <c r="DKY28" s="252"/>
      <c r="DKZ28" s="252"/>
      <c r="DLA28" s="252"/>
      <c r="DLB28" s="252"/>
      <c r="DLC28" s="252"/>
      <c r="DLD28" s="252"/>
      <c r="DLE28" s="252"/>
      <c r="DLF28" s="252"/>
      <c r="DLG28" s="252"/>
      <c r="DLH28" s="252"/>
      <c r="DLI28" s="252"/>
      <c r="DLJ28" s="252"/>
      <c r="DLK28" s="252"/>
      <c r="DLL28" s="252"/>
      <c r="DLM28" s="252"/>
      <c r="DLN28" s="252"/>
      <c r="DLO28" s="252"/>
      <c r="DLP28" s="252"/>
      <c r="DLQ28" s="252"/>
      <c r="DLR28" s="252"/>
      <c r="DLS28" s="252"/>
      <c r="DLT28" s="252"/>
      <c r="DLU28" s="252"/>
      <c r="DLV28" s="252"/>
      <c r="DLW28" s="252"/>
      <c r="DLX28" s="252"/>
      <c r="DLY28" s="252"/>
      <c r="DLZ28" s="252"/>
      <c r="DMA28" s="252"/>
      <c r="DMB28" s="252"/>
      <c r="DMC28" s="252"/>
      <c r="DMD28" s="252"/>
      <c r="DME28" s="252"/>
      <c r="DMF28" s="252"/>
      <c r="DMG28" s="252"/>
      <c r="DMH28" s="252"/>
      <c r="DMI28" s="252"/>
      <c r="DMJ28" s="252"/>
      <c r="DMK28" s="252"/>
      <c r="DML28" s="252"/>
      <c r="DMM28" s="252"/>
      <c r="DMN28" s="252"/>
      <c r="DMO28" s="252"/>
      <c r="DMP28" s="252"/>
      <c r="DMQ28" s="252"/>
      <c r="DMR28" s="252"/>
      <c r="DMS28" s="252"/>
      <c r="DMT28" s="252"/>
      <c r="DMU28" s="252"/>
      <c r="DMV28" s="252"/>
      <c r="DMW28" s="252"/>
      <c r="DMX28" s="252"/>
      <c r="DMY28" s="252"/>
      <c r="DMZ28" s="252"/>
      <c r="DNA28" s="252"/>
      <c r="DNB28" s="252"/>
      <c r="DNC28" s="252"/>
      <c r="DND28" s="252"/>
      <c r="DNE28" s="252"/>
      <c r="DNF28" s="252"/>
      <c r="DNG28" s="252"/>
      <c r="DNH28" s="252"/>
      <c r="DNI28" s="252"/>
      <c r="DNJ28" s="252"/>
      <c r="DNK28" s="252"/>
      <c r="DNL28" s="252"/>
      <c r="DNM28" s="252"/>
      <c r="DNN28" s="252"/>
      <c r="DNO28" s="252"/>
      <c r="DNP28" s="252"/>
      <c r="DNQ28" s="252"/>
      <c r="DNR28" s="252"/>
      <c r="DNS28" s="252"/>
      <c r="DNT28" s="252"/>
      <c r="DNU28" s="252"/>
      <c r="DNV28" s="252"/>
      <c r="DNW28" s="252"/>
      <c r="DNX28" s="252"/>
      <c r="DNY28" s="252"/>
      <c r="DNZ28" s="252"/>
      <c r="DOA28" s="252"/>
      <c r="DOB28" s="252"/>
      <c r="DOC28" s="252"/>
      <c r="DOD28" s="252"/>
      <c r="DOE28" s="252"/>
      <c r="DOF28" s="252"/>
      <c r="DOG28" s="252"/>
      <c r="DOH28" s="252"/>
      <c r="DOI28" s="252"/>
      <c r="DOJ28" s="252"/>
      <c r="DOK28" s="252"/>
      <c r="DOL28" s="252"/>
      <c r="DOM28" s="252"/>
      <c r="DON28" s="252"/>
      <c r="DOO28" s="252"/>
      <c r="DOP28" s="252"/>
      <c r="DOQ28" s="252"/>
      <c r="DOR28" s="252"/>
      <c r="DOS28" s="252"/>
      <c r="DOT28" s="252"/>
      <c r="DOU28" s="252"/>
      <c r="DOV28" s="252"/>
      <c r="DOW28" s="252"/>
      <c r="DOX28" s="252"/>
      <c r="DOY28" s="252"/>
      <c r="DOZ28" s="252"/>
      <c r="DPA28" s="252"/>
      <c r="DPB28" s="252"/>
      <c r="DPC28" s="252"/>
      <c r="DPD28" s="252"/>
      <c r="DPE28" s="252"/>
      <c r="DPF28" s="252"/>
      <c r="DPG28" s="252"/>
      <c r="DPH28" s="252"/>
      <c r="DPI28" s="252"/>
      <c r="DPJ28" s="252"/>
      <c r="DPK28" s="252"/>
      <c r="DPL28" s="252"/>
      <c r="DPM28" s="252"/>
      <c r="DPN28" s="252"/>
      <c r="DPO28" s="252"/>
      <c r="DPP28" s="252"/>
      <c r="DPQ28" s="252"/>
      <c r="DPR28" s="252"/>
      <c r="DPS28" s="252"/>
      <c r="DPT28" s="252"/>
      <c r="DPU28" s="252"/>
      <c r="DPV28" s="252"/>
      <c r="DPW28" s="252"/>
      <c r="DPX28" s="252"/>
      <c r="DPY28" s="252"/>
      <c r="DPZ28" s="252"/>
      <c r="DQA28" s="252"/>
      <c r="DQB28" s="252"/>
      <c r="DQC28" s="252"/>
      <c r="DQD28" s="252"/>
      <c r="DQE28" s="252"/>
      <c r="DQF28" s="252"/>
      <c r="DQG28" s="252"/>
      <c r="DQH28" s="252"/>
      <c r="DQI28" s="252"/>
      <c r="DQJ28" s="252"/>
      <c r="DQK28" s="252"/>
      <c r="DQL28" s="252"/>
      <c r="DQM28" s="252"/>
      <c r="DQN28" s="252"/>
      <c r="DQO28" s="252"/>
      <c r="DQP28" s="252"/>
      <c r="DQQ28" s="252"/>
      <c r="DQR28" s="252"/>
      <c r="DQS28" s="252"/>
      <c r="DQT28" s="252"/>
      <c r="DQU28" s="252"/>
      <c r="DQV28" s="252"/>
      <c r="DQW28" s="252"/>
      <c r="DQX28" s="252"/>
      <c r="DQY28" s="252"/>
      <c r="DQZ28" s="252"/>
      <c r="DRA28" s="252"/>
      <c r="DRB28" s="252"/>
      <c r="DRC28" s="252"/>
      <c r="DRD28" s="252"/>
      <c r="DRE28" s="252"/>
      <c r="DRF28" s="252"/>
      <c r="DRG28" s="252"/>
      <c r="DRH28" s="252"/>
      <c r="DRI28" s="252"/>
      <c r="DRJ28" s="252"/>
      <c r="DRK28" s="252"/>
      <c r="DRL28" s="252"/>
      <c r="DRM28" s="252"/>
      <c r="DRN28" s="252"/>
      <c r="DRO28" s="252"/>
      <c r="DRP28" s="252"/>
      <c r="DRQ28" s="252"/>
      <c r="DRR28" s="252"/>
      <c r="DRS28" s="252"/>
      <c r="DRT28" s="252"/>
      <c r="DRU28" s="252"/>
      <c r="DRV28" s="252"/>
      <c r="DRW28" s="252"/>
      <c r="DRX28" s="252"/>
      <c r="DRY28" s="252"/>
      <c r="DRZ28" s="252"/>
      <c r="DSA28" s="252"/>
      <c r="DSB28" s="252"/>
      <c r="DSC28" s="252"/>
      <c r="DSD28" s="252"/>
      <c r="DSE28" s="252"/>
      <c r="DSF28" s="252"/>
      <c r="DSG28" s="252"/>
      <c r="DSH28" s="252"/>
      <c r="DSI28" s="252"/>
      <c r="DSJ28" s="252"/>
      <c r="DSK28" s="252"/>
      <c r="DSL28" s="252"/>
      <c r="DSM28" s="252"/>
      <c r="DSN28" s="252"/>
      <c r="DSO28" s="252"/>
      <c r="DSP28" s="252"/>
      <c r="DSQ28" s="252"/>
      <c r="DSR28" s="252"/>
      <c r="DSS28" s="252"/>
      <c r="DST28" s="252"/>
      <c r="DSU28" s="252"/>
      <c r="DSV28" s="252"/>
      <c r="DSW28" s="252"/>
      <c r="DSX28" s="252"/>
      <c r="DSY28" s="252"/>
      <c r="DSZ28" s="252"/>
      <c r="DTA28" s="252"/>
      <c r="DTB28" s="252"/>
      <c r="DTC28" s="252"/>
      <c r="DTD28" s="252"/>
      <c r="DTE28" s="252"/>
      <c r="DTF28" s="252"/>
      <c r="DTG28" s="252"/>
      <c r="DTH28" s="252"/>
      <c r="DTI28" s="252"/>
      <c r="DTJ28" s="252"/>
      <c r="DTK28" s="252"/>
      <c r="DTL28" s="252"/>
      <c r="DTM28" s="252"/>
      <c r="DTN28" s="252"/>
      <c r="DTO28" s="252"/>
      <c r="DTP28" s="252"/>
      <c r="DTQ28" s="252"/>
      <c r="DTR28" s="252"/>
      <c r="DTS28" s="252"/>
      <c r="DTT28" s="252"/>
      <c r="DTU28" s="252"/>
      <c r="DTV28" s="252"/>
      <c r="DTW28" s="252"/>
      <c r="DTX28" s="252"/>
      <c r="DTY28" s="252"/>
      <c r="DTZ28" s="252"/>
      <c r="DUA28" s="252"/>
      <c r="DUB28" s="252"/>
      <c r="DUC28" s="252"/>
      <c r="DUD28" s="252"/>
      <c r="DUE28" s="252"/>
      <c r="DUF28" s="252"/>
      <c r="DUG28" s="252"/>
      <c r="DUH28" s="252"/>
      <c r="DUI28" s="252"/>
      <c r="DUJ28" s="252"/>
      <c r="DUK28" s="252"/>
      <c r="DUL28" s="252"/>
      <c r="DUM28" s="252"/>
      <c r="DUN28" s="252"/>
      <c r="DUO28" s="252"/>
      <c r="DUP28" s="252"/>
      <c r="DUQ28" s="252"/>
      <c r="DUR28" s="252"/>
      <c r="DUS28" s="252"/>
      <c r="DUT28" s="252"/>
      <c r="DUU28" s="252"/>
      <c r="DUV28" s="252"/>
      <c r="DUW28" s="252"/>
      <c r="DUX28" s="252"/>
      <c r="DUY28" s="252"/>
      <c r="DUZ28" s="252"/>
      <c r="DVA28" s="252"/>
      <c r="DVB28" s="252"/>
      <c r="DVC28" s="252"/>
      <c r="DVD28" s="252"/>
      <c r="DVE28" s="252"/>
      <c r="DVF28" s="252"/>
      <c r="DVG28" s="252"/>
      <c r="DVH28" s="252"/>
      <c r="DVI28" s="252"/>
      <c r="DVJ28" s="252"/>
      <c r="DVK28" s="252"/>
      <c r="DVL28" s="252"/>
      <c r="DVM28" s="252"/>
      <c r="DVN28" s="252"/>
      <c r="DVO28" s="252"/>
      <c r="DVP28" s="252"/>
      <c r="DVQ28" s="252"/>
      <c r="DVR28" s="252"/>
      <c r="DVS28" s="252"/>
      <c r="DVT28" s="252"/>
      <c r="DVU28" s="252"/>
      <c r="DVV28" s="252"/>
      <c r="DVW28" s="252"/>
      <c r="DVX28" s="252"/>
      <c r="DVY28" s="252"/>
      <c r="DVZ28" s="252"/>
      <c r="DWA28" s="252"/>
      <c r="DWB28" s="252"/>
      <c r="DWC28" s="252"/>
      <c r="DWD28" s="252"/>
      <c r="DWE28" s="252"/>
      <c r="DWF28" s="252"/>
      <c r="DWG28" s="252"/>
      <c r="DWH28" s="252"/>
      <c r="DWI28" s="252"/>
      <c r="DWJ28" s="252"/>
      <c r="DWK28" s="252"/>
      <c r="DWL28" s="252"/>
      <c r="DWM28" s="252"/>
      <c r="DWN28" s="252"/>
      <c r="DWO28" s="252"/>
      <c r="DWP28" s="252"/>
      <c r="DWQ28" s="252"/>
      <c r="DWR28" s="252"/>
      <c r="DWS28" s="252"/>
      <c r="DWT28" s="252"/>
      <c r="DWU28" s="252"/>
      <c r="DWV28" s="252"/>
      <c r="DWW28" s="252"/>
      <c r="DWX28" s="252"/>
      <c r="DWY28" s="252"/>
      <c r="DWZ28" s="252"/>
      <c r="DXA28" s="252"/>
      <c r="DXB28" s="252"/>
      <c r="DXC28" s="252"/>
      <c r="DXD28" s="252"/>
      <c r="DXE28" s="252"/>
      <c r="DXF28" s="252"/>
      <c r="DXG28" s="252"/>
      <c r="DXH28" s="252"/>
      <c r="DXI28" s="252"/>
      <c r="DXJ28" s="252"/>
      <c r="DXK28" s="252"/>
      <c r="DXL28" s="252"/>
      <c r="DXM28" s="252"/>
      <c r="DXN28" s="252"/>
      <c r="DXO28" s="252"/>
      <c r="DXP28" s="252"/>
      <c r="DXQ28" s="252"/>
      <c r="DXR28" s="252"/>
      <c r="DXS28" s="252"/>
      <c r="DXT28" s="252"/>
      <c r="DXU28" s="252"/>
      <c r="DXV28" s="252"/>
      <c r="DXW28" s="252"/>
      <c r="DXX28" s="252"/>
      <c r="DXY28" s="252"/>
      <c r="DXZ28" s="252"/>
      <c r="DYA28" s="252"/>
      <c r="DYB28" s="252"/>
      <c r="DYC28" s="252"/>
      <c r="DYD28" s="252"/>
      <c r="DYE28" s="252"/>
      <c r="DYF28" s="252"/>
      <c r="DYG28" s="252"/>
      <c r="DYH28" s="252"/>
      <c r="DYI28" s="252"/>
      <c r="DYJ28" s="252"/>
      <c r="DYK28" s="252"/>
      <c r="DYL28" s="252"/>
      <c r="DYM28" s="252"/>
      <c r="DYN28" s="252"/>
      <c r="DYO28" s="252"/>
      <c r="DYP28" s="252"/>
      <c r="DYQ28" s="252"/>
      <c r="DYR28" s="252"/>
      <c r="DYS28" s="252"/>
      <c r="DYT28" s="252"/>
      <c r="DYU28" s="252"/>
      <c r="DYV28" s="252"/>
      <c r="DYW28" s="252"/>
      <c r="DYX28" s="252"/>
      <c r="DYY28" s="252"/>
      <c r="DYZ28" s="252"/>
      <c r="DZA28" s="252"/>
      <c r="DZB28" s="252"/>
      <c r="DZC28" s="252"/>
      <c r="DZD28" s="252"/>
      <c r="DZE28" s="252"/>
      <c r="DZF28" s="252"/>
      <c r="DZG28" s="252"/>
      <c r="DZH28" s="252"/>
      <c r="DZI28" s="252"/>
      <c r="DZJ28" s="252"/>
      <c r="DZK28" s="252"/>
      <c r="DZL28" s="252"/>
      <c r="DZM28" s="252"/>
      <c r="DZN28" s="252"/>
      <c r="DZO28" s="252"/>
      <c r="DZP28" s="252"/>
      <c r="DZQ28" s="252"/>
      <c r="DZR28" s="252"/>
      <c r="DZS28" s="252"/>
      <c r="DZT28" s="252"/>
      <c r="DZU28" s="252"/>
      <c r="DZV28" s="252"/>
      <c r="DZW28" s="252"/>
      <c r="DZX28" s="252"/>
      <c r="DZY28" s="252"/>
      <c r="DZZ28" s="252"/>
      <c r="EAA28" s="252"/>
      <c r="EAB28" s="252"/>
      <c r="EAC28" s="252"/>
      <c r="EAD28" s="252"/>
      <c r="EAE28" s="252"/>
      <c r="EAF28" s="252"/>
      <c r="EAG28" s="252"/>
      <c r="EAH28" s="252"/>
      <c r="EAI28" s="252"/>
      <c r="EAJ28" s="252"/>
      <c r="EAK28" s="252"/>
      <c r="EAL28" s="252"/>
      <c r="EAM28" s="252"/>
      <c r="EAN28" s="252"/>
      <c r="EAO28" s="252"/>
      <c r="EAP28" s="252"/>
      <c r="EAQ28" s="252"/>
      <c r="EAR28" s="252"/>
      <c r="EAS28" s="252"/>
      <c r="EAT28" s="252"/>
      <c r="EAU28" s="252"/>
      <c r="EAV28" s="252"/>
      <c r="EAW28" s="252"/>
      <c r="EAX28" s="252"/>
      <c r="EAY28" s="252"/>
      <c r="EAZ28" s="252"/>
      <c r="EBA28" s="252"/>
      <c r="EBB28" s="252"/>
      <c r="EBC28" s="252"/>
      <c r="EBD28" s="252"/>
      <c r="EBE28" s="252"/>
      <c r="EBF28" s="252"/>
      <c r="EBG28" s="252"/>
      <c r="EBH28" s="252"/>
      <c r="EBI28" s="252"/>
      <c r="EBJ28" s="252"/>
      <c r="EBK28" s="252"/>
      <c r="EBL28" s="252"/>
      <c r="EBM28" s="252"/>
      <c r="EBN28" s="252"/>
      <c r="EBO28" s="252"/>
      <c r="EBP28" s="252"/>
      <c r="EBQ28" s="252"/>
      <c r="EBR28" s="252"/>
      <c r="EBS28" s="252"/>
      <c r="EBT28" s="252"/>
      <c r="EBU28" s="252"/>
      <c r="EBV28" s="252"/>
      <c r="EBW28" s="252"/>
      <c r="EBX28" s="252"/>
      <c r="EBY28" s="252"/>
      <c r="EBZ28" s="252"/>
      <c r="ECA28" s="252"/>
      <c r="ECB28" s="252"/>
      <c r="ECC28" s="252"/>
      <c r="ECD28" s="252"/>
      <c r="ECE28" s="252"/>
      <c r="ECF28" s="252"/>
      <c r="ECG28" s="252"/>
      <c r="ECH28" s="252"/>
      <c r="ECI28" s="252"/>
      <c r="ECJ28" s="252"/>
      <c r="ECK28" s="252"/>
      <c r="ECL28" s="252"/>
      <c r="ECM28" s="252"/>
      <c r="ECN28" s="252"/>
      <c r="ECO28" s="252"/>
      <c r="ECP28" s="252"/>
      <c r="ECQ28" s="252"/>
      <c r="ECR28" s="252"/>
      <c r="ECS28" s="252"/>
      <c r="ECT28" s="252"/>
      <c r="ECU28" s="252"/>
      <c r="ECV28" s="252"/>
      <c r="ECW28" s="252"/>
      <c r="ECX28" s="252"/>
      <c r="ECY28" s="252"/>
      <c r="ECZ28" s="252"/>
      <c r="EDA28" s="252"/>
      <c r="EDB28" s="252"/>
      <c r="EDC28" s="252"/>
      <c r="EDD28" s="252"/>
      <c r="EDE28" s="252"/>
      <c r="EDF28" s="252"/>
      <c r="EDG28" s="252"/>
      <c r="EDH28" s="252"/>
      <c r="EDI28" s="252"/>
      <c r="EDJ28" s="252"/>
      <c r="EDK28" s="252"/>
      <c r="EDL28" s="252"/>
      <c r="EDM28" s="252"/>
      <c r="EDN28" s="252"/>
      <c r="EDO28" s="252"/>
      <c r="EDP28" s="252"/>
      <c r="EDQ28" s="252"/>
      <c r="EDR28" s="252"/>
      <c r="EDS28" s="252"/>
      <c r="EDT28" s="252"/>
      <c r="EDU28" s="252"/>
      <c r="EDV28" s="252"/>
      <c r="EDW28" s="252"/>
      <c r="EDX28" s="252"/>
      <c r="EDY28" s="252"/>
      <c r="EDZ28" s="252"/>
      <c r="EEA28" s="252"/>
      <c r="EEB28" s="252"/>
      <c r="EEC28" s="252"/>
      <c r="EED28" s="252"/>
      <c r="EEE28" s="252"/>
      <c r="EEF28" s="252"/>
      <c r="EEG28" s="252"/>
      <c r="EEH28" s="252"/>
      <c r="EEI28" s="252"/>
      <c r="EEJ28" s="252"/>
      <c r="EEK28" s="252"/>
      <c r="EEL28" s="252"/>
      <c r="EEM28" s="252"/>
      <c r="EEN28" s="252"/>
      <c r="EEO28" s="252"/>
      <c r="EEP28" s="252"/>
      <c r="EEQ28" s="252"/>
      <c r="EER28" s="252"/>
      <c r="EES28" s="252"/>
      <c r="EET28" s="252"/>
      <c r="EEU28" s="252"/>
      <c r="EEV28" s="252"/>
      <c r="EEW28" s="252"/>
      <c r="EEX28" s="252"/>
      <c r="EEY28" s="252"/>
      <c r="EEZ28" s="252"/>
      <c r="EFA28" s="252"/>
      <c r="EFB28" s="252"/>
      <c r="EFC28" s="252"/>
      <c r="EFD28" s="252"/>
      <c r="EFE28" s="252"/>
      <c r="EFF28" s="252"/>
      <c r="EFG28" s="252"/>
      <c r="EFH28" s="252"/>
      <c r="EFI28" s="252"/>
      <c r="EFJ28" s="252"/>
      <c r="EFK28" s="252"/>
      <c r="EFL28" s="252"/>
      <c r="EFM28" s="252"/>
      <c r="EFN28" s="252"/>
      <c r="EFO28" s="252"/>
      <c r="EFP28" s="252"/>
      <c r="EFQ28" s="252"/>
      <c r="EFR28" s="252"/>
      <c r="EFS28" s="252"/>
      <c r="EFT28" s="252"/>
      <c r="EFU28" s="252"/>
      <c r="EFV28" s="252"/>
      <c r="EFW28" s="252"/>
      <c r="EFX28" s="252"/>
      <c r="EFY28" s="252"/>
      <c r="EFZ28" s="252"/>
      <c r="EGA28" s="252"/>
      <c r="EGB28" s="252"/>
      <c r="EGC28" s="252"/>
      <c r="EGD28" s="252"/>
      <c r="EGE28" s="252"/>
      <c r="EGF28" s="252"/>
      <c r="EGG28" s="252"/>
      <c r="EGH28" s="252"/>
      <c r="EGI28" s="252"/>
      <c r="EGJ28" s="252"/>
      <c r="EGK28" s="252"/>
      <c r="EGL28" s="252"/>
      <c r="EGM28" s="252"/>
      <c r="EGN28" s="252"/>
      <c r="EGO28" s="252"/>
      <c r="EGP28" s="252"/>
      <c r="EGQ28" s="252"/>
      <c r="EGR28" s="252"/>
      <c r="EGS28" s="252"/>
      <c r="EGT28" s="252"/>
      <c r="EGU28" s="252"/>
      <c r="EGV28" s="252"/>
      <c r="EGW28" s="252"/>
      <c r="EGX28" s="252"/>
      <c r="EGY28" s="252"/>
      <c r="EGZ28" s="252"/>
      <c r="EHA28" s="252"/>
      <c r="EHB28" s="252"/>
      <c r="EHC28" s="252"/>
      <c r="EHD28" s="252"/>
      <c r="EHE28" s="252"/>
      <c r="EHF28" s="252"/>
      <c r="EHG28" s="252"/>
      <c r="EHH28" s="252"/>
      <c r="EHI28" s="252"/>
      <c r="EHJ28" s="252"/>
      <c r="EHK28" s="252"/>
      <c r="EHL28" s="252"/>
      <c r="EHM28" s="252"/>
      <c r="EHN28" s="252"/>
      <c r="EHO28" s="252"/>
      <c r="EHP28" s="252"/>
      <c r="EHQ28" s="252"/>
      <c r="EHR28" s="252"/>
      <c r="EHS28" s="252"/>
      <c r="EHT28" s="252"/>
      <c r="EHU28" s="252"/>
      <c r="EHV28" s="252"/>
      <c r="EHW28" s="252"/>
      <c r="EHX28" s="252"/>
      <c r="EHY28" s="252"/>
      <c r="EHZ28" s="252"/>
      <c r="EIA28" s="252"/>
      <c r="EIB28" s="252"/>
      <c r="EIC28" s="252"/>
      <c r="EID28" s="252"/>
      <c r="EIE28" s="252"/>
      <c r="EIF28" s="252"/>
      <c r="EIG28" s="252"/>
      <c r="EIH28" s="252"/>
      <c r="EII28" s="252"/>
      <c r="EIJ28" s="252"/>
      <c r="EIK28" s="252"/>
      <c r="EIL28" s="252"/>
      <c r="EIM28" s="252"/>
      <c r="EIN28" s="252"/>
      <c r="EIO28" s="252"/>
      <c r="EIP28" s="252"/>
      <c r="EIQ28" s="252"/>
      <c r="EIR28" s="252"/>
      <c r="EIS28" s="252"/>
      <c r="EIT28" s="252"/>
      <c r="EIU28" s="252"/>
      <c r="EIV28" s="252"/>
      <c r="EIW28" s="252"/>
      <c r="EIX28" s="252"/>
      <c r="EIY28" s="252"/>
      <c r="EIZ28" s="252"/>
      <c r="EJA28" s="252"/>
      <c r="EJB28" s="252"/>
      <c r="EJC28" s="252"/>
      <c r="EJD28" s="252"/>
      <c r="EJE28" s="252"/>
      <c r="EJF28" s="252"/>
      <c r="EJG28" s="252"/>
      <c r="EJH28" s="252"/>
      <c r="EJI28" s="252"/>
      <c r="EJJ28" s="252"/>
      <c r="EJK28" s="252"/>
      <c r="EJL28" s="252"/>
      <c r="EJM28" s="252"/>
      <c r="EJN28" s="252"/>
      <c r="EJO28" s="252"/>
      <c r="EJP28" s="252"/>
      <c r="EJQ28" s="252"/>
      <c r="EJR28" s="252"/>
      <c r="EJS28" s="252"/>
      <c r="EJT28" s="252"/>
      <c r="EJU28" s="252"/>
      <c r="EJV28" s="252"/>
      <c r="EJW28" s="252"/>
      <c r="EJX28" s="252"/>
      <c r="EJY28" s="252"/>
      <c r="EJZ28" s="252"/>
      <c r="EKA28" s="252"/>
      <c r="EKB28" s="252"/>
      <c r="EKC28" s="252"/>
      <c r="EKD28" s="252"/>
      <c r="EKE28" s="252"/>
      <c r="EKF28" s="252"/>
      <c r="EKG28" s="252"/>
      <c r="EKH28" s="252"/>
      <c r="EKI28" s="252"/>
      <c r="EKJ28" s="252"/>
      <c r="EKK28" s="252"/>
      <c r="EKL28" s="252"/>
      <c r="EKM28" s="252"/>
      <c r="EKN28" s="252"/>
      <c r="EKO28" s="252"/>
      <c r="EKP28" s="252"/>
      <c r="EKQ28" s="252"/>
      <c r="EKR28" s="252"/>
      <c r="EKS28" s="252"/>
      <c r="EKT28" s="252"/>
      <c r="EKU28" s="252"/>
      <c r="EKV28" s="252"/>
      <c r="EKW28" s="252"/>
      <c r="EKX28" s="252"/>
      <c r="EKY28" s="252"/>
      <c r="EKZ28" s="252"/>
      <c r="ELA28" s="252"/>
      <c r="ELB28" s="252"/>
      <c r="ELC28" s="252"/>
      <c r="ELD28" s="252"/>
      <c r="ELE28" s="252"/>
      <c r="ELF28" s="252"/>
      <c r="ELG28" s="252"/>
      <c r="ELH28" s="252"/>
      <c r="ELI28" s="252"/>
      <c r="ELJ28" s="252"/>
      <c r="ELK28" s="252"/>
      <c r="ELL28" s="252"/>
      <c r="ELM28" s="252"/>
      <c r="ELN28" s="252"/>
      <c r="ELO28" s="252"/>
      <c r="ELP28" s="252"/>
      <c r="ELQ28" s="252"/>
      <c r="ELR28" s="252"/>
      <c r="ELS28" s="252"/>
      <c r="ELT28" s="252"/>
      <c r="ELU28" s="252"/>
      <c r="ELV28" s="252"/>
      <c r="ELW28" s="252"/>
      <c r="ELX28" s="252"/>
      <c r="ELY28" s="252"/>
      <c r="ELZ28" s="252"/>
      <c r="EMA28" s="252"/>
      <c r="EMB28" s="252"/>
      <c r="EMC28" s="252"/>
      <c r="EMD28" s="252"/>
      <c r="EME28" s="252"/>
      <c r="EMF28" s="252"/>
      <c r="EMG28" s="252"/>
      <c r="EMH28" s="252"/>
      <c r="EMI28" s="252"/>
      <c r="EMJ28" s="252"/>
      <c r="EMK28" s="252"/>
      <c r="EML28" s="252"/>
      <c r="EMM28" s="252"/>
      <c r="EMN28" s="252"/>
      <c r="EMO28" s="252"/>
      <c r="EMP28" s="252"/>
      <c r="EMQ28" s="252"/>
      <c r="EMR28" s="252"/>
      <c r="EMS28" s="252"/>
      <c r="EMT28" s="252"/>
      <c r="EMU28" s="252"/>
      <c r="EMV28" s="252"/>
      <c r="EMW28" s="252"/>
      <c r="EMX28" s="252"/>
      <c r="EMY28" s="252"/>
      <c r="EMZ28" s="252"/>
      <c r="ENA28" s="252"/>
      <c r="ENB28" s="252"/>
      <c r="ENC28" s="252"/>
      <c r="END28" s="252"/>
      <c r="ENE28" s="252"/>
      <c r="ENF28" s="252"/>
      <c r="ENG28" s="252"/>
      <c r="ENH28" s="252"/>
      <c r="ENI28" s="252"/>
      <c r="ENJ28" s="252"/>
      <c r="ENK28" s="252"/>
      <c r="ENL28" s="252"/>
      <c r="ENM28" s="252"/>
      <c r="ENN28" s="252"/>
      <c r="ENO28" s="252"/>
      <c r="ENP28" s="252"/>
      <c r="ENQ28" s="252"/>
      <c r="ENR28" s="252"/>
      <c r="ENS28" s="252"/>
      <c r="ENT28" s="252"/>
      <c r="ENU28" s="252"/>
      <c r="ENV28" s="252"/>
      <c r="ENW28" s="252"/>
      <c r="ENX28" s="252"/>
      <c r="ENY28" s="252"/>
      <c r="ENZ28" s="252"/>
      <c r="EOA28" s="252"/>
      <c r="EOB28" s="252"/>
      <c r="EOC28" s="252"/>
      <c r="EOD28" s="252"/>
      <c r="EOE28" s="252"/>
      <c r="EOF28" s="252"/>
      <c r="EOG28" s="252"/>
      <c r="EOH28" s="252"/>
      <c r="EOI28" s="252"/>
      <c r="EOJ28" s="252"/>
      <c r="EOK28" s="252"/>
      <c r="EOL28" s="252"/>
      <c r="EOM28" s="252"/>
      <c r="EON28" s="252"/>
      <c r="EOO28" s="252"/>
      <c r="EOP28" s="252"/>
      <c r="EOQ28" s="252"/>
      <c r="EOR28" s="252"/>
      <c r="EOS28" s="252"/>
      <c r="EOT28" s="252"/>
      <c r="EOU28" s="252"/>
      <c r="EOV28" s="252"/>
      <c r="EOW28" s="252"/>
      <c r="EOX28" s="252"/>
      <c r="EOY28" s="252"/>
      <c r="EOZ28" s="252"/>
      <c r="EPA28" s="252"/>
      <c r="EPB28" s="252"/>
      <c r="EPC28" s="252"/>
      <c r="EPD28" s="252"/>
      <c r="EPE28" s="252"/>
      <c r="EPF28" s="252"/>
      <c r="EPG28" s="252"/>
      <c r="EPH28" s="252"/>
      <c r="EPI28" s="252"/>
      <c r="EPJ28" s="252"/>
      <c r="EPK28" s="252"/>
      <c r="EPL28" s="252"/>
      <c r="EPM28" s="252"/>
      <c r="EPN28" s="252"/>
      <c r="EPO28" s="252"/>
      <c r="EPP28" s="252"/>
      <c r="EPQ28" s="252"/>
      <c r="EPR28" s="252"/>
      <c r="EPS28" s="252"/>
      <c r="EPT28" s="252"/>
      <c r="EPU28" s="252"/>
      <c r="EPV28" s="252"/>
      <c r="EPW28" s="252"/>
      <c r="EPX28" s="252"/>
      <c r="EPY28" s="252"/>
      <c r="EPZ28" s="252"/>
      <c r="EQA28" s="252"/>
      <c r="EQB28" s="252"/>
      <c r="EQC28" s="252"/>
      <c r="EQD28" s="252"/>
      <c r="EQE28" s="252"/>
      <c r="EQF28" s="252"/>
      <c r="EQG28" s="252"/>
      <c r="EQH28" s="252"/>
      <c r="EQI28" s="252"/>
      <c r="EQJ28" s="252"/>
      <c r="EQK28" s="252"/>
      <c r="EQL28" s="252"/>
      <c r="EQM28" s="252"/>
      <c r="EQN28" s="252"/>
      <c r="EQO28" s="252"/>
      <c r="EQP28" s="252"/>
      <c r="EQQ28" s="252"/>
      <c r="EQR28" s="252"/>
      <c r="EQS28" s="252"/>
      <c r="EQT28" s="252"/>
      <c r="EQU28" s="252"/>
      <c r="EQV28" s="252"/>
      <c r="EQW28" s="252"/>
      <c r="EQX28" s="252"/>
      <c r="EQY28" s="252"/>
      <c r="EQZ28" s="252"/>
      <c r="ERA28" s="252"/>
      <c r="ERB28" s="252"/>
      <c r="ERC28" s="252"/>
      <c r="ERD28" s="252"/>
      <c r="ERE28" s="252"/>
      <c r="ERF28" s="252"/>
      <c r="ERG28" s="252"/>
      <c r="ERH28" s="252"/>
      <c r="ERI28" s="252"/>
      <c r="ERJ28" s="252"/>
      <c r="ERK28" s="252"/>
      <c r="ERL28" s="252"/>
      <c r="ERM28" s="252"/>
      <c r="ERN28" s="252"/>
      <c r="ERO28" s="252"/>
      <c r="ERP28" s="252"/>
      <c r="ERQ28" s="252"/>
      <c r="ERR28" s="252"/>
      <c r="ERS28" s="252"/>
      <c r="ERT28" s="252"/>
      <c r="ERU28" s="252"/>
      <c r="ERV28" s="252"/>
      <c r="ERW28" s="252"/>
      <c r="ERX28" s="252"/>
      <c r="ERY28" s="252"/>
      <c r="ERZ28" s="252"/>
      <c r="ESA28" s="252"/>
      <c r="ESB28" s="252"/>
      <c r="ESC28" s="252"/>
      <c r="ESD28" s="252"/>
      <c r="ESE28" s="252"/>
      <c r="ESF28" s="252"/>
      <c r="ESG28" s="252"/>
      <c r="ESH28" s="252"/>
      <c r="ESI28" s="252"/>
      <c r="ESJ28" s="252"/>
      <c r="ESK28" s="252"/>
      <c r="ESL28" s="252"/>
      <c r="ESM28" s="252"/>
      <c r="ESN28" s="252"/>
      <c r="ESO28" s="252"/>
      <c r="ESP28" s="252"/>
      <c r="ESQ28" s="252"/>
      <c r="ESR28" s="252"/>
      <c r="ESS28" s="252"/>
      <c r="EST28" s="252"/>
      <c r="ESU28" s="252"/>
      <c r="ESV28" s="252"/>
      <c r="ESW28" s="252"/>
      <c r="ESX28" s="252"/>
      <c r="ESY28" s="252"/>
      <c r="ESZ28" s="252"/>
      <c r="ETA28" s="252"/>
      <c r="ETB28" s="252"/>
      <c r="ETC28" s="252"/>
      <c r="ETD28" s="252"/>
      <c r="ETE28" s="252"/>
      <c r="ETF28" s="252"/>
      <c r="ETG28" s="252"/>
      <c r="ETH28" s="252"/>
      <c r="ETI28" s="252"/>
      <c r="ETJ28" s="252"/>
      <c r="ETK28" s="252"/>
      <c r="ETL28" s="252"/>
      <c r="ETM28" s="252"/>
      <c r="ETN28" s="252"/>
      <c r="ETO28" s="252"/>
      <c r="ETP28" s="252"/>
      <c r="ETQ28" s="252"/>
      <c r="ETR28" s="252"/>
      <c r="ETS28" s="252"/>
      <c r="ETT28" s="252"/>
      <c r="ETU28" s="252"/>
      <c r="ETV28" s="252"/>
      <c r="ETW28" s="252"/>
      <c r="ETX28" s="252"/>
      <c r="ETY28" s="252"/>
      <c r="ETZ28" s="252"/>
      <c r="EUA28" s="252"/>
      <c r="EUB28" s="252"/>
      <c r="EUC28" s="252"/>
      <c r="EUD28" s="252"/>
      <c r="EUE28" s="252"/>
      <c r="EUF28" s="252"/>
      <c r="EUG28" s="252"/>
      <c r="EUH28" s="252"/>
      <c r="EUI28" s="252"/>
      <c r="EUJ28" s="252"/>
      <c r="EUK28" s="252"/>
      <c r="EUL28" s="252"/>
      <c r="EUM28" s="252"/>
      <c r="EUN28" s="252"/>
      <c r="EUO28" s="252"/>
      <c r="EUP28" s="252"/>
      <c r="EUQ28" s="252"/>
      <c r="EUR28" s="252"/>
      <c r="EUS28" s="252"/>
      <c r="EUT28" s="252"/>
      <c r="EUU28" s="252"/>
      <c r="EUV28" s="252"/>
      <c r="EUW28" s="252"/>
      <c r="EUX28" s="252"/>
      <c r="EUY28" s="252"/>
      <c r="EUZ28" s="252"/>
      <c r="EVA28" s="252"/>
      <c r="EVB28" s="252"/>
      <c r="EVC28" s="252"/>
      <c r="EVD28" s="252"/>
      <c r="EVE28" s="252"/>
      <c r="EVF28" s="252"/>
      <c r="EVG28" s="252"/>
      <c r="EVH28" s="252"/>
      <c r="EVI28" s="252"/>
      <c r="EVJ28" s="252"/>
      <c r="EVK28" s="252"/>
      <c r="EVL28" s="252"/>
      <c r="EVM28" s="252"/>
      <c r="EVN28" s="252"/>
      <c r="EVO28" s="252"/>
      <c r="EVP28" s="252"/>
      <c r="EVQ28" s="252"/>
      <c r="EVR28" s="252"/>
      <c r="EVS28" s="252"/>
      <c r="EVT28" s="252"/>
      <c r="EVU28" s="252"/>
      <c r="EVV28" s="252"/>
      <c r="EVW28" s="252"/>
      <c r="EVX28" s="252"/>
      <c r="EVY28" s="252"/>
      <c r="EVZ28" s="252"/>
      <c r="EWA28" s="252"/>
      <c r="EWB28" s="252"/>
      <c r="EWC28" s="252"/>
      <c r="EWD28" s="252"/>
      <c r="EWE28" s="252"/>
      <c r="EWF28" s="252"/>
      <c r="EWG28" s="252"/>
      <c r="EWH28" s="252"/>
      <c r="EWI28" s="252"/>
      <c r="EWJ28" s="252"/>
      <c r="EWK28" s="252"/>
      <c r="EWL28" s="252"/>
      <c r="EWM28" s="252"/>
      <c r="EWN28" s="252"/>
      <c r="EWO28" s="252"/>
      <c r="EWP28" s="252"/>
      <c r="EWQ28" s="252"/>
      <c r="EWR28" s="252"/>
      <c r="EWS28" s="252"/>
      <c r="EWT28" s="252"/>
      <c r="EWU28" s="252"/>
      <c r="EWV28" s="252"/>
      <c r="EWW28" s="252"/>
      <c r="EWX28" s="252"/>
      <c r="EWY28" s="252"/>
      <c r="EWZ28" s="252"/>
      <c r="EXA28" s="252"/>
      <c r="EXB28" s="252"/>
      <c r="EXC28" s="252"/>
      <c r="EXD28" s="252"/>
      <c r="EXE28" s="252"/>
      <c r="EXF28" s="252"/>
      <c r="EXG28" s="252"/>
      <c r="EXH28" s="252"/>
      <c r="EXI28" s="252"/>
      <c r="EXJ28" s="252"/>
      <c r="EXK28" s="252"/>
      <c r="EXL28" s="252"/>
      <c r="EXM28" s="252"/>
      <c r="EXN28" s="252"/>
      <c r="EXO28" s="252"/>
      <c r="EXP28" s="252"/>
      <c r="EXQ28" s="252"/>
      <c r="EXR28" s="252"/>
      <c r="EXS28" s="252"/>
      <c r="EXT28" s="252"/>
      <c r="EXU28" s="252"/>
      <c r="EXV28" s="252"/>
      <c r="EXW28" s="252"/>
      <c r="EXX28" s="252"/>
      <c r="EXY28" s="252"/>
      <c r="EXZ28" s="252"/>
      <c r="EYA28" s="252"/>
      <c r="EYB28" s="252"/>
      <c r="EYC28" s="252"/>
      <c r="EYD28" s="252"/>
      <c r="EYE28" s="252"/>
      <c r="EYF28" s="252"/>
      <c r="EYG28" s="252"/>
      <c r="EYH28" s="252"/>
      <c r="EYI28" s="252"/>
      <c r="EYJ28" s="252"/>
      <c r="EYK28" s="252"/>
      <c r="EYL28" s="252"/>
      <c r="EYM28" s="252"/>
      <c r="EYN28" s="252"/>
      <c r="EYO28" s="252"/>
      <c r="EYP28" s="252"/>
      <c r="EYQ28" s="252"/>
      <c r="EYR28" s="252"/>
      <c r="EYS28" s="252"/>
      <c r="EYT28" s="252"/>
      <c r="EYU28" s="252"/>
      <c r="EYV28" s="252"/>
      <c r="EYW28" s="252"/>
      <c r="EYX28" s="252"/>
      <c r="EYY28" s="252"/>
      <c r="EYZ28" s="252"/>
      <c r="EZA28" s="252"/>
      <c r="EZB28" s="252"/>
      <c r="EZC28" s="252"/>
      <c r="EZD28" s="252"/>
      <c r="EZE28" s="252"/>
      <c r="EZF28" s="252"/>
      <c r="EZG28" s="252"/>
      <c r="EZH28" s="252"/>
      <c r="EZI28" s="252"/>
      <c r="EZJ28" s="252"/>
      <c r="EZK28" s="252"/>
      <c r="EZL28" s="252"/>
      <c r="EZM28" s="252"/>
      <c r="EZN28" s="252"/>
      <c r="EZO28" s="252"/>
      <c r="EZP28" s="252"/>
      <c r="EZQ28" s="252"/>
      <c r="EZR28" s="252"/>
      <c r="EZS28" s="252"/>
      <c r="EZT28" s="252"/>
      <c r="EZU28" s="252"/>
      <c r="EZV28" s="252"/>
      <c r="EZW28" s="252"/>
      <c r="EZX28" s="252"/>
      <c r="EZY28" s="252"/>
      <c r="EZZ28" s="252"/>
      <c r="FAA28" s="252"/>
      <c r="FAB28" s="252"/>
      <c r="FAC28" s="252"/>
      <c r="FAD28" s="252"/>
      <c r="FAE28" s="252"/>
      <c r="FAF28" s="252"/>
      <c r="FAG28" s="252"/>
      <c r="FAH28" s="252"/>
      <c r="FAI28" s="252"/>
      <c r="FAJ28" s="252"/>
      <c r="FAK28" s="252"/>
      <c r="FAL28" s="252"/>
      <c r="FAM28" s="252"/>
      <c r="FAN28" s="252"/>
      <c r="FAO28" s="252"/>
      <c r="FAP28" s="252"/>
      <c r="FAQ28" s="252"/>
      <c r="FAR28" s="252"/>
      <c r="FAS28" s="252"/>
      <c r="FAT28" s="252"/>
      <c r="FAU28" s="252"/>
      <c r="FAV28" s="252"/>
      <c r="FAW28" s="252"/>
      <c r="FAX28" s="252"/>
      <c r="FAY28" s="252"/>
      <c r="FAZ28" s="252"/>
      <c r="FBA28" s="252"/>
      <c r="FBB28" s="252"/>
      <c r="FBC28" s="252"/>
      <c r="FBD28" s="252"/>
      <c r="FBE28" s="252"/>
      <c r="FBF28" s="252"/>
      <c r="FBG28" s="252"/>
      <c r="FBH28" s="252"/>
      <c r="FBI28" s="252"/>
      <c r="FBJ28" s="252"/>
      <c r="FBK28" s="252"/>
      <c r="FBL28" s="252"/>
      <c r="FBM28" s="252"/>
      <c r="FBN28" s="252"/>
      <c r="FBO28" s="252"/>
      <c r="FBP28" s="252"/>
      <c r="FBQ28" s="252"/>
      <c r="FBR28" s="252"/>
      <c r="FBS28" s="252"/>
      <c r="FBT28" s="252"/>
      <c r="FBU28" s="252"/>
      <c r="FBV28" s="252"/>
      <c r="FBW28" s="252"/>
      <c r="FBX28" s="252"/>
      <c r="FBY28" s="252"/>
      <c r="FBZ28" s="252"/>
      <c r="FCA28" s="252"/>
      <c r="FCB28" s="252"/>
      <c r="FCC28" s="252"/>
      <c r="FCD28" s="252"/>
      <c r="FCE28" s="252"/>
      <c r="FCF28" s="252"/>
      <c r="FCG28" s="252"/>
      <c r="FCH28" s="252"/>
      <c r="FCI28" s="252"/>
      <c r="FCJ28" s="252"/>
      <c r="FCK28" s="252"/>
      <c r="FCL28" s="252"/>
      <c r="FCM28" s="252"/>
      <c r="FCN28" s="252"/>
      <c r="FCO28" s="252"/>
      <c r="FCP28" s="252"/>
      <c r="FCQ28" s="252"/>
      <c r="FCR28" s="252"/>
      <c r="FCS28" s="252"/>
      <c r="FCT28" s="252"/>
      <c r="FCU28" s="252"/>
      <c r="FCV28" s="252"/>
      <c r="FCW28" s="252"/>
      <c r="FCX28" s="252"/>
      <c r="FCY28" s="252"/>
      <c r="FCZ28" s="252"/>
      <c r="FDA28" s="252"/>
      <c r="FDB28" s="252"/>
      <c r="FDC28" s="252"/>
      <c r="FDD28" s="252"/>
      <c r="FDE28" s="252"/>
      <c r="FDF28" s="252"/>
      <c r="FDG28" s="252"/>
      <c r="FDH28" s="252"/>
      <c r="FDI28" s="252"/>
      <c r="FDJ28" s="252"/>
      <c r="FDK28" s="252"/>
      <c r="FDL28" s="252"/>
      <c r="FDM28" s="252"/>
      <c r="FDN28" s="252"/>
      <c r="FDO28" s="252"/>
      <c r="FDP28" s="252"/>
      <c r="FDQ28" s="252"/>
      <c r="FDR28" s="252"/>
      <c r="FDS28" s="252"/>
      <c r="FDT28" s="252"/>
      <c r="FDU28" s="252"/>
      <c r="FDV28" s="252"/>
      <c r="FDW28" s="252"/>
      <c r="FDX28" s="252"/>
      <c r="FDY28" s="252"/>
      <c r="FDZ28" s="252"/>
      <c r="FEA28" s="252"/>
      <c r="FEB28" s="252"/>
      <c r="FEC28" s="252"/>
      <c r="FED28" s="252"/>
      <c r="FEE28" s="252"/>
      <c r="FEF28" s="252"/>
      <c r="FEG28" s="252"/>
      <c r="FEH28" s="252"/>
      <c r="FEI28" s="252"/>
      <c r="FEJ28" s="252"/>
      <c r="FEK28" s="252"/>
      <c r="FEL28" s="252"/>
      <c r="FEM28" s="252"/>
      <c r="FEN28" s="252"/>
      <c r="FEO28" s="252"/>
      <c r="FEP28" s="252"/>
      <c r="FEQ28" s="252"/>
      <c r="FER28" s="252"/>
      <c r="FES28" s="252"/>
      <c r="FET28" s="252"/>
      <c r="FEU28" s="252"/>
      <c r="FEV28" s="252"/>
      <c r="FEW28" s="252"/>
      <c r="FEX28" s="252"/>
      <c r="FEY28" s="252"/>
      <c r="FEZ28" s="252"/>
      <c r="FFA28" s="252"/>
      <c r="FFB28" s="252"/>
      <c r="FFC28" s="252"/>
      <c r="FFD28" s="252"/>
      <c r="FFE28" s="252"/>
      <c r="FFF28" s="252"/>
      <c r="FFG28" s="252"/>
      <c r="FFH28" s="252"/>
      <c r="FFI28" s="252"/>
      <c r="FFJ28" s="252"/>
      <c r="FFK28" s="252"/>
      <c r="FFL28" s="252"/>
      <c r="FFM28" s="252"/>
      <c r="FFN28" s="252"/>
      <c r="FFO28" s="252"/>
      <c r="FFP28" s="252"/>
      <c r="FFQ28" s="252"/>
      <c r="FFR28" s="252"/>
      <c r="FFS28" s="252"/>
      <c r="FFT28" s="252"/>
      <c r="FFU28" s="252"/>
      <c r="FFV28" s="252"/>
      <c r="FFW28" s="252"/>
      <c r="FFX28" s="252"/>
      <c r="FFY28" s="252"/>
      <c r="FFZ28" s="252"/>
      <c r="FGA28" s="252"/>
      <c r="FGB28" s="252"/>
      <c r="FGC28" s="252"/>
      <c r="FGD28" s="252"/>
      <c r="FGE28" s="252"/>
      <c r="FGF28" s="252"/>
      <c r="FGG28" s="252"/>
      <c r="FGH28" s="252"/>
      <c r="FGI28" s="252"/>
      <c r="FGJ28" s="252"/>
      <c r="FGK28" s="252"/>
      <c r="FGL28" s="252"/>
      <c r="FGM28" s="252"/>
      <c r="FGN28" s="252"/>
      <c r="FGO28" s="252"/>
      <c r="FGP28" s="252"/>
      <c r="FGQ28" s="252"/>
      <c r="FGR28" s="252"/>
      <c r="FGS28" s="252"/>
      <c r="FGT28" s="252"/>
      <c r="FGU28" s="252"/>
      <c r="FGV28" s="252"/>
      <c r="FGW28" s="252"/>
      <c r="FGX28" s="252"/>
      <c r="FGY28" s="252"/>
      <c r="FGZ28" s="252"/>
      <c r="FHA28" s="252"/>
      <c r="FHB28" s="252"/>
      <c r="FHC28" s="252"/>
      <c r="FHD28" s="252"/>
      <c r="FHE28" s="252"/>
      <c r="FHF28" s="252"/>
      <c r="FHG28" s="252"/>
      <c r="FHH28" s="252"/>
      <c r="FHI28" s="252"/>
      <c r="FHJ28" s="252"/>
      <c r="FHK28" s="252"/>
      <c r="FHL28" s="252"/>
      <c r="FHM28" s="252"/>
      <c r="FHN28" s="252"/>
      <c r="FHO28" s="252"/>
      <c r="FHP28" s="252"/>
      <c r="FHQ28" s="252"/>
      <c r="FHR28" s="252"/>
      <c r="FHS28" s="252"/>
      <c r="FHT28" s="252"/>
      <c r="FHU28" s="252"/>
      <c r="FHV28" s="252"/>
      <c r="FHW28" s="252"/>
      <c r="FHX28" s="252"/>
      <c r="FHY28" s="252"/>
      <c r="FHZ28" s="252"/>
      <c r="FIA28" s="252"/>
      <c r="FIB28" s="252"/>
      <c r="FIC28" s="252"/>
      <c r="FID28" s="252"/>
      <c r="FIE28" s="252"/>
      <c r="FIF28" s="252"/>
      <c r="FIG28" s="252"/>
      <c r="FIH28" s="252"/>
      <c r="FII28" s="252"/>
      <c r="FIJ28" s="252"/>
      <c r="FIK28" s="252"/>
      <c r="FIL28" s="252"/>
      <c r="FIM28" s="252"/>
      <c r="FIN28" s="252"/>
      <c r="FIO28" s="252"/>
      <c r="FIP28" s="252"/>
      <c r="FIQ28" s="252"/>
      <c r="FIR28" s="252"/>
      <c r="FIS28" s="252"/>
      <c r="FIT28" s="252"/>
      <c r="FIU28" s="252"/>
      <c r="FIV28" s="252"/>
      <c r="FIW28" s="252"/>
      <c r="FIX28" s="252"/>
      <c r="FIY28" s="252"/>
      <c r="FIZ28" s="252"/>
      <c r="FJA28" s="252"/>
      <c r="FJB28" s="252"/>
      <c r="FJC28" s="252"/>
      <c r="FJD28" s="252"/>
      <c r="FJE28" s="252"/>
      <c r="FJF28" s="252"/>
      <c r="FJG28" s="252"/>
      <c r="FJH28" s="252"/>
      <c r="FJI28" s="252"/>
      <c r="FJJ28" s="252"/>
      <c r="FJK28" s="252"/>
      <c r="FJL28" s="252"/>
      <c r="FJM28" s="252"/>
      <c r="FJN28" s="252"/>
      <c r="FJO28" s="252"/>
      <c r="FJP28" s="252"/>
      <c r="FJQ28" s="252"/>
      <c r="FJR28" s="252"/>
      <c r="FJS28" s="252"/>
      <c r="FJT28" s="252"/>
      <c r="FJU28" s="252"/>
      <c r="FJV28" s="252"/>
      <c r="FJW28" s="252"/>
      <c r="FJX28" s="252"/>
      <c r="FJY28" s="252"/>
      <c r="FJZ28" s="252"/>
      <c r="FKA28" s="252"/>
      <c r="FKB28" s="252"/>
      <c r="FKC28" s="252"/>
      <c r="FKD28" s="252"/>
      <c r="FKE28" s="252"/>
      <c r="FKF28" s="252"/>
      <c r="FKG28" s="252"/>
      <c r="FKH28" s="252"/>
      <c r="FKI28" s="252"/>
      <c r="FKJ28" s="252"/>
      <c r="FKK28" s="252"/>
      <c r="FKL28" s="252"/>
      <c r="FKM28" s="252"/>
      <c r="FKN28" s="252"/>
      <c r="FKO28" s="252"/>
      <c r="FKP28" s="252"/>
      <c r="FKQ28" s="252"/>
      <c r="FKR28" s="252"/>
      <c r="FKS28" s="252"/>
      <c r="FKT28" s="252"/>
      <c r="FKU28" s="252"/>
      <c r="FKV28" s="252"/>
      <c r="FKW28" s="252"/>
      <c r="FKX28" s="252"/>
      <c r="FKY28" s="252"/>
      <c r="FKZ28" s="252"/>
      <c r="FLA28" s="252"/>
      <c r="FLB28" s="252"/>
      <c r="FLC28" s="252"/>
      <c r="FLD28" s="252"/>
      <c r="FLE28" s="252"/>
      <c r="FLF28" s="252"/>
      <c r="FLG28" s="252"/>
      <c r="FLH28" s="252"/>
      <c r="FLI28" s="252"/>
      <c r="FLJ28" s="252"/>
      <c r="FLK28" s="252"/>
      <c r="FLL28" s="252"/>
      <c r="FLM28" s="252"/>
      <c r="FLN28" s="252"/>
      <c r="FLO28" s="252"/>
      <c r="FLP28" s="252"/>
      <c r="FLQ28" s="252"/>
      <c r="FLR28" s="252"/>
      <c r="FLS28" s="252"/>
      <c r="FLT28" s="252"/>
      <c r="FLU28" s="252"/>
      <c r="FLV28" s="252"/>
      <c r="FLW28" s="252"/>
      <c r="FLX28" s="252"/>
      <c r="FLY28" s="252"/>
      <c r="FLZ28" s="252"/>
      <c r="FMA28" s="252"/>
      <c r="FMB28" s="252"/>
      <c r="FMC28" s="252"/>
      <c r="FMD28" s="252"/>
      <c r="FME28" s="252"/>
      <c r="FMF28" s="252"/>
      <c r="FMG28" s="252"/>
      <c r="FMH28" s="252"/>
      <c r="FMI28" s="252"/>
      <c r="FMJ28" s="252"/>
      <c r="FMK28" s="252"/>
      <c r="FML28" s="252"/>
      <c r="FMM28" s="252"/>
      <c r="FMN28" s="252"/>
      <c r="FMO28" s="252"/>
      <c r="FMP28" s="252"/>
      <c r="FMQ28" s="252"/>
      <c r="FMR28" s="252"/>
      <c r="FMS28" s="252"/>
      <c r="FMT28" s="252"/>
      <c r="FMU28" s="252"/>
      <c r="FMV28" s="252"/>
      <c r="FMW28" s="252"/>
      <c r="FMX28" s="252"/>
      <c r="FMY28" s="252"/>
      <c r="FMZ28" s="252"/>
      <c r="FNA28" s="252"/>
      <c r="FNB28" s="252"/>
      <c r="FNC28" s="252"/>
      <c r="FND28" s="252"/>
      <c r="FNE28" s="252"/>
      <c r="FNF28" s="252"/>
      <c r="FNG28" s="252"/>
      <c r="FNH28" s="252"/>
      <c r="FNI28" s="252"/>
      <c r="FNJ28" s="252"/>
      <c r="FNK28" s="252"/>
      <c r="FNL28" s="252"/>
      <c r="FNM28" s="252"/>
      <c r="FNN28" s="252"/>
      <c r="FNO28" s="252"/>
      <c r="FNP28" s="252"/>
      <c r="FNQ28" s="252"/>
      <c r="FNR28" s="252"/>
      <c r="FNS28" s="252"/>
      <c r="FNT28" s="252"/>
      <c r="FNU28" s="252"/>
      <c r="FNV28" s="252"/>
      <c r="FNW28" s="252"/>
      <c r="FNX28" s="252"/>
      <c r="FNY28" s="252"/>
      <c r="FNZ28" s="252"/>
      <c r="FOA28" s="252"/>
      <c r="FOB28" s="252"/>
      <c r="FOC28" s="252"/>
      <c r="FOD28" s="252"/>
      <c r="FOE28" s="252"/>
      <c r="FOF28" s="252"/>
      <c r="FOG28" s="252"/>
      <c r="FOH28" s="252"/>
      <c r="FOI28" s="252"/>
      <c r="FOJ28" s="252"/>
      <c r="FOK28" s="252"/>
      <c r="FOL28" s="252"/>
      <c r="FOM28" s="252"/>
      <c r="FON28" s="252"/>
      <c r="FOO28" s="252"/>
      <c r="FOP28" s="252"/>
      <c r="FOQ28" s="252"/>
      <c r="FOR28" s="252"/>
      <c r="FOS28" s="252"/>
      <c r="FOT28" s="252"/>
      <c r="FOU28" s="252"/>
      <c r="FOV28" s="252"/>
      <c r="FOW28" s="252"/>
      <c r="FOX28" s="252"/>
      <c r="FOY28" s="252"/>
      <c r="FOZ28" s="252"/>
      <c r="FPA28" s="252"/>
      <c r="FPB28" s="252"/>
      <c r="FPC28" s="252"/>
      <c r="FPD28" s="252"/>
      <c r="FPE28" s="252"/>
      <c r="FPF28" s="252"/>
      <c r="FPG28" s="252"/>
      <c r="FPH28" s="252"/>
      <c r="FPI28" s="252"/>
      <c r="FPJ28" s="252"/>
      <c r="FPK28" s="252"/>
      <c r="FPL28" s="252"/>
      <c r="FPM28" s="252"/>
      <c r="FPN28" s="252"/>
      <c r="FPO28" s="252"/>
      <c r="FPP28" s="252"/>
      <c r="FPQ28" s="252"/>
      <c r="FPR28" s="252"/>
      <c r="FPS28" s="252"/>
      <c r="FPT28" s="252"/>
      <c r="FPU28" s="252"/>
      <c r="FPV28" s="252"/>
      <c r="FPW28" s="252"/>
      <c r="FPX28" s="252"/>
      <c r="FPY28" s="252"/>
      <c r="FPZ28" s="252"/>
      <c r="FQA28" s="252"/>
      <c r="FQB28" s="252"/>
      <c r="FQC28" s="252"/>
      <c r="FQD28" s="252"/>
      <c r="FQE28" s="252"/>
      <c r="FQF28" s="252"/>
      <c r="FQG28" s="252"/>
      <c r="FQH28" s="252"/>
      <c r="FQI28" s="252"/>
      <c r="FQJ28" s="252"/>
      <c r="FQK28" s="252"/>
      <c r="FQL28" s="252"/>
      <c r="FQM28" s="252"/>
      <c r="FQN28" s="252"/>
      <c r="FQO28" s="252"/>
      <c r="FQP28" s="252"/>
      <c r="FQQ28" s="252"/>
      <c r="FQR28" s="252"/>
      <c r="FQS28" s="252"/>
      <c r="FQT28" s="252"/>
      <c r="FQU28" s="252"/>
      <c r="FQV28" s="252"/>
      <c r="FQW28" s="252"/>
      <c r="FQX28" s="252"/>
      <c r="FQY28" s="252"/>
      <c r="FQZ28" s="252"/>
      <c r="FRA28" s="252"/>
      <c r="FRB28" s="252"/>
      <c r="FRC28" s="252"/>
      <c r="FRD28" s="252"/>
      <c r="FRE28" s="252"/>
      <c r="FRF28" s="252"/>
      <c r="FRG28" s="252"/>
      <c r="FRH28" s="252"/>
      <c r="FRI28" s="252"/>
      <c r="FRJ28" s="252"/>
      <c r="FRK28" s="252"/>
      <c r="FRL28" s="252"/>
      <c r="FRM28" s="252"/>
      <c r="FRN28" s="252"/>
      <c r="FRO28" s="252"/>
      <c r="FRP28" s="252"/>
      <c r="FRQ28" s="252"/>
      <c r="FRR28" s="252"/>
      <c r="FRS28" s="252"/>
      <c r="FRT28" s="252"/>
      <c r="FRU28" s="252"/>
      <c r="FRV28" s="252"/>
      <c r="FRW28" s="252"/>
      <c r="FRX28" s="252"/>
      <c r="FRY28" s="252"/>
      <c r="FRZ28" s="252"/>
      <c r="FSA28" s="252"/>
      <c r="FSB28" s="252"/>
      <c r="FSC28" s="252"/>
      <c r="FSD28" s="252"/>
      <c r="FSE28" s="252"/>
      <c r="FSF28" s="252"/>
      <c r="FSG28" s="252"/>
      <c r="FSH28" s="252"/>
      <c r="FSI28" s="252"/>
      <c r="FSJ28" s="252"/>
      <c r="FSK28" s="252"/>
      <c r="FSL28" s="252"/>
      <c r="FSM28" s="252"/>
      <c r="FSN28" s="252"/>
      <c r="FSO28" s="252"/>
      <c r="FSP28" s="252"/>
      <c r="FSQ28" s="252"/>
      <c r="FSR28" s="252"/>
      <c r="FSS28" s="252"/>
      <c r="FST28" s="252"/>
      <c r="FSU28" s="252"/>
      <c r="FSV28" s="252"/>
      <c r="FSW28" s="252"/>
      <c r="FSX28" s="252"/>
      <c r="FSY28" s="252"/>
      <c r="FSZ28" s="252"/>
      <c r="FTA28" s="252"/>
      <c r="FTB28" s="252"/>
      <c r="FTC28" s="252"/>
      <c r="FTD28" s="252"/>
      <c r="FTE28" s="252"/>
      <c r="FTF28" s="252"/>
      <c r="FTG28" s="252"/>
      <c r="FTH28" s="252"/>
      <c r="FTI28" s="252"/>
      <c r="FTJ28" s="252"/>
      <c r="FTK28" s="252"/>
      <c r="FTL28" s="252"/>
      <c r="FTM28" s="252"/>
      <c r="FTN28" s="252"/>
      <c r="FTO28" s="252"/>
      <c r="FTP28" s="252"/>
      <c r="FTQ28" s="252"/>
      <c r="FTR28" s="252"/>
      <c r="FTS28" s="252"/>
      <c r="FTT28" s="252"/>
      <c r="FTU28" s="252"/>
      <c r="FTV28" s="252"/>
      <c r="FTW28" s="252"/>
      <c r="FTX28" s="252"/>
      <c r="FTY28" s="252"/>
      <c r="FTZ28" s="252"/>
      <c r="FUA28" s="252"/>
      <c r="FUB28" s="252"/>
      <c r="FUC28" s="252"/>
      <c r="FUD28" s="252"/>
      <c r="FUE28" s="252"/>
      <c r="FUF28" s="252"/>
      <c r="FUG28" s="252"/>
      <c r="FUH28" s="252"/>
      <c r="FUI28" s="252"/>
      <c r="FUJ28" s="252"/>
      <c r="FUK28" s="252"/>
      <c r="FUL28" s="252"/>
      <c r="FUM28" s="252"/>
      <c r="FUN28" s="252"/>
      <c r="FUO28" s="252"/>
      <c r="FUP28" s="252"/>
      <c r="FUQ28" s="252"/>
      <c r="FUR28" s="252"/>
      <c r="FUS28" s="252"/>
      <c r="FUT28" s="252"/>
      <c r="FUU28" s="252"/>
      <c r="FUV28" s="252"/>
      <c r="FUW28" s="252"/>
      <c r="FUX28" s="252"/>
      <c r="FUY28" s="252"/>
      <c r="FUZ28" s="252"/>
      <c r="FVA28" s="252"/>
      <c r="FVB28" s="252"/>
      <c r="FVC28" s="252"/>
      <c r="FVD28" s="252"/>
      <c r="FVE28" s="252"/>
      <c r="FVF28" s="252"/>
      <c r="FVG28" s="252"/>
      <c r="FVH28" s="252"/>
      <c r="FVI28" s="252"/>
      <c r="FVJ28" s="252"/>
      <c r="FVK28" s="252"/>
      <c r="FVL28" s="252"/>
      <c r="FVM28" s="252"/>
      <c r="FVN28" s="252"/>
      <c r="FVO28" s="252"/>
      <c r="FVP28" s="252"/>
      <c r="FVQ28" s="252"/>
      <c r="FVR28" s="252"/>
      <c r="FVS28" s="252"/>
      <c r="FVT28" s="252"/>
      <c r="FVU28" s="252"/>
      <c r="FVV28" s="252"/>
      <c r="FVW28" s="252"/>
      <c r="FVX28" s="252"/>
      <c r="FVY28" s="252"/>
      <c r="FVZ28" s="252"/>
      <c r="FWA28" s="252"/>
      <c r="FWB28" s="252"/>
      <c r="FWC28" s="252"/>
      <c r="FWD28" s="252"/>
      <c r="FWE28" s="252"/>
      <c r="FWF28" s="252"/>
      <c r="FWG28" s="252"/>
      <c r="FWH28" s="252"/>
      <c r="FWI28" s="252"/>
      <c r="FWJ28" s="252"/>
      <c r="FWK28" s="252"/>
      <c r="FWL28" s="252"/>
      <c r="FWM28" s="252"/>
      <c r="FWN28" s="252"/>
      <c r="FWO28" s="252"/>
      <c r="FWP28" s="252"/>
      <c r="FWQ28" s="252"/>
      <c r="FWR28" s="252"/>
      <c r="FWS28" s="252"/>
      <c r="FWT28" s="252"/>
      <c r="FWU28" s="252"/>
      <c r="FWV28" s="252"/>
      <c r="FWW28" s="252"/>
      <c r="FWX28" s="252"/>
      <c r="FWY28" s="252"/>
      <c r="FWZ28" s="252"/>
      <c r="FXA28" s="252"/>
      <c r="FXB28" s="252"/>
      <c r="FXC28" s="252"/>
      <c r="FXD28" s="252"/>
      <c r="FXE28" s="252"/>
      <c r="FXF28" s="252"/>
      <c r="FXG28" s="252"/>
      <c r="FXH28" s="252"/>
      <c r="FXI28" s="252"/>
      <c r="FXJ28" s="252"/>
      <c r="FXK28" s="252"/>
      <c r="FXL28" s="252"/>
      <c r="FXM28" s="252"/>
      <c r="FXN28" s="252"/>
      <c r="FXO28" s="252"/>
      <c r="FXP28" s="252"/>
      <c r="FXQ28" s="252"/>
      <c r="FXR28" s="252"/>
      <c r="FXS28" s="252"/>
      <c r="FXT28" s="252"/>
      <c r="FXU28" s="252"/>
      <c r="FXV28" s="252"/>
      <c r="FXW28" s="252"/>
      <c r="FXX28" s="252"/>
      <c r="FXY28" s="252"/>
      <c r="FXZ28" s="252"/>
      <c r="FYA28" s="252"/>
      <c r="FYB28" s="252"/>
      <c r="FYC28" s="252"/>
      <c r="FYD28" s="252"/>
      <c r="FYE28" s="252"/>
      <c r="FYF28" s="252"/>
      <c r="FYG28" s="252"/>
      <c r="FYH28" s="252"/>
      <c r="FYI28" s="252"/>
      <c r="FYJ28" s="252"/>
      <c r="FYK28" s="252"/>
      <c r="FYL28" s="252"/>
      <c r="FYM28" s="252"/>
      <c r="FYN28" s="252"/>
      <c r="FYO28" s="252"/>
      <c r="FYP28" s="252"/>
      <c r="FYQ28" s="252"/>
      <c r="FYR28" s="252"/>
      <c r="FYS28" s="252"/>
      <c r="FYT28" s="252"/>
      <c r="FYU28" s="252"/>
      <c r="FYV28" s="252"/>
      <c r="FYW28" s="252"/>
      <c r="FYX28" s="252"/>
      <c r="FYY28" s="252"/>
      <c r="FYZ28" s="252"/>
      <c r="FZA28" s="252"/>
      <c r="FZB28" s="252"/>
      <c r="FZC28" s="252"/>
      <c r="FZD28" s="252"/>
      <c r="FZE28" s="252"/>
      <c r="FZF28" s="252"/>
      <c r="FZG28" s="252"/>
      <c r="FZH28" s="252"/>
      <c r="FZI28" s="252"/>
      <c r="FZJ28" s="252"/>
      <c r="FZK28" s="252"/>
      <c r="FZL28" s="252"/>
      <c r="FZM28" s="252"/>
      <c r="FZN28" s="252"/>
      <c r="FZO28" s="252"/>
      <c r="FZP28" s="252"/>
      <c r="FZQ28" s="252"/>
      <c r="FZR28" s="252"/>
      <c r="FZS28" s="252"/>
      <c r="FZT28" s="252"/>
      <c r="FZU28" s="252"/>
      <c r="FZV28" s="252"/>
      <c r="FZW28" s="252"/>
      <c r="FZX28" s="252"/>
      <c r="FZY28" s="252"/>
      <c r="FZZ28" s="252"/>
      <c r="GAA28" s="252"/>
      <c r="GAB28" s="252"/>
      <c r="GAC28" s="252"/>
      <c r="GAD28" s="252"/>
      <c r="GAE28" s="252"/>
      <c r="GAF28" s="252"/>
      <c r="GAG28" s="252"/>
      <c r="GAH28" s="252"/>
      <c r="GAI28" s="252"/>
      <c r="GAJ28" s="252"/>
      <c r="GAK28" s="252"/>
      <c r="GAL28" s="252"/>
      <c r="GAM28" s="252"/>
      <c r="GAN28" s="252"/>
      <c r="GAO28" s="252"/>
      <c r="GAP28" s="252"/>
      <c r="GAQ28" s="252"/>
      <c r="GAR28" s="252"/>
      <c r="GAS28" s="252"/>
      <c r="GAT28" s="252"/>
      <c r="GAU28" s="252"/>
      <c r="GAV28" s="252"/>
      <c r="GAW28" s="252"/>
      <c r="GAX28" s="252"/>
      <c r="GAY28" s="252"/>
      <c r="GAZ28" s="252"/>
      <c r="GBA28" s="252"/>
      <c r="GBB28" s="252"/>
      <c r="GBC28" s="252"/>
      <c r="GBD28" s="252"/>
      <c r="GBE28" s="252"/>
      <c r="GBF28" s="252"/>
      <c r="GBG28" s="252"/>
      <c r="GBH28" s="252"/>
      <c r="GBI28" s="252"/>
      <c r="GBJ28" s="252"/>
      <c r="GBK28" s="252"/>
      <c r="GBL28" s="252"/>
      <c r="GBM28" s="252"/>
      <c r="GBN28" s="252"/>
      <c r="GBO28" s="252"/>
      <c r="GBP28" s="252"/>
      <c r="GBQ28" s="252"/>
      <c r="GBR28" s="252"/>
      <c r="GBS28" s="252"/>
      <c r="GBT28" s="252"/>
      <c r="GBU28" s="252"/>
      <c r="GBV28" s="252"/>
      <c r="GBW28" s="252"/>
      <c r="GBX28" s="252"/>
      <c r="GBY28" s="252"/>
      <c r="GBZ28" s="252"/>
      <c r="GCA28" s="252"/>
      <c r="GCB28" s="252"/>
      <c r="GCC28" s="252"/>
      <c r="GCD28" s="252"/>
      <c r="GCE28" s="252"/>
      <c r="GCF28" s="252"/>
      <c r="GCG28" s="252"/>
      <c r="GCH28" s="252"/>
      <c r="GCI28" s="252"/>
      <c r="GCJ28" s="252"/>
      <c r="GCK28" s="252"/>
      <c r="GCL28" s="252"/>
      <c r="GCM28" s="252"/>
      <c r="GCN28" s="252"/>
      <c r="GCO28" s="252"/>
      <c r="GCP28" s="252"/>
      <c r="GCQ28" s="252"/>
      <c r="GCR28" s="252"/>
      <c r="GCS28" s="252"/>
      <c r="GCT28" s="252"/>
      <c r="GCU28" s="252"/>
      <c r="GCV28" s="252"/>
      <c r="GCW28" s="252"/>
      <c r="GCX28" s="252"/>
      <c r="GCY28" s="252"/>
      <c r="GCZ28" s="252"/>
      <c r="GDA28" s="252"/>
      <c r="GDB28" s="252"/>
      <c r="GDC28" s="252"/>
      <c r="GDD28" s="252"/>
      <c r="GDE28" s="252"/>
      <c r="GDF28" s="252"/>
      <c r="GDG28" s="252"/>
      <c r="GDH28" s="252"/>
      <c r="GDI28" s="252"/>
      <c r="GDJ28" s="252"/>
      <c r="GDK28" s="252"/>
      <c r="GDL28" s="252"/>
      <c r="GDM28" s="252"/>
      <c r="GDN28" s="252"/>
      <c r="GDO28" s="252"/>
      <c r="GDP28" s="252"/>
      <c r="GDQ28" s="252"/>
      <c r="GDR28" s="252"/>
      <c r="GDS28" s="252"/>
      <c r="GDT28" s="252"/>
      <c r="GDU28" s="252"/>
      <c r="GDV28" s="252"/>
      <c r="GDW28" s="252"/>
      <c r="GDX28" s="252"/>
      <c r="GDY28" s="252"/>
      <c r="GDZ28" s="252"/>
      <c r="GEA28" s="252"/>
      <c r="GEB28" s="252"/>
      <c r="GEC28" s="252"/>
      <c r="GED28" s="252"/>
      <c r="GEE28" s="252"/>
      <c r="GEF28" s="252"/>
      <c r="GEG28" s="252"/>
      <c r="GEH28" s="252"/>
      <c r="GEI28" s="252"/>
      <c r="GEJ28" s="252"/>
      <c r="GEK28" s="252"/>
      <c r="GEL28" s="252"/>
      <c r="GEM28" s="252"/>
      <c r="GEN28" s="252"/>
      <c r="GEO28" s="252"/>
      <c r="GEP28" s="252"/>
      <c r="GEQ28" s="252"/>
      <c r="GER28" s="252"/>
      <c r="GES28" s="252"/>
      <c r="GET28" s="252"/>
      <c r="GEU28" s="252"/>
      <c r="GEV28" s="252"/>
      <c r="GEW28" s="252"/>
      <c r="GEX28" s="252"/>
      <c r="GEY28" s="252"/>
      <c r="GEZ28" s="252"/>
      <c r="GFA28" s="252"/>
      <c r="GFB28" s="252"/>
      <c r="GFC28" s="252"/>
      <c r="GFD28" s="252"/>
      <c r="GFE28" s="252"/>
      <c r="GFF28" s="252"/>
      <c r="GFG28" s="252"/>
      <c r="GFH28" s="252"/>
      <c r="GFI28" s="252"/>
      <c r="GFJ28" s="252"/>
      <c r="GFK28" s="252"/>
      <c r="GFL28" s="252"/>
      <c r="GFM28" s="252"/>
      <c r="GFN28" s="252"/>
      <c r="GFO28" s="252"/>
      <c r="GFP28" s="252"/>
      <c r="GFQ28" s="252"/>
      <c r="GFR28" s="252"/>
      <c r="GFS28" s="252"/>
      <c r="GFT28" s="252"/>
      <c r="GFU28" s="252"/>
      <c r="GFV28" s="252"/>
      <c r="GFW28" s="252"/>
      <c r="GFX28" s="252"/>
      <c r="GFY28" s="252"/>
      <c r="GFZ28" s="252"/>
      <c r="GGA28" s="252"/>
      <c r="GGB28" s="252"/>
      <c r="GGC28" s="252"/>
      <c r="GGD28" s="252"/>
      <c r="GGE28" s="252"/>
      <c r="GGF28" s="252"/>
      <c r="GGG28" s="252"/>
      <c r="GGH28" s="252"/>
      <c r="GGI28" s="252"/>
      <c r="GGJ28" s="252"/>
      <c r="GGK28" s="252"/>
      <c r="GGL28" s="252"/>
      <c r="GGM28" s="252"/>
      <c r="GGN28" s="252"/>
      <c r="GGO28" s="252"/>
      <c r="GGP28" s="252"/>
      <c r="GGQ28" s="252"/>
      <c r="GGR28" s="252"/>
      <c r="GGS28" s="252"/>
      <c r="GGT28" s="252"/>
      <c r="GGU28" s="252"/>
      <c r="GGV28" s="252"/>
      <c r="GGW28" s="252"/>
      <c r="GGX28" s="252"/>
      <c r="GGY28" s="252"/>
      <c r="GGZ28" s="252"/>
      <c r="GHA28" s="252"/>
      <c r="GHB28" s="252"/>
      <c r="GHC28" s="252"/>
      <c r="GHD28" s="252"/>
      <c r="GHE28" s="252"/>
      <c r="GHF28" s="252"/>
      <c r="GHG28" s="252"/>
      <c r="GHH28" s="252"/>
      <c r="GHI28" s="252"/>
      <c r="GHJ28" s="252"/>
      <c r="GHK28" s="252"/>
      <c r="GHL28" s="252"/>
      <c r="GHM28" s="252"/>
      <c r="GHN28" s="252"/>
      <c r="GHO28" s="252"/>
      <c r="GHP28" s="252"/>
      <c r="GHQ28" s="252"/>
      <c r="GHR28" s="252"/>
      <c r="GHS28" s="252"/>
      <c r="GHT28" s="252"/>
      <c r="GHU28" s="252"/>
      <c r="GHV28" s="252"/>
      <c r="GHW28" s="252"/>
      <c r="GHX28" s="252"/>
      <c r="GHY28" s="252"/>
      <c r="GHZ28" s="252"/>
      <c r="GIA28" s="252"/>
      <c r="GIB28" s="252"/>
      <c r="GIC28" s="252"/>
      <c r="GID28" s="252"/>
      <c r="GIE28" s="252"/>
      <c r="GIF28" s="252"/>
      <c r="GIG28" s="252"/>
      <c r="GIH28" s="252"/>
      <c r="GII28" s="252"/>
      <c r="GIJ28" s="252"/>
      <c r="GIK28" s="252"/>
      <c r="GIL28" s="252"/>
      <c r="GIM28" s="252"/>
      <c r="GIN28" s="252"/>
      <c r="GIO28" s="252"/>
      <c r="GIP28" s="252"/>
      <c r="GIQ28" s="252"/>
      <c r="GIR28" s="252"/>
      <c r="GIS28" s="252"/>
      <c r="GIT28" s="252"/>
      <c r="GIU28" s="252"/>
      <c r="GIV28" s="252"/>
      <c r="GIW28" s="252"/>
      <c r="GIX28" s="252"/>
      <c r="GIY28" s="252"/>
      <c r="GIZ28" s="252"/>
      <c r="GJA28" s="252"/>
      <c r="GJB28" s="252"/>
      <c r="GJC28" s="252"/>
      <c r="GJD28" s="252"/>
      <c r="GJE28" s="252"/>
      <c r="GJF28" s="252"/>
      <c r="GJG28" s="252"/>
      <c r="GJH28" s="252"/>
      <c r="GJI28" s="252"/>
      <c r="GJJ28" s="252"/>
      <c r="GJK28" s="252"/>
      <c r="GJL28" s="252"/>
      <c r="GJM28" s="252"/>
      <c r="GJN28" s="252"/>
      <c r="GJO28" s="252"/>
      <c r="GJP28" s="252"/>
      <c r="GJQ28" s="252"/>
      <c r="GJR28" s="252"/>
      <c r="GJS28" s="252"/>
      <c r="GJT28" s="252"/>
      <c r="GJU28" s="252"/>
      <c r="GJV28" s="252"/>
      <c r="GJW28" s="252"/>
      <c r="GJX28" s="252"/>
      <c r="GJY28" s="252"/>
      <c r="GJZ28" s="252"/>
      <c r="GKA28" s="252"/>
      <c r="GKB28" s="252"/>
      <c r="GKC28" s="252"/>
      <c r="GKD28" s="252"/>
      <c r="GKE28" s="252"/>
      <c r="GKF28" s="252"/>
      <c r="GKG28" s="252"/>
      <c r="GKH28" s="252"/>
      <c r="GKI28" s="252"/>
      <c r="GKJ28" s="252"/>
      <c r="GKK28" s="252"/>
      <c r="GKL28" s="252"/>
      <c r="GKM28" s="252"/>
      <c r="GKN28" s="252"/>
      <c r="GKO28" s="252"/>
      <c r="GKP28" s="252"/>
      <c r="GKQ28" s="252"/>
      <c r="GKR28" s="252"/>
      <c r="GKS28" s="252"/>
      <c r="GKT28" s="252"/>
      <c r="GKU28" s="252"/>
      <c r="GKV28" s="252"/>
      <c r="GKW28" s="252"/>
      <c r="GKX28" s="252"/>
      <c r="GKY28" s="252"/>
      <c r="GKZ28" s="252"/>
      <c r="GLA28" s="252"/>
      <c r="GLB28" s="252"/>
      <c r="GLC28" s="252"/>
      <c r="GLD28" s="252"/>
      <c r="GLE28" s="252"/>
      <c r="GLF28" s="252"/>
      <c r="GLG28" s="252"/>
      <c r="GLH28" s="252"/>
      <c r="GLI28" s="252"/>
      <c r="GLJ28" s="252"/>
      <c r="GLK28" s="252"/>
      <c r="GLL28" s="252"/>
      <c r="GLM28" s="252"/>
      <c r="GLN28" s="252"/>
      <c r="GLO28" s="252"/>
      <c r="GLP28" s="252"/>
      <c r="GLQ28" s="252"/>
      <c r="GLR28" s="252"/>
      <c r="GLS28" s="252"/>
      <c r="GLT28" s="252"/>
      <c r="GLU28" s="252"/>
      <c r="GLV28" s="252"/>
      <c r="GLW28" s="252"/>
      <c r="GLX28" s="252"/>
      <c r="GLY28" s="252"/>
      <c r="GLZ28" s="252"/>
      <c r="GMA28" s="252"/>
      <c r="GMB28" s="252"/>
      <c r="GMC28" s="252"/>
      <c r="GMD28" s="252"/>
      <c r="GME28" s="252"/>
      <c r="GMF28" s="252"/>
      <c r="GMG28" s="252"/>
      <c r="GMH28" s="252"/>
      <c r="GMI28" s="252"/>
      <c r="GMJ28" s="252"/>
      <c r="GMK28" s="252"/>
      <c r="GML28" s="252"/>
      <c r="GMM28" s="252"/>
      <c r="GMN28" s="252"/>
      <c r="GMO28" s="252"/>
      <c r="GMP28" s="252"/>
      <c r="GMQ28" s="252"/>
      <c r="GMR28" s="252"/>
      <c r="GMS28" s="252"/>
      <c r="GMT28" s="252"/>
      <c r="GMU28" s="252"/>
      <c r="GMV28" s="252"/>
      <c r="GMW28" s="252"/>
      <c r="GMX28" s="252"/>
      <c r="GMY28" s="252"/>
      <c r="GMZ28" s="252"/>
      <c r="GNA28" s="252"/>
      <c r="GNB28" s="252"/>
      <c r="GNC28" s="252"/>
      <c r="GND28" s="252"/>
      <c r="GNE28" s="252"/>
      <c r="GNF28" s="252"/>
      <c r="GNG28" s="252"/>
      <c r="GNH28" s="252"/>
      <c r="GNI28" s="252"/>
      <c r="GNJ28" s="252"/>
      <c r="GNK28" s="252"/>
      <c r="GNL28" s="252"/>
      <c r="GNM28" s="252"/>
      <c r="GNN28" s="252"/>
      <c r="GNO28" s="252"/>
      <c r="GNP28" s="252"/>
      <c r="GNQ28" s="252"/>
      <c r="GNR28" s="252"/>
      <c r="GNS28" s="252"/>
      <c r="GNT28" s="252"/>
      <c r="GNU28" s="252"/>
      <c r="GNV28" s="252"/>
      <c r="GNW28" s="252"/>
      <c r="GNX28" s="252"/>
      <c r="GNY28" s="252"/>
      <c r="GNZ28" s="252"/>
      <c r="GOA28" s="252"/>
      <c r="GOB28" s="252"/>
      <c r="GOC28" s="252"/>
      <c r="GOD28" s="252"/>
      <c r="GOE28" s="252"/>
      <c r="GOF28" s="252"/>
      <c r="GOG28" s="252"/>
      <c r="GOH28" s="252"/>
      <c r="GOI28" s="252"/>
      <c r="GOJ28" s="252"/>
      <c r="GOK28" s="252"/>
      <c r="GOL28" s="252"/>
      <c r="GOM28" s="252"/>
      <c r="GON28" s="252"/>
      <c r="GOO28" s="252"/>
      <c r="GOP28" s="252"/>
      <c r="GOQ28" s="252"/>
      <c r="GOR28" s="252"/>
      <c r="GOS28" s="252"/>
      <c r="GOT28" s="252"/>
      <c r="GOU28" s="252"/>
      <c r="GOV28" s="252"/>
      <c r="GOW28" s="252"/>
      <c r="GOX28" s="252"/>
      <c r="GOY28" s="252"/>
      <c r="GOZ28" s="252"/>
      <c r="GPA28" s="252"/>
      <c r="GPB28" s="252"/>
      <c r="GPC28" s="252"/>
      <c r="GPD28" s="252"/>
      <c r="GPE28" s="252"/>
      <c r="GPF28" s="252"/>
      <c r="GPG28" s="252"/>
      <c r="GPH28" s="252"/>
      <c r="GPI28" s="252"/>
      <c r="GPJ28" s="252"/>
      <c r="GPK28" s="252"/>
      <c r="GPL28" s="252"/>
      <c r="GPM28" s="252"/>
      <c r="GPN28" s="252"/>
      <c r="GPO28" s="252"/>
      <c r="GPP28" s="252"/>
      <c r="GPQ28" s="252"/>
      <c r="GPR28" s="252"/>
      <c r="GPS28" s="252"/>
      <c r="GPT28" s="252"/>
      <c r="GPU28" s="252"/>
      <c r="GPV28" s="252"/>
      <c r="GPW28" s="252"/>
      <c r="GPX28" s="252"/>
      <c r="GPY28" s="252"/>
      <c r="GPZ28" s="252"/>
      <c r="GQA28" s="252"/>
      <c r="GQB28" s="252"/>
      <c r="GQC28" s="252"/>
      <c r="GQD28" s="252"/>
      <c r="GQE28" s="252"/>
      <c r="GQF28" s="252"/>
      <c r="GQG28" s="252"/>
      <c r="GQH28" s="252"/>
      <c r="GQI28" s="252"/>
      <c r="GQJ28" s="252"/>
      <c r="GQK28" s="252"/>
      <c r="GQL28" s="252"/>
      <c r="GQM28" s="252"/>
      <c r="GQN28" s="252"/>
      <c r="GQO28" s="252"/>
      <c r="GQP28" s="252"/>
      <c r="GQQ28" s="252"/>
      <c r="GQR28" s="252"/>
      <c r="GQS28" s="252"/>
      <c r="GQT28" s="252"/>
      <c r="GQU28" s="252"/>
      <c r="GQV28" s="252"/>
      <c r="GQW28" s="252"/>
      <c r="GQX28" s="252"/>
      <c r="GQY28" s="252"/>
      <c r="GQZ28" s="252"/>
      <c r="GRA28" s="252"/>
      <c r="GRB28" s="252"/>
      <c r="GRC28" s="252"/>
      <c r="GRD28" s="252"/>
      <c r="GRE28" s="252"/>
      <c r="GRF28" s="252"/>
      <c r="GRG28" s="252"/>
      <c r="GRH28" s="252"/>
      <c r="GRI28" s="252"/>
      <c r="GRJ28" s="252"/>
      <c r="GRK28" s="252"/>
      <c r="GRL28" s="252"/>
      <c r="GRM28" s="252"/>
      <c r="GRN28" s="252"/>
      <c r="GRO28" s="252"/>
      <c r="GRP28" s="252"/>
      <c r="GRQ28" s="252"/>
      <c r="GRR28" s="252"/>
      <c r="GRS28" s="252"/>
      <c r="GRT28" s="252"/>
      <c r="GRU28" s="252"/>
      <c r="GRV28" s="252"/>
      <c r="GRW28" s="252"/>
      <c r="GRX28" s="252"/>
      <c r="GRY28" s="252"/>
      <c r="GRZ28" s="252"/>
      <c r="GSA28" s="252"/>
      <c r="GSB28" s="252"/>
      <c r="GSC28" s="252"/>
      <c r="GSD28" s="252"/>
      <c r="GSE28" s="252"/>
      <c r="GSF28" s="252"/>
      <c r="GSG28" s="252"/>
      <c r="GSH28" s="252"/>
      <c r="GSI28" s="252"/>
      <c r="GSJ28" s="252"/>
      <c r="GSK28" s="252"/>
      <c r="GSL28" s="252"/>
      <c r="GSM28" s="252"/>
      <c r="GSN28" s="252"/>
      <c r="GSO28" s="252"/>
      <c r="GSP28" s="252"/>
      <c r="GSQ28" s="252"/>
      <c r="GSR28" s="252"/>
      <c r="GSS28" s="252"/>
      <c r="GST28" s="252"/>
      <c r="GSU28" s="252"/>
      <c r="GSV28" s="252"/>
      <c r="GSW28" s="252"/>
      <c r="GSX28" s="252"/>
      <c r="GSY28" s="252"/>
      <c r="GSZ28" s="252"/>
      <c r="GTA28" s="252"/>
      <c r="GTB28" s="252"/>
      <c r="GTC28" s="252"/>
      <c r="GTD28" s="252"/>
      <c r="GTE28" s="252"/>
      <c r="GTF28" s="252"/>
      <c r="GTG28" s="252"/>
      <c r="GTH28" s="252"/>
      <c r="GTI28" s="252"/>
      <c r="GTJ28" s="252"/>
      <c r="GTK28" s="252"/>
      <c r="GTL28" s="252"/>
      <c r="GTM28" s="252"/>
      <c r="GTN28" s="252"/>
      <c r="GTO28" s="252"/>
      <c r="GTP28" s="252"/>
      <c r="GTQ28" s="252"/>
      <c r="GTR28" s="252"/>
      <c r="GTS28" s="252"/>
      <c r="GTT28" s="252"/>
      <c r="GTU28" s="252"/>
      <c r="GTV28" s="252"/>
      <c r="GTW28" s="252"/>
      <c r="GTX28" s="252"/>
      <c r="GTY28" s="252"/>
      <c r="GTZ28" s="252"/>
      <c r="GUA28" s="252"/>
      <c r="GUB28" s="252"/>
      <c r="GUC28" s="252"/>
      <c r="GUD28" s="252"/>
      <c r="GUE28" s="252"/>
      <c r="GUF28" s="252"/>
      <c r="GUG28" s="252"/>
      <c r="GUH28" s="252"/>
      <c r="GUI28" s="252"/>
      <c r="GUJ28" s="252"/>
      <c r="GUK28" s="252"/>
      <c r="GUL28" s="252"/>
      <c r="GUM28" s="252"/>
      <c r="GUN28" s="252"/>
      <c r="GUO28" s="252"/>
      <c r="GUP28" s="252"/>
      <c r="GUQ28" s="252"/>
      <c r="GUR28" s="252"/>
      <c r="GUS28" s="252"/>
      <c r="GUT28" s="252"/>
      <c r="GUU28" s="252"/>
      <c r="GUV28" s="252"/>
      <c r="GUW28" s="252"/>
      <c r="GUX28" s="252"/>
      <c r="GUY28" s="252"/>
      <c r="GUZ28" s="252"/>
      <c r="GVA28" s="252"/>
      <c r="GVB28" s="252"/>
      <c r="GVC28" s="252"/>
      <c r="GVD28" s="252"/>
      <c r="GVE28" s="252"/>
      <c r="GVF28" s="252"/>
      <c r="GVG28" s="252"/>
      <c r="GVH28" s="252"/>
      <c r="GVI28" s="252"/>
      <c r="GVJ28" s="252"/>
      <c r="GVK28" s="252"/>
      <c r="GVL28" s="252"/>
      <c r="GVM28" s="252"/>
      <c r="GVN28" s="252"/>
      <c r="GVO28" s="252"/>
      <c r="GVP28" s="252"/>
      <c r="GVQ28" s="252"/>
      <c r="GVR28" s="252"/>
      <c r="GVS28" s="252"/>
      <c r="GVT28" s="252"/>
      <c r="GVU28" s="252"/>
      <c r="GVV28" s="252"/>
      <c r="GVW28" s="252"/>
      <c r="GVX28" s="252"/>
      <c r="GVY28" s="252"/>
      <c r="GVZ28" s="252"/>
      <c r="GWA28" s="252"/>
      <c r="GWB28" s="252"/>
      <c r="GWC28" s="252"/>
      <c r="GWD28" s="252"/>
      <c r="GWE28" s="252"/>
      <c r="GWF28" s="252"/>
      <c r="GWG28" s="252"/>
      <c r="GWH28" s="252"/>
      <c r="GWI28" s="252"/>
      <c r="GWJ28" s="252"/>
      <c r="GWK28" s="252"/>
      <c r="GWL28" s="252"/>
      <c r="GWM28" s="252"/>
      <c r="GWN28" s="252"/>
      <c r="GWO28" s="252"/>
      <c r="GWP28" s="252"/>
      <c r="GWQ28" s="252"/>
      <c r="GWR28" s="252"/>
      <c r="GWS28" s="252"/>
      <c r="GWT28" s="252"/>
      <c r="GWU28" s="252"/>
      <c r="GWV28" s="252"/>
      <c r="GWW28" s="252"/>
      <c r="GWX28" s="252"/>
      <c r="GWY28" s="252"/>
      <c r="GWZ28" s="252"/>
      <c r="GXA28" s="252"/>
      <c r="GXB28" s="252"/>
      <c r="GXC28" s="252"/>
      <c r="GXD28" s="252"/>
      <c r="GXE28" s="252"/>
      <c r="GXF28" s="252"/>
      <c r="GXG28" s="252"/>
      <c r="GXH28" s="252"/>
      <c r="GXI28" s="252"/>
      <c r="GXJ28" s="252"/>
      <c r="GXK28" s="252"/>
      <c r="GXL28" s="252"/>
      <c r="GXM28" s="252"/>
      <c r="GXN28" s="252"/>
      <c r="GXO28" s="252"/>
      <c r="GXP28" s="252"/>
      <c r="GXQ28" s="252"/>
      <c r="GXR28" s="252"/>
      <c r="GXS28" s="252"/>
      <c r="GXT28" s="252"/>
      <c r="GXU28" s="252"/>
      <c r="GXV28" s="252"/>
      <c r="GXW28" s="252"/>
      <c r="GXX28" s="252"/>
      <c r="GXY28" s="252"/>
      <c r="GXZ28" s="252"/>
      <c r="GYA28" s="252"/>
      <c r="GYB28" s="252"/>
      <c r="GYC28" s="252"/>
      <c r="GYD28" s="252"/>
      <c r="GYE28" s="252"/>
      <c r="GYF28" s="252"/>
      <c r="GYG28" s="252"/>
      <c r="GYH28" s="252"/>
      <c r="GYI28" s="252"/>
      <c r="GYJ28" s="252"/>
      <c r="GYK28" s="252"/>
      <c r="GYL28" s="252"/>
      <c r="GYM28" s="252"/>
      <c r="GYN28" s="252"/>
      <c r="GYO28" s="252"/>
      <c r="GYP28" s="252"/>
      <c r="GYQ28" s="252"/>
      <c r="GYR28" s="252"/>
      <c r="GYS28" s="252"/>
      <c r="GYT28" s="252"/>
      <c r="GYU28" s="252"/>
      <c r="GYV28" s="252"/>
      <c r="GYW28" s="252"/>
      <c r="GYX28" s="252"/>
      <c r="GYY28" s="252"/>
      <c r="GYZ28" s="252"/>
      <c r="GZA28" s="252"/>
      <c r="GZB28" s="252"/>
      <c r="GZC28" s="252"/>
      <c r="GZD28" s="252"/>
      <c r="GZE28" s="252"/>
      <c r="GZF28" s="252"/>
      <c r="GZG28" s="252"/>
      <c r="GZH28" s="252"/>
      <c r="GZI28" s="252"/>
      <c r="GZJ28" s="252"/>
      <c r="GZK28" s="252"/>
      <c r="GZL28" s="252"/>
      <c r="GZM28" s="252"/>
      <c r="GZN28" s="252"/>
      <c r="GZO28" s="252"/>
      <c r="GZP28" s="252"/>
      <c r="GZQ28" s="252"/>
      <c r="GZR28" s="252"/>
      <c r="GZS28" s="252"/>
      <c r="GZT28" s="252"/>
      <c r="GZU28" s="252"/>
      <c r="GZV28" s="252"/>
      <c r="GZW28" s="252"/>
      <c r="GZX28" s="252"/>
      <c r="GZY28" s="252"/>
      <c r="GZZ28" s="252"/>
      <c r="HAA28" s="252"/>
      <c r="HAB28" s="252"/>
      <c r="HAC28" s="252"/>
      <c r="HAD28" s="252"/>
      <c r="HAE28" s="252"/>
      <c r="HAF28" s="252"/>
      <c r="HAG28" s="252"/>
      <c r="HAH28" s="252"/>
      <c r="HAI28" s="252"/>
      <c r="HAJ28" s="252"/>
      <c r="HAK28" s="252"/>
      <c r="HAL28" s="252"/>
      <c r="HAM28" s="252"/>
      <c r="HAN28" s="252"/>
      <c r="HAO28" s="252"/>
      <c r="HAP28" s="252"/>
      <c r="HAQ28" s="252"/>
      <c r="HAR28" s="252"/>
      <c r="HAS28" s="252"/>
      <c r="HAT28" s="252"/>
      <c r="HAU28" s="252"/>
      <c r="HAV28" s="252"/>
      <c r="HAW28" s="252"/>
      <c r="HAX28" s="252"/>
      <c r="HAY28" s="252"/>
      <c r="HAZ28" s="252"/>
      <c r="HBA28" s="252"/>
      <c r="HBB28" s="252"/>
      <c r="HBC28" s="252"/>
      <c r="HBD28" s="252"/>
      <c r="HBE28" s="252"/>
      <c r="HBF28" s="252"/>
      <c r="HBG28" s="252"/>
      <c r="HBH28" s="252"/>
      <c r="HBI28" s="252"/>
      <c r="HBJ28" s="252"/>
      <c r="HBK28" s="252"/>
      <c r="HBL28" s="252"/>
      <c r="HBM28" s="252"/>
      <c r="HBN28" s="252"/>
      <c r="HBO28" s="252"/>
      <c r="HBP28" s="252"/>
      <c r="HBQ28" s="252"/>
      <c r="HBR28" s="252"/>
      <c r="HBS28" s="252"/>
      <c r="HBT28" s="252"/>
      <c r="HBU28" s="252"/>
      <c r="HBV28" s="252"/>
      <c r="HBW28" s="252"/>
      <c r="HBX28" s="252"/>
      <c r="HBY28" s="252"/>
      <c r="HBZ28" s="252"/>
      <c r="HCA28" s="252"/>
      <c r="HCB28" s="252"/>
      <c r="HCC28" s="252"/>
      <c r="HCD28" s="252"/>
      <c r="HCE28" s="252"/>
      <c r="HCF28" s="252"/>
      <c r="HCG28" s="252"/>
      <c r="HCH28" s="252"/>
      <c r="HCI28" s="252"/>
      <c r="HCJ28" s="252"/>
      <c r="HCK28" s="252"/>
      <c r="HCL28" s="252"/>
      <c r="HCM28" s="252"/>
      <c r="HCN28" s="252"/>
      <c r="HCO28" s="252"/>
      <c r="HCP28" s="252"/>
      <c r="HCQ28" s="252"/>
      <c r="HCR28" s="252"/>
      <c r="HCS28" s="252"/>
      <c r="HCT28" s="252"/>
      <c r="HCU28" s="252"/>
      <c r="HCV28" s="252"/>
      <c r="HCW28" s="252"/>
      <c r="HCX28" s="252"/>
      <c r="HCY28" s="252"/>
      <c r="HCZ28" s="252"/>
      <c r="HDA28" s="252"/>
      <c r="HDB28" s="252"/>
      <c r="HDC28" s="252"/>
      <c r="HDD28" s="252"/>
      <c r="HDE28" s="252"/>
      <c r="HDF28" s="252"/>
      <c r="HDG28" s="252"/>
      <c r="HDH28" s="252"/>
      <c r="HDI28" s="252"/>
      <c r="HDJ28" s="252"/>
      <c r="HDK28" s="252"/>
      <c r="HDL28" s="252"/>
      <c r="HDM28" s="252"/>
      <c r="HDN28" s="252"/>
      <c r="HDO28" s="252"/>
      <c r="HDP28" s="252"/>
      <c r="HDQ28" s="252"/>
      <c r="HDR28" s="252"/>
      <c r="HDS28" s="252"/>
      <c r="HDT28" s="252"/>
      <c r="HDU28" s="252"/>
      <c r="HDV28" s="252"/>
      <c r="HDW28" s="252"/>
      <c r="HDX28" s="252"/>
      <c r="HDY28" s="252"/>
      <c r="HDZ28" s="252"/>
      <c r="HEA28" s="252"/>
      <c r="HEB28" s="252"/>
      <c r="HEC28" s="252"/>
      <c r="HED28" s="252"/>
      <c r="HEE28" s="252"/>
      <c r="HEF28" s="252"/>
      <c r="HEG28" s="252"/>
      <c r="HEH28" s="252"/>
      <c r="HEI28" s="252"/>
      <c r="HEJ28" s="252"/>
      <c r="HEK28" s="252"/>
      <c r="HEL28" s="252"/>
      <c r="HEM28" s="252"/>
      <c r="HEN28" s="252"/>
      <c r="HEO28" s="252"/>
      <c r="HEP28" s="252"/>
      <c r="HEQ28" s="252"/>
      <c r="HER28" s="252"/>
      <c r="HES28" s="252"/>
      <c r="HET28" s="252"/>
      <c r="HEU28" s="252"/>
      <c r="HEV28" s="252"/>
      <c r="HEW28" s="252"/>
      <c r="HEX28" s="252"/>
      <c r="HEY28" s="252"/>
      <c r="HEZ28" s="252"/>
      <c r="HFA28" s="252"/>
      <c r="HFB28" s="252"/>
      <c r="HFC28" s="252"/>
      <c r="HFD28" s="252"/>
      <c r="HFE28" s="252"/>
      <c r="HFF28" s="252"/>
      <c r="HFG28" s="252"/>
      <c r="HFH28" s="252"/>
      <c r="HFI28" s="252"/>
      <c r="HFJ28" s="252"/>
      <c r="HFK28" s="252"/>
      <c r="HFL28" s="252"/>
      <c r="HFM28" s="252"/>
      <c r="HFN28" s="252"/>
      <c r="HFO28" s="252"/>
      <c r="HFP28" s="252"/>
      <c r="HFQ28" s="252"/>
      <c r="HFR28" s="252"/>
      <c r="HFS28" s="252"/>
      <c r="HFT28" s="252"/>
      <c r="HFU28" s="252"/>
      <c r="HFV28" s="252"/>
      <c r="HFW28" s="252"/>
      <c r="HFX28" s="252"/>
      <c r="HFY28" s="252"/>
      <c r="HFZ28" s="252"/>
      <c r="HGA28" s="252"/>
      <c r="HGB28" s="252"/>
      <c r="HGC28" s="252"/>
      <c r="HGD28" s="252"/>
      <c r="HGE28" s="252"/>
      <c r="HGF28" s="252"/>
      <c r="HGG28" s="252"/>
      <c r="HGH28" s="252"/>
      <c r="HGI28" s="252"/>
      <c r="HGJ28" s="252"/>
      <c r="HGK28" s="252"/>
      <c r="HGL28" s="252"/>
      <c r="HGM28" s="252"/>
      <c r="HGN28" s="252"/>
      <c r="HGO28" s="252"/>
      <c r="HGP28" s="252"/>
      <c r="HGQ28" s="252"/>
      <c r="HGR28" s="252"/>
      <c r="HGS28" s="252"/>
      <c r="HGT28" s="252"/>
      <c r="HGU28" s="252"/>
      <c r="HGV28" s="252"/>
      <c r="HGW28" s="252"/>
      <c r="HGX28" s="252"/>
      <c r="HGY28" s="252"/>
      <c r="HGZ28" s="252"/>
      <c r="HHA28" s="252"/>
      <c r="HHB28" s="252"/>
      <c r="HHC28" s="252"/>
      <c r="HHD28" s="252"/>
      <c r="HHE28" s="252"/>
      <c r="HHF28" s="252"/>
      <c r="HHG28" s="252"/>
      <c r="HHH28" s="252"/>
      <c r="HHI28" s="252"/>
      <c r="HHJ28" s="252"/>
      <c r="HHK28" s="252"/>
      <c r="HHL28" s="252"/>
      <c r="HHM28" s="252"/>
      <c r="HHN28" s="252"/>
      <c r="HHO28" s="252"/>
      <c r="HHP28" s="252"/>
      <c r="HHQ28" s="252"/>
      <c r="HHR28" s="252"/>
      <c r="HHS28" s="252"/>
      <c r="HHT28" s="252"/>
      <c r="HHU28" s="252"/>
      <c r="HHV28" s="252"/>
      <c r="HHW28" s="252"/>
      <c r="HHX28" s="252"/>
      <c r="HHY28" s="252"/>
      <c r="HHZ28" s="252"/>
      <c r="HIA28" s="252"/>
      <c r="HIB28" s="252"/>
      <c r="HIC28" s="252"/>
      <c r="HID28" s="252"/>
      <c r="HIE28" s="252"/>
      <c r="HIF28" s="252"/>
      <c r="HIG28" s="252"/>
      <c r="HIH28" s="252"/>
      <c r="HII28" s="252"/>
      <c r="HIJ28" s="252"/>
      <c r="HIK28" s="252"/>
      <c r="HIL28" s="252"/>
      <c r="HIM28" s="252"/>
      <c r="HIN28" s="252"/>
      <c r="HIO28" s="252"/>
      <c r="HIP28" s="252"/>
      <c r="HIQ28" s="252"/>
      <c r="HIR28" s="252"/>
      <c r="HIS28" s="252"/>
      <c r="HIT28" s="252"/>
      <c r="HIU28" s="252"/>
      <c r="HIV28" s="252"/>
      <c r="HIW28" s="252"/>
      <c r="HIX28" s="252"/>
      <c r="HIY28" s="252"/>
      <c r="HIZ28" s="252"/>
      <c r="HJA28" s="252"/>
      <c r="HJB28" s="252"/>
      <c r="HJC28" s="252"/>
      <c r="HJD28" s="252"/>
      <c r="HJE28" s="252"/>
      <c r="HJF28" s="252"/>
      <c r="HJG28" s="252"/>
      <c r="HJH28" s="252"/>
      <c r="HJI28" s="252"/>
      <c r="HJJ28" s="252"/>
      <c r="HJK28" s="252"/>
      <c r="HJL28" s="252"/>
      <c r="HJM28" s="252"/>
      <c r="HJN28" s="252"/>
      <c r="HJO28" s="252"/>
      <c r="HJP28" s="252"/>
      <c r="HJQ28" s="252"/>
      <c r="HJR28" s="252"/>
      <c r="HJS28" s="252"/>
      <c r="HJT28" s="252"/>
      <c r="HJU28" s="252"/>
      <c r="HJV28" s="252"/>
      <c r="HJW28" s="252"/>
      <c r="HJX28" s="252"/>
      <c r="HJY28" s="252"/>
      <c r="HJZ28" s="252"/>
      <c r="HKA28" s="252"/>
      <c r="HKB28" s="252"/>
      <c r="HKC28" s="252"/>
      <c r="HKD28" s="252"/>
      <c r="HKE28" s="252"/>
      <c r="HKF28" s="252"/>
      <c r="HKG28" s="252"/>
      <c r="HKH28" s="252"/>
      <c r="HKI28" s="252"/>
      <c r="HKJ28" s="252"/>
      <c r="HKK28" s="252"/>
      <c r="HKL28" s="252"/>
      <c r="HKM28" s="252"/>
      <c r="HKN28" s="252"/>
      <c r="HKO28" s="252"/>
      <c r="HKP28" s="252"/>
      <c r="HKQ28" s="252"/>
      <c r="HKR28" s="252"/>
      <c r="HKS28" s="252"/>
      <c r="HKT28" s="252"/>
      <c r="HKU28" s="252"/>
      <c r="HKV28" s="252"/>
      <c r="HKW28" s="252"/>
      <c r="HKX28" s="252"/>
      <c r="HKY28" s="252"/>
      <c r="HKZ28" s="252"/>
      <c r="HLA28" s="252"/>
      <c r="HLB28" s="252"/>
      <c r="HLC28" s="252"/>
      <c r="HLD28" s="252"/>
      <c r="HLE28" s="252"/>
      <c r="HLF28" s="252"/>
      <c r="HLG28" s="252"/>
      <c r="HLH28" s="252"/>
      <c r="HLI28" s="252"/>
      <c r="HLJ28" s="252"/>
      <c r="HLK28" s="252"/>
      <c r="HLL28" s="252"/>
      <c r="HLM28" s="252"/>
      <c r="HLN28" s="252"/>
      <c r="HLO28" s="252"/>
      <c r="HLP28" s="252"/>
      <c r="HLQ28" s="252"/>
      <c r="HLR28" s="252"/>
      <c r="HLS28" s="252"/>
      <c r="HLT28" s="252"/>
      <c r="HLU28" s="252"/>
      <c r="HLV28" s="252"/>
      <c r="HLW28" s="252"/>
      <c r="HLX28" s="252"/>
      <c r="HLY28" s="252"/>
      <c r="HLZ28" s="252"/>
      <c r="HMA28" s="252"/>
      <c r="HMB28" s="252"/>
      <c r="HMC28" s="252"/>
      <c r="HMD28" s="252"/>
      <c r="HME28" s="252"/>
      <c r="HMF28" s="252"/>
      <c r="HMG28" s="252"/>
      <c r="HMH28" s="252"/>
      <c r="HMI28" s="252"/>
      <c r="HMJ28" s="252"/>
      <c r="HMK28" s="252"/>
      <c r="HML28" s="252"/>
      <c r="HMM28" s="252"/>
      <c r="HMN28" s="252"/>
      <c r="HMO28" s="252"/>
      <c r="HMP28" s="252"/>
      <c r="HMQ28" s="252"/>
      <c r="HMR28" s="252"/>
      <c r="HMS28" s="252"/>
      <c r="HMT28" s="252"/>
      <c r="HMU28" s="252"/>
      <c r="HMV28" s="252"/>
      <c r="HMW28" s="252"/>
      <c r="HMX28" s="252"/>
      <c r="HMY28" s="252"/>
      <c r="HMZ28" s="252"/>
      <c r="HNA28" s="252"/>
      <c r="HNB28" s="252"/>
      <c r="HNC28" s="252"/>
      <c r="HND28" s="252"/>
      <c r="HNE28" s="252"/>
      <c r="HNF28" s="252"/>
      <c r="HNG28" s="252"/>
      <c r="HNH28" s="252"/>
      <c r="HNI28" s="252"/>
      <c r="HNJ28" s="252"/>
      <c r="HNK28" s="252"/>
      <c r="HNL28" s="252"/>
      <c r="HNM28" s="252"/>
      <c r="HNN28" s="252"/>
      <c r="HNO28" s="252"/>
      <c r="HNP28" s="252"/>
      <c r="HNQ28" s="252"/>
      <c r="HNR28" s="252"/>
      <c r="HNS28" s="252"/>
      <c r="HNT28" s="252"/>
      <c r="HNU28" s="252"/>
      <c r="HNV28" s="252"/>
      <c r="HNW28" s="252"/>
      <c r="HNX28" s="252"/>
      <c r="HNY28" s="252"/>
      <c r="HNZ28" s="252"/>
      <c r="HOA28" s="252"/>
      <c r="HOB28" s="252"/>
      <c r="HOC28" s="252"/>
      <c r="HOD28" s="252"/>
      <c r="HOE28" s="252"/>
      <c r="HOF28" s="252"/>
      <c r="HOG28" s="252"/>
      <c r="HOH28" s="252"/>
      <c r="HOI28" s="252"/>
      <c r="HOJ28" s="252"/>
      <c r="HOK28" s="252"/>
      <c r="HOL28" s="252"/>
      <c r="HOM28" s="252"/>
      <c r="HON28" s="252"/>
      <c r="HOO28" s="252"/>
      <c r="HOP28" s="252"/>
      <c r="HOQ28" s="252"/>
      <c r="HOR28" s="252"/>
      <c r="HOS28" s="252"/>
      <c r="HOT28" s="252"/>
      <c r="HOU28" s="252"/>
      <c r="HOV28" s="252"/>
      <c r="HOW28" s="252"/>
      <c r="HOX28" s="252"/>
      <c r="HOY28" s="252"/>
      <c r="HOZ28" s="252"/>
      <c r="HPA28" s="252"/>
      <c r="HPB28" s="252"/>
      <c r="HPC28" s="252"/>
      <c r="HPD28" s="252"/>
      <c r="HPE28" s="252"/>
      <c r="HPF28" s="252"/>
      <c r="HPG28" s="252"/>
      <c r="HPH28" s="252"/>
      <c r="HPI28" s="252"/>
      <c r="HPJ28" s="252"/>
      <c r="HPK28" s="252"/>
      <c r="HPL28" s="252"/>
      <c r="HPM28" s="252"/>
      <c r="HPN28" s="252"/>
      <c r="HPO28" s="252"/>
      <c r="HPP28" s="252"/>
      <c r="HPQ28" s="252"/>
      <c r="HPR28" s="252"/>
      <c r="HPS28" s="252"/>
      <c r="HPT28" s="252"/>
      <c r="HPU28" s="252"/>
      <c r="HPV28" s="252"/>
      <c r="HPW28" s="252"/>
      <c r="HPX28" s="252"/>
      <c r="HPY28" s="252"/>
      <c r="HPZ28" s="252"/>
      <c r="HQA28" s="252"/>
      <c r="HQB28" s="252"/>
      <c r="HQC28" s="252"/>
      <c r="HQD28" s="252"/>
      <c r="HQE28" s="252"/>
      <c r="HQF28" s="252"/>
      <c r="HQG28" s="252"/>
      <c r="HQH28" s="252"/>
      <c r="HQI28" s="252"/>
      <c r="HQJ28" s="252"/>
      <c r="HQK28" s="252"/>
      <c r="HQL28" s="252"/>
      <c r="HQM28" s="252"/>
      <c r="HQN28" s="252"/>
      <c r="HQO28" s="252"/>
      <c r="HQP28" s="252"/>
      <c r="HQQ28" s="252"/>
      <c r="HQR28" s="252"/>
      <c r="HQS28" s="252"/>
      <c r="HQT28" s="252"/>
      <c r="HQU28" s="252"/>
      <c r="HQV28" s="252"/>
      <c r="HQW28" s="252"/>
      <c r="HQX28" s="252"/>
      <c r="HQY28" s="252"/>
      <c r="HQZ28" s="252"/>
      <c r="HRA28" s="252"/>
      <c r="HRB28" s="252"/>
      <c r="HRC28" s="252"/>
      <c r="HRD28" s="252"/>
      <c r="HRE28" s="252"/>
      <c r="HRF28" s="252"/>
      <c r="HRG28" s="252"/>
      <c r="HRH28" s="252"/>
      <c r="HRI28" s="252"/>
      <c r="HRJ28" s="252"/>
      <c r="HRK28" s="252"/>
      <c r="HRL28" s="252"/>
      <c r="HRM28" s="252"/>
      <c r="HRN28" s="252"/>
      <c r="HRO28" s="252"/>
      <c r="HRP28" s="252"/>
      <c r="HRQ28" s="252"/>
      <c r="HRR28" s="252"/>
      <c r="HRS28" s="252"/>
      <c r="HRT28" s="252"/>
      <c r="HRU28" s="252"/>
      <c r="HRV28" s="252"/>
      <c r="HRW28" s="252"/>
      <c r="HRX28" s="252"/>
      <c r="HRY28" s="252"/>
      <c r="HRZ28" s="252"/>
      <c r="HSA28" s="252"/>
      <c r="HSB28" s="252"/>
      <c r="HSC28" s="252"/>
      <c r="HSD28" s="252"/>
      <c r="HSE28" s="252"/>
      <c r="HSF28" s="252"/>
      <c r="HSG28" s="252"/>
      <c r="HSH28" s="252"/>
      <c r="HSI28" s="252"/>
      <c r="HSJ28" s="252"/>
      <c r="HSK28" s="252"/>
      <c r="HSL28" s="252"/>
      <c r="HSM28" s="252"/>
      <c r="HSN28" s="252"/>
      <c r="HSO28" s="252"/>
      <c r="HSP28" s="252"/>
      <c r="HSQ28" s="252"/>
      <c r="HSR28" s="252"/>
      <c r="HSS28" s="252"/>
      <c r="HST28" s="252"/>
      <c r="HSU28" s="252"/>
      <c r="HSV28" s="252"/>
      <c r="HSW28" s="252"/>
      <c r="HSX28" s="252"/>
      <c r="HSY28" s="252"/>
      <c r="HSZ28" s="252"/>
      <c r="HTA28" s="252"/>
      <c r="HTB28" s="252"/>
      <c r="HTC28" s="252"/>
      <c r="HTD28" s="252"/>
      <c r="HTE28" s="252"/>
      <c r="HTF28" s="252"/>
      <c r="HTG28" s="252"/>
      <c r="HTH28" s="252"/>
      <c r="HTI28" s="252"/>
      <c r="HTJ28" s="252"/>
      <c r="HTK28" s="252"/>
      <c r="HTL28" s="252"/>
      <c r="HTM28" s="252"/>
      <c r="HTN28" s="252"/>
      <c r="HTO28" s="252"/>
      <c r="HTP28" s="252"/>
      <c r="HTQ28" s="252"/>
      <c r="HTR28" s="252"/>
      <c r="HTS28" s="252"/>
      <c r="HTT28" s="252"/>
      <c r="HTU28" s="252"/>
      <c r="HTV28" s="252"/>
      <c r="HTW28" s="252"/>
      <c r="HTX28" s="252"/>
      <c r="HTY28" s="252"/>
      <c r="HTZ28" s="252"/>
      <c r="HUA28" s="252"/>
      <c r="HUB28" s="252"/>
      <c r="HUC28" s="252"/>
      <c r="HUD28" s="252"/>
      <c r="HUE28" s="252"/>
      <c r="HUF28" s="252"/>
      <c r="HUG28" s="252"/>
      <c r="HUH28" s="252"/>
      <c r="HUI28" s="252"/>
      <c r="HUJ28" s="252"/>
      <c r="HUK28" s="252"/>
      <c r="HUL28" s="252"/>
      <c r="HUM28" s="252"/>
      <c r="HUN28" s="252"/>
      <c r="HUO28" s="252"/>
      <c r="HUP28" s="252"/>
      <c r="HUQ28" s="252"/>
      <c r="HUR28" s="252"/>
      <c r="HUS28" s="252"/>
      <c r="HUT28" s="252"/>
      <c r="HUU28" s="252"/>
      <c r="HUV28" s="252"/>
      <c r="HUW28" s="252"/>
      <c r="HUX28" s="252"/>
      <c r="HUY28" s="252"/>
      <c r="HUZ28" s="252"/>
      <c r="HVA28" s="252"/>
      <c r="HVB28" s="252"/>
      <c r="HVC28" s="252"/>
      <c r="HVD28" s="252"/>
      <c r="HVE28" s="252"/>
      <c r="HVF28" s="252"/>
      <c r="HVG28" s="252"/>
      <c r="HVH28" s="252"/>
      <c r="HVI28" s="252"/>
      <c r="HVJ28" s="252"/>
      <c r="HVK28" s="252"/>
      <c r="HVL28" s="252"/>
      <c r="HVM28" s="252"/>
      <c r="HVN28" s="252"/>
      <c r="HVO28" s="252"/>
      <c r="HVP28" s="252"/>
      <c r="HVQ28" s="252"/>
      <c r="HVR28" s="252"/>
      <c r="HVS28" s="252"/>
      <c r="HVT28" s="252"/>
      <c r="HVU28" s="252"/>
      <c r="HVV28" s="252"/>
      <c r="HVW28" s="252"/>
      <c r="HVX28" s="252"/>
      <c r="HVY28" s="252"/>
      <c r="HVZ28" s="252"/>
      <c r="HWA28" s="252"/>
      <c r="HWB28" s="252"/>
      <c r="HWC28" s="252"/>
      <c r="HWD28" s="252"/>
      <c r="HWE28" s="252"/>
      <c r="HWF28" s="252"/>
      <c r="HWG28" s="252"/>
      <c r="HWH28" s="252"/>
      <c r="HWI28" s="252"/>
      <c r="HWJ28" s="252"/>
      <c r="HWK28" s="252"/>
      <c r="HWL28" s="252"/>
      <c r="HWM28" s="252"/>
      <c r="HWN28" s="252"/>
      <c r="HWO28" s="252"/>
      <c r="HWP28" s="252"/>
      <c r="HWQ28" s="252"/>
      <c r="HWR28" s="252"/>
      <c r="HWS28" s="252"/>
      <c r="HWT28" s="252"/>
      <c r="HWU28" s="252"/>
      <c r="HWV28" s="252"/>
      <c r="HWW28" s="252"/>
      <c r="HWX28" s="252"/>
      <c r="HWY28" s="252"/>
      <c r="HWZ28" s="252"/>
      <c r="HXA28" s="252"/>
      <c r="HXB28" s="252"/>
      <c r="HXC28" s="252"/>
      <c r="HXD28" s="252"/>
      <c r="HXE28" s="252"/>
      <c r="HXF28" s="252"/>
      <c r="HXG28" s="252"/>
      <c r="HXH28" s="252"/>
      <c r="HXI28" s="252"/>
      <c r="HXJ28" s="252"/>
      <c r="HXK28" s="252"/>
      <c r="HXL28" s="252"/>
      <c r="HXM28" s="252"/>
      <c r="HXN28" s="252"/>
      <c r="HXO28" s="252"/>
      <c r="HXP28" s="252"/>
      <c r="HXQ28" s="252"/>
      <c r="HXR28" s="252"/>
      <c r="HXS28" s="252"/>
      <c r="HXT28" s="252"/>
      <c r="HXU28" s="252"/>
      <c r="HXV28" s="252"/>
      <c r="HXW28" s="252"/>
      <c r="HXX28" s="252"/>
      <c r="HXY28" s="252"/>
      <c r="HXZ28" s="252"/>
      <c r="HYA28" s="252"/>
      <c r="HYB28" s="252"/>
      <c r="HYC28" s="252"/>
      <c r="HYD28" s="252"/>
      <c r="HYE28" s="252"/>
      <c r="HYF28" s="252"/>
      <c r="HYG28" s="252"/>
      <c r="HYH28" s="252"/>
      <c r="HYI28" s="252"/>
      <c r="HYJ28" s="252"/>
      <c r="HYK28" s="252"/>
      <c r="HYL28" s="252"/>
      <c r="HYM28" s="252"/>
      <c r="HYN28" s="252"/>
      <c r="HYO28" s="252"/>
      <c r="HYP28" s="252"/>
      <c r="HYQ28" s="252"/>
      <c r="HYR28" s="252"/>
      <c r="HYS28" s="252"/>
      <c r="HYT28" s="252"/>
      <c r="HYU28" s="252"/>
      <c r="HYV28" s="252"/>
      <c r="HYW28" s="252"/>
      <c r="HYX28" s="252"/>
      <c r="HYY28" s="252"/>
      <c r="HYZ28" s="252"/>
      <c r="HZA28" s="252"/>
      <c r="HZB28" s="252"/>
      <c r="HZC28" s="252"/>
      <c r="HZD28" s="252"/>
      <c r="HZE28" s="252"/>
      <c r="HZF28" s="252"/>
      <c r="HZG28" s="252"/>
      <c r="HZH28" s="252"/>
      <c r="HZI28" s="252"/>
      <c r="HZJ28" s="252"/>
      <c r="HZK28" s="252"/>
      <c r="HZL28" s="252"/>
      <c r="HZM28" s="252"/>
      <c r="HZN28" s="252"/>
      <c r="HZO28" s="252"/>
      <c r="HZP28" s="252"/>
      <c r="HZQ28" s="252"/>
      <c r="HZR28" s="252"/>
      <c r="HZS28" s="252"/>
      <c r="HZT28" s="252"/>
      <c r="HZU28" s="252"/>
      <c r="HZV28" s="252"/>
      <c r="HZW28" s="252"/>
      <c r="HZX28" s="252"/>
      <c r="HZY28" s="252"/>
      <c r="HZZ28" s="252"/>
      <c r="IAA28" s="252"/>
      <c r="IAB28" s="252"/>
      <c r="IAC28" s="252"/>
      <c r="IAD28" s="252"/>
      <c r="IAE28" s="252"/>
      <c r="IAF28" s="252"/>
      <c r="IAG28" s="252"/>
      <c r="IAH28" s="252"/>
      <c r="IAI28" s="252"/>
      <c r="IAJ28" s="252"/>
      <c r="IAK28" s="252"/>
      <c r="IAL28" s="252"/>
      <c r="IAM28" s="252"/>
      <c r="IAN28" s="252"/>
      <c r="IAO28" s="252"/>
      <c r="IAP28" s="252"/>
      <c r="IAQ28" s="252"/>
      <c r="IAR28" s="252"/>
      <c r="IAS28" s="252"/>
      <c r="IAT28" s="252"/>
      <c r="IAU28" s="252"/>
      <c r="IAV28" s="252"/>
      <c r="IAW28" s="252"/>
      <c r="IAX28" s="252"/>
      <c r="IAY28" s="252"/>
      <c r="IAZ28" s="252"/>
      <c r="IBA28" s="252"/>
      <c r="IBB28" s="252"/>
      <c r="IBC28" s="252"/>
      <c r="IBD28" s="252"/>
      <c r="IBE28" s="252"/>
      <c r="IBF28" s="252"/>
      <c r="IBG28" s="252"/>
      <c r="IBH28" s="252"/>
      <c r="IBI28" s="252"/>
      <c r="IBJ28" s="252"/>
      <c r="IBK28" s="252"/>
      <c r="IBL28" s="252"/>
      <c r="IBM28" s="252"/>
      <c r="IBN28" s="252"/>
      <c r="IBO28" s="252"/>
      <c r="IBP28" s="252"/>
      <c r="IBQ28" s="252"/>
      <c r="IBR28" s="252"/>
      <c r="IBS28" s="252"/>
      <c r="IBT28" s="252"/>
      <c r="IBU28" s="252"/>
      <c r="IBV28" s="252"/>
      <c r="IBW28" s="252"/>
      <c r="IBX28" s="252"/>
      <c r="IBY28" s="252"/>
      <c r="IBZ28" s="252"/>
      <c r="ICA28" s="252"/>
      <c r="ICB28" s="252"/>
      <c r="ICC28" s="252"/>
      <c r="ICD28" s="252"/>
      <c r="ICE28" s="252"/>
      <c r="ICF28" s="252"/>
      <c r="ICG28" s="252"/>
      <c r="ICH28" s="252"/>
      <c r="ICI28" s="252"/>
      <c r="ICJ28" s="252"/>
      <c r="ICK28" s="252"/>
      <c r="ICL28" s="252"/>
      <c r="ICM28" s="252"/>
      <c r="ICN28" s="252"/>
      <c r="ICO28" s="252"/>
      <c r="ICP28" s="252"/>
      <c r="ICQ28" s="252"/>
      <c r="ICR28" s="252"/>
      <c r="ICS28" s="252"/>
      <c r="ICT28" s="252"/>
      <c r="ICU28" s="252"/>
      <c r="ICV28" s="252"/>
      <c r="ICW28" s="252"/>
      <c r="ICX28" s="252"/>
      <c r="ICY28" s="252"/>
      <c r="ICZ28" s="252"/>
      <c r="IDA28" s="252"/>
      <c r="IDB28" s="252"/>
      <c r="IDC28" s="252"/>
      <c r="IDD28" s="252"/>
      <c r="IDE28" s="252"/>
      <c r="IDF28" s="252"/>
      <c r="IDG28" s="252"/>
      <c r="IDH28" s="252"/>
      <c r="IDI28" s="252"/>
      <c r="IDJ28" s="252"/>
      <c r="IDK28" s="252"/>
      <c r="IDL28" s="252"/>
      <c r="IDM28" s="252"/>
      <c r="IDN28" s="252"/>
      <c r="IDO28" s="252"/>
      <c r="IDP28" s="252"/>
      <c r="IDQ28" s="252"/>
      <c r="IDR28" s="252"/>
      <c r="IDS28" s="252"/>
      <c r="IDT28" s="252"/>
      <c r="IDU28" s="252"/>
      <c r="IDV28" s="252"/>
      <c r="IDW28" s="252"/>
      <c r="IDX28" s="252"/>
      <c r="IDY28" s="252"/>
      <c r="IDZ28" s="252"/>
      <c r="IEA28" s="252"/>
      <c r="IEB28" s="252"/>
      <c r="IEC28" s="252"/>
      <c r="IED28" s="252"/>
      <c r="IEE28" s="252"/>
      <c r="IEF28" s="252"/>
      <c r="IEG28" s="252"/>
      <c r="IEH28" s="252"/>
      <c r="IEI28" s="252"/>
      <c r="IEJ28" s="252"/>
      <c r="IEK28" s="252"/>
      <c r="IEL28" s="252"/>
      <c r="IEM28" s="252"/>
      <c r="IEN28" s="252"/>
      <c r="IEO28" s="252"/>
      <c r="IEP28" s="252"/>
      <c r="IEQ28" s="252"/>
      <c r="IER28" s="252"/>
      <c r="IES28" s="252"/>
      <c r="IET28" s="252"/>
      <c r="IEU28" s="252"/>
      <c r="IEV28" s="252"/>
      <c r="IEW28" s="252"/>
      <c r="IEX28" s="252"/>
      <c r="IEY28" s="252"/>
      <c r="IEZ28" s="252"/>
      <c r="IFA28" s="252"/>
      <c r="IFB28" s="252"/>
      <c r="IFC28" s="252"/>
      <c r="IFD28" s="252"/>
      <c r="IFE28" s="252"/>
      <c r="IFF28" s="252"/>
      <c r="IFG28" s="252"/>
      <c r="IFH28" s="252"/>
      <c r="IFI28" s="252"/>
      <c r="IFJ28" s="252"/>
      <c r="IFK28" s="252"/>
      <c r="IFL28" s="252"/>
      <c r="IFM28" s="252"/>
      <c r="IFN28" s="252"/>
      <c r="IFO28" s="252"/>
      <c r="IFP28" s="252"/>
      <c r="IFQ28" s="252"/>
      <c r="IFR28" s="252"/>
      <c r="IFS28" s="252"/>
      <c r="IFT28" s="252"/>
      <c r="IFU28" s="252"/>
      <c r="IFV28" s="252"/>
      <c r="IFW28" s="252"/>
      <c r="IFX28" s="252"/>
      <c r="IFY28" s="252"/>
      <c r="IFZ28" s="252"/>
      <c r="IGA28" s="252"/>
      <c r="IGB28" s="252"/>
      <c r="IGC28" s="252"/>
      <c r="IGD28" s="252"/>
      <c r="IGE28" s="252"/>
      <c r="IGF28" s="252"/>
      <c r="IGG28" s="252"/>
      <c r="IGH28" s="252"/>
      <c r="IGI28" s="252"/>
      <c r="IGJ28" s="252"/>
      <c r="IGK28" s="252"/>
      <c r="IGL28" s="252"/>
      <c r="IGM28" s="252"/>
      <c r="IGN28" s="252"/>
      <c r="IGO28" s="252"/>
      <c r="IGP28" s="252"/>
      <c r="IGQ28" s="252"/>
      <c r="IGR28" s="252"/>
      <c r="IGS28" s="252"/>
      <c r="IGT28" s="252"/>
      <c r="IGU28" s="252"/>
      <c r="IGV28" s="252"/>
      <c r="IGW28" s="252"/>
      <c r="IGX28" s="252"/>
      <c r="IGY28" s="252"/>
      <c r="IGZ28" s="252"/>
      <c r="IHA28" s="252"/>
      <c r="IHB28" s="252"/>
      <c r="IHC28" s="252"/>
      <c r="IHD28" s="252"/>
      <c r="IHE28" s="252"/>
      <c r="IHF28" s="252"/>
      <c r="IHG28" s="252"/>
      <c r="IHH28" s="252"/>
      <c r="IHI28" s="252"/>
      <c r="IHJ28" s="252"/>
      <c r="IHK28" s="252"/>
      <c r="IHL28" s="252"/>
      <c r="IHM28" s="252"/>
      <c r="IHN28" s="252"/>
      <c r="IHO28" s="252"/>
      <c r="IHP28" s="252"/>
      <c r="IHQ28" s="252"/>
      <c r="IHR28" s="252"/>
      <c r="IHS28" s="252"/>
      <c r="IHT28" s="252"/>
      <c r="IHU28" s="252"/>
      <c r="IHV28" s="252"/>
      <c r="IHW28" s="252"/>
      <c r="IHX28" s="252"/>
      <c r="IHY28" s="252"/>
      <c r="IHZ28" s="252"/>
      <c r="IIA28" s="252"/>
      <c r="IIB28" s="252"/>
      <c r="IIC28" s="252"/>
      <c r="IID28" s="252"/>
      <c r="IIE28" s="252"/>
      <c r="IIF28" s="252"/>
      <c r="IIG28" s="252"/>
      <c r="IIH28" s="252"/>
      <c r="III28" s="252"/>
      <c r="IIJ28" s="252"/>
      <c r="IIK28" s="252"/>
      <c r="IIL28" s="252"/>
      <c r="IIM28" s="252"/>
      <c r="IIN28" s="252"/>
      <c r="IIO28" s="252"/>
      <c r="IIP28" s="252"/>
      <c r="IIQ28" s="252"/>
      <c r="IIR28" s="252"/>
      <c r="IIS28" s="252"/>
      <c r="IIT28" s="252"/>
      <c r="IIU28" s="252"/>
      <c r="IIV28" s="252"/>
      <c r="IIW28" s="252"/>
      <c r="IIX28" s="252"/>
      <c r="IIY28" s="252"/>
      <c r="IIZ28" s="252"/>
      <c r="IJA28" s="252"/>
      <c r="IJB28" s="252"/>
      <c r="IJC28" s="252"/>
      <c r="IJD28" s="252"/>
      <c r="IJE28" s="252"/>
      <c r="IJF28" s="252"/>
      <c r="IJG28" s="252"/>
      <c r="IJH28" s="252"/>
      <c r="IJI28" s="252"/>
      <c r="IJJ28" s="252"/>
      <c r="IJK28" s="252"/>
      <c r="IJL28" s="252"/>
      <c r="IJM28" s="252"/>
      <c r="IJN28" s="252"/>
      <c r="IJO28" s="252"/>
      <c r="IJP28" s="252"/>
      <c r="IJQ28" s="252"/>
      <c r="IJR28" s="252"/>
      <c r="IJS28" s="252"/>
      <c r="IJT28" s="252"/>
      <c r="IJU28" s="252"/>
      <c r="IJV28" s="252"/>
      <c r="IJW28" s="252"/>
      <c r="IJX28" s="252"/>
      <c r="IJY28" s="252"/>
      <c r="IJZ28" s="252"/>
      <c r="IKA28" s="252"/>
      <c r="IKB28" s="252"/>
      <c r="IKC28" s="252"/>
      <c r="IKD28" s="252"/>
      <c r="IKE28" s="252"/>
      <c r="IKF28" s="252"/>
      <c r="IKG28" s="252"/>
      <c r="IKH28" s="252"/>
      <c r="IKI28" s="252"/>
      <c r="IKJ28" s="252"/>
      <c r="IKK28" s="252"/>
      <c r="IKL28" s="252"/>
      <c r="IKM28" s="252"/>
      <c r="IKN28" s="252"/>
      <c r="IKO28" s="252"/>
      <c r="IKP28" s="252"/>
      <c r="IKQ28" s="252"/>
      <c r="IKR28" s="252"/>
      <c r="IKS28" s="252"/>
      <c r="IKT28" s="252"/>
      <c r="IKU28" s="252"/>
      <c r="IKV28" s="252"/>
      <c r="IKW28" s="252"/>
      <c r="IKX28" s="252"/>
      <c r="IKY28" s="252"/>
      <c r="IKZ28" s="252"/>
      <c r="ILA28" s="252"/>
      <c r="ILB28" s="252"/>
      <c r="ILC28" s="252"/>
      <c r="ILD28" s="252"/>
      <c r="ILE28" s="252"/>
      <c r="ILF28" s="252"/>
      <c r="ILG28" s="252"/>
      <c r="ILH28" s="252"/>
      <c r="ILI28" s="252"/>
      <c r="ILJ28" s="252"/>
      <c r="ILK28" s="252"/>
      <c r="ILL28" s="252"/>
      <c r="ILM28" s="252"/>
      <c r="ILN28" s="252"/>
      <c r="ILO28" s="252"/>
      <c r="ILP28" s="252"/>
      <c r="ILQ28" s="252"/>
      <c r="ILR28" s="252"/>
      <c r="ILS28" s="252"/>
      <c r="ILT28" s="252"/>
      <c r="ILU28" s="252"/>
      <c r="ILV28" s="252"/>
      <c r="ILW28" s="252"/>
      <c r="ILX28" s="252"/>
      <c r="ILY28" s="252"/>
      <c r="ILZ28" s="252"/>
      <c r="IMA28" s="252"/>
      <c r="IMB28" s="252"/>
      <c r="IMC28" s="252"/>
      <c r="IMD28" s="252"/>
      <c r="IME28" s="252"/>
      <c r="IMF28" s="252"/>
      <c r="IMG28" s="252"/>
      <c r="IMH28" s="252"/>
      <c r="IMI28" s="252"/>
      <c r="IMJ28" s="252"/>
      <c r="IMK28" s="252"/>
      <c r="IML28" s="252"/>
      <c r="IMM28" s="252"/>
      <c r="IMN28" s="252"/>
      <c r="IMO28" s="252"/>
      <c r="IMP28" s="252"/>
      <c r="IMQ28" s="252"/>
      <c r="IMR28" s="252"/>
      <c r="IMS28" s="252"/>
      <c r="IMT28" s="252"/>
      <c r="IMU28" s="252"/>
      <c r="IMV28" s="252"/>
      <c r="IMW28" s="252"/>
      <c r="IMX28" s="252"/>
      <c r="IMY28" s="252"/>
      <c r="IMZ28" s="252"/>
      <c r="INA28" s="252"/>
      <c r="INB28" s="252"/>
      <c r="INC28" s="252"/>
      <c r="IND28" s="252"/>
      <c r="INE28" s="252"/>
      <c r="INF28" s="252"/>
      <c r="ING28" s="252"/>
      <c r="INH28" s="252"/>
      <c r="INI28" s="252"/>
      <c r="INJ28" s="252"/>
      <c r="INK28" s="252"/>
      <c r="INL28" s="252"/>
      <c r="INM28" s="252"/>
      <c r="INN28" s="252"/>
      <c r="INO28" s="252"/>
      <c r="INP28" s="252"/>
      <c r="INQ28" s="252"/>
      <c r="INR28" s="252"/>
      <c r="INS28" s="252"/>
      <c r="INT28" s="252"/>
      <c r="INU28" s="252"/>
      <c r="INV28" s="252"/>
      <c r="INW28" s="252"/>
      <c r="INX28" s="252"/>
      <c r="INY28" s="252"/>
      <c r="INZ28" s="252"/>
      <c r="IOA28" s="252"/>
      <c r="IOB28" s="252"/>
      <c r="IOC28" s="252"/>
      <c r="IOD28" s="252"/>
      <c r="IOE28" s="252"/>
      <c r="IOF28" s="252"/>
      <c r="IOG28" s="252"/>
      <c r="IOH28" s="252"/>
      <c r="IOI28" s="252"/>
      <c r="IOJ28" s="252"/>
      <c r="IOK28" s="252"/>
      <c r="IOL28" s="252"/>
      <c r="IOM28" s="252"/>
      <c r="ION28" s="252"/>
      <c r="IOO28" s="252"/>
      <c r="IOP28" s="252"/>
      <c r="IOQ28" s="252"/>
      <c r="IOR28" s="252"/>
      <c r="IOS28" s="252"/>
      <c r="IOT28" s="252"/>
      <c r="IOU28" s="252"/>
      <c r="IOV28" s="252"/>
      <c r="IOW28" s="252"/>
      <c r="IOX28" s="252"/>
      <c r="IOY28" s="252"/>
      <c r="IOZ28" s="252"/>
      <c r="IPA28" s="252"/>
      <c r="IPB28" s="252"/>
      <c r="IPC28" s="252"/>
      <c r="IPD28" s="252"/>
      <c r="IPE28" s="252"/>
      <c r="IPF28" s="252"/>
      <c r="IPG28" s="252"/>
      <c r="IPH28" s="252"/>
      <c r="IPI28" s="252"/>
      <c r="IPJ28" s="252"/>
      <c r="IPK28" s="252"/>
      <c r="IPL28" s="252"/>
      <c r="IPM28" s="252"/>
      <c r="IPN28" s="252"/>
      <c r="IPO28" s="252"/>
      <c r="IPP28" s="252"/>
      <c r="IPQ28" s="252"/>
      <c r="IPR28" s="252"/>
      <c r="IPS28" s="252"/>
      <c r="IPT28" s="252"/>
      <c r="IPU28" s="252"/>
      <c r="IPV28" s="252"/>
      <c r="IPW28" s="252"/>
      <c r="IPX28" s="252"/>
      <c r="IPY28" s="252"/>
      <c r="IPZ28" s="252"/>
      <c r="IQA28" s="252"/>
      <c r="IQB28" s="252"/>
      <c r="IQC28" s="252"/>
      <c r="IQD28" s="252"/>
      <c r="IQE28" s="252"/>
      <c r="IQF28" s="252"/>
      <c r="IQG28" s="252"/>
      <c r="IQH28" s="252"/>
      <c r="IQI28" s="252"/>
      <c r="IQJ28" s="252"/>
      <c r="IQK28" s="252"/>
      <c r="IQL28" s="252"/>
      <c r="IQM28" s="252"/>
      <c r="IQN28" s="252"/>
      <c r="IQO28" s="252"/>
      <c r="IQP28" s="252"/>
      <c r="IQQ28" s="252"/>
      <c r="IQR28" s="252"/>
      <c r="IQS28" s="252"/>
      <c r="IQT28" s="252"/>
      <c r="IQU28" s="252"/>
      <c r="IQV28" s="252"/>
      <c r="IQW28" s="252"/>
      <c r="IQX28" s="252"/>
      <c r="IQY28" s="252"/>
      <c r="IQZ28" s="252"/>
      <c r="IRA28" s="252"/>
      <c r="IRB28" s="252"/>
      <c r="IRC28" s="252"/>
      <c r="IRD28" s="252"/>
      <c r="IRE28" s="252"/>
      <c r="IRF28" s="252"/>
      <c r="IRG28" s="252"/>
      <c r="IRH28" s="252"/>
      <c r="IRI28" s="252"/>
      <c r="IRJ28" s="252"/>
      <c r="IRK28" s="252"/>
      <c r="IRL28" s="252"/>
      <c r="IRM28" s="252"/>
      <c r="IRN28" s="252"/>
      <c r="IRO28" s="252"/>
      <c r="IRP28" s="252"/>
      <c r="IRQ28" s="252"/>
      <c r="IRR28" s="252"/>
      <c r="IRS28" s="252"/>
      <c r="IRT28" s="252"/>
      <c r="IRU28" s="252"/>
      <c r="IRV28" s="252"/>
      <c r="IRW28" s="252"/>
      <c r="IRX28" s="252"/>
      <c r="IRY28" s="252"/>
      <c r="IRZ28" s="252"/>
      <c r="ISA28" s="252"/>
      <c r="ISB28" s="252"/>
      <c r="ISC28" s="252"/>
      <c r="ISD28" s="252"/>
      <c r="ISE28" s="252"/>
      <c r="ISF28" s="252"/>
      <c r="ISG28" s="252"/>
      <c r="ISH28" s="252"/>
      <c r="ISI28" s="252"/>
      <c r="ISJ28" s="252"/>
      <c r="ISK28" s="252"/>
      <c r="ISL28" s="252"/>
      <c r="ISM28" s="252"/>
      <c r="ISN28" s="252"/>
      <c r="ISO28" s="252"/>
      <c r="ISP28" s="252"/>
      <c r="ISQ28" s="252"/>
      <c r="ISR28" s="252"/>
      <c r="ISS28" s="252"/>
      <c r="IST28" s="252"/>
      <c r="ISU28" s="252"/>
      <c r="ISV28" s="252"/>
      <c r="ISW28" s="252"/>
      <c r="ISX28" s="252"/>
      <c r="ISY28" s="252"/>
      <c r="ISZ28" s="252"/>
      <c r="ITA28" s="252"/>
      <c r="ITB28" s="252"/>
      <c r="ITC28" s="252"/>
      <c r="ITD28" s="252"/>
      <c r="ITE28" s="252"/>
      <c r="ITF28" s="252"/>
      <c r="ITG28" s="252"/>
      <c r="ITH28" s="252"/>
      <c r="ITI28" s="252"/>
      <c r="ITJ28" s="252"/>
      <c r="ITK28" s="252"/>
      <c r="ITL28" s="252"/>
      <c r="ITM28" s="252"/>
      <c r="ITN28" s="252"/>
      <c r="ITO28" s="252"/>
      <c r="ITP28" s="252"/>
      <c r="ITQ28" s="252"/>
      <c r="ITR28" s="252"/>
      <c r="ITS28" s="252"/>
      <c r="ITT28" s="252"/>
      <c r="ITU28" s="252"/>
      <c r="ITV28" s="252"/>
      <c r="ITW28" s="252"/>
      <c r="ITX28" s="252"/>
      <c r="ITY28" s="252"/>
      <c r="ITZ28" s="252"/>
      <c r="IUA28" s="252"/>
      <c r="IUB28" s="252"/>
      <c r="IUC28" s="252"/>
      <c r="IUD28" s="252"/>
      <c r="IUE28" s="252"/>
      <c r="IUF28" s="252"/>
      <c r="IUG28" s="252"/>
      <c r="IUH28" s="252"/>
      <c r="IUI28" s="252"/>
      <c r="IUJ28" s="252"/>
      <c r="IUK28" s="252"/>
      <c r="IUL28" s="252"/>
      <c r="IUM28" s="252"/>
      <c r="IUN28" s="252"/>
      <c r="IUO28" s="252"/>
      <c r="IUP28" s="252"/>
      <c r="IUQ28" s="252"/>
      <c r="IUR28" s="252"/>
      <c r="IUS28" s="252"/>
      <c r="IUT28" s="252"/>
      <c r="IUU28" s="252"/>
      <c r="IUV28" s="252"/>
      <c r="IUW28" s="252"/>
      <c r="IUX28" s="252"/>
      <c r="IUY28" s="252"/>
      <c r="IUZ28" s="252"/>
      <c r="IVA28" s="252"/>
      <c r="IVB28" s="252"/>
      <c r="IVC28" s="252"/>
      <c r="IVD28" s="252"/>
      <c r="IVE28" s="252"/>
      <c r="IVF28" s="252"/>
      <c r="IVG28" s="252"/>
      <c r="IVH28" s="252"/>
      <c r="IVI28" s="252"/>
      <c r="IVJ28" s="252"/>
      <c r="IVK28" s="252"/>
      <c r="IVL28" s="252"/>
      <c r="IVM28" s="252"/>
      <c r="IVN28" s="252"/>
      <c r="IVO28" s="252"/>
      <c r="IVP28" s="252"/>
      <c r="IVQ28" s="252"/>
      <c r="IVR28" s="252"/>
      <c r="IVS28" s="252"/>
      <c r="IVT28" s="252"/>
      <c r="IVU28" s="252"/>
      <c r="IVV28" s="252"/>
      <c r="IVW28" s="252"/>
      <c r="IVX28" s="252"/>
      <c r="IVY28" s="252"/>
      <c r="IVZ28" s="252"/>
      <c r="IWA28" s="252"/>
      <c r="IWB28" s="252"/>
      <c r="IWC28" s="252"/>
      <c r="IWD28" s="252"/>
      <c r="IWE28" s="252"/>
      <c r="IWF28" s="252"/>
      <c r="IWG28" s="252"/>
      <c r="IWH28" s="252"/>
      <c r="IWI28" s="252"/>
      <c r="IWJ28" s="252"/>
      <c r="IWK28" s="252"/>
      <c r="IWL28" s="252"/>
      <c r="IWM28" s="252"/>
      <c r="IWN28" s="252"/>
      <c r="IWO28" s="252"/>
      <c r="IWP28" s="252"/>
      <c r="IWQ28" s="252"/>
      <c r="IWR28" s="252"/>
      <c r="IWS28" s="252"/>
      <c r="IWT28" s="252"/>
      <c r="IWU28" s="252"/>
      <c r="IWV28" s="252"/>
      <c r="IWW28" s="252"/>
      <c r="IWX28" s="252"/>
      <c r="IWY28" s="252"/>
      <c r="IWZ28" s="252"/>
      <c r="IXA28" s="252"/>
      <c r="IXB28" s="252"/>
      <c r="IXC28" s="252"/>
      <c r="IXD28" s="252"/>
      <c r="IXE28" s="252"/>
      <c r="IXF28" s="252"/>
      <c r="IXG28" s="252"/>
      <c r="IXH28" s="252"/>
      <c r="IXI28" s="252"/>
      <c r="IXJ28" s="252"/>
      <c r="IXK28" s="252"/>
      <c r="IXL28" s="252"/>
      <c r="IXM28" s="252"/>
      <c r="IXN28" s="252"/>
      <c r="IXO28" s="252"/>
      <c r="IXP28" s="252"/>
      <c r="IXQ28" s="252"/>
      <c r="IXR28" s="252"/>
      <c r="IXS28" s="252"/>
      <c r="IXT28" s="252"/>
      <c r="IXU28" s="252"/>
      <c r="IXV28" s="252"/>
      <c r="IXW28" s="252"/>
      <c r="IXX28" s="252"/>
      <c r="IXY28" s="252"/>
      <c r="IXZ28" s="252"/>
      <c r="IYA28" s="252"/>
      <c r="IYB28" s="252"/>
      <c r="IYC28" s="252"/>
      <c r="IYD28" s="252"/>
      <c r="IYE28" s="252"/>
      <c r="IYF28" s="252"/>
      <c r="IYG28" s="252"/>
      <c r="IYH28" s="252"/>
      <c r="IYI28" s="252"/>
      <c r="IYJ28" s="252"/>
      <c r="IYK28" s="252"/>
      <c r="IYL28" s="252"/>
      <c r="IYM28" s="252"/>
      <c r="IYN28" s="252"/>
      <c r="IYO28" s="252"/>
      <c r="IYP28" s="252"/>
      <c r="IYQ28" s="252"/>
      <c r="IYR28" s="252"/>
      <c r="IYS28" s="252"/>
      <c r="IYT28" s="252"/>
      <c r="IYU28" s="252"/>
      <c r="IYV28" s="252"/>
      <c r="IYW28" s="252"/>
      <c r="IYX28" s="252"/>
      <c r="IYY28" s="252"/>
      <c r="IYZ28" s="252"/>
      <c r="IZA28" s="252"/>
      <c r="IZB28" s="252"/>
      <c r="IZC28" s="252"/>
      <c r="IZD28" s="252"/>
      <c r="IZE28" s="252"/>
      <c r="IZF28" s="252"/>
      <c r="IZG28" s="252"/>
      <c r="IZH28" s="252"/>
      <c r="IZI28" s="252"/>
      <c r="IZJ28" s="252"/>
      <c r="IZK28" s="252"/>
      <c r="IZL28" s="252"/>
      <c r="IZM28" s="252"/>
      <c r="IZN28" s="252"/>
      <c r="IZO28" s="252"/>
      <c r="IZP28" s="252"/>
      <c r="IZQ28" s="252"/>
      <c r="IZR28" s="252"/>
      <c r="IZS28" s="252"/>
      <c r="IZT28" s="252"/>
      <c r="IZU28" s="252"/>
      <c r="IZV28" s="252"/>
      <c r="IZW28" s="252"/>
      <c r="IZX28" s="252"/>
      <c r="IZY28" s="252"/>
      <c r="IZZ28" s="252"/>
      <c r="JAA28" s="252"/>
      <c r="JAB28" s="252"/>
      <c r="JAC28" s="252"/>
      <c r="JAD28" s="252"/>
      <c r="JAE28" s="252"/>
      <c r="JAF28" s="252"/>
      <c r="JAG28" s="252"/>
      <c r="JAH28" s="252"/>
      <c r="JAI28" s="252"/>
      <c r="JAJ28" s="252"/>
      <c r="JAK28" s="252"/>
      <c r="JAL28" s="252"/>
      <c r="JAM28" s="252"/>
      <c r="JAN28" s="252"/>
      <c r="JAO28" s="252"/>
      <c r="JAP28" s="252"/>
      <c r="JAQ28" s="252"/>
      <c r="JAR28" s="252"/>
      <c r="JAS28" s="252"/>
      <c r="JAT28" s="252"/>
      <c r="JAU28" s="252"/>
      <c r="JAV28" s="252"/>
      <c r="JAW28" s="252"/>
      <c r="JAX28" s="252"/>
      <c r="JAY28" s="252"/>
      <c r="JAZ28" s="252"/>
      <c r="JBA28" s="252"/>
      <c r="JBB28" s="252"/>
      <c r="JBC28" s="252"/>
      <c r="JBD28" s="252"/>
      <c r="JBE28" s="252"/>
      <c r="JBF28" s="252"/>
      <c r="JBG28" s="252"/>
      <c r="JBH28" s="252"/>
      <c r="JBI28" s="252"/>
      <c r="JBJ28" s="252"/>
      <c r="JBK28" s="252"/>
      <c r="JBL28" s="252"/>
      <c r="JBM28" s="252"/>
      <c r="JBN28" s="252"/>
      <c r="JBO28" s="252"/>
      <c r="JBP28" s="252"/>
      <c r="JBQ28" s="252"/>
      <c r="JBR28" s="252"/>
      <c r="JBS28" s="252"/>
      <c r="JBT28" s="252"/>
      <c r="JBU28" s="252"/>
      <c r="JBV28" s="252"/>
      <c r="JBW28" s="252"/>
      <c r="JBX28" s="252"/>
      <c r="JBY28" s="252"/>
      <c r="JBZ28" s="252"/>
      <c r="JCA28" s="252"/>
      <c r="JCB28" s="252"/>
      <c r="JCC28" s="252"/>
      <c r="JCD28" s="252"/>
      <c r="JCE28" s="252"/>
      <c r="JCF28" s="252"/>
      <c r="JCG28" s="252"/>
      <c r="JCH28" s="252"/>
      <c r="JCI28" s="252"/>
      <c r="JCJ28" s="252"/>
      <c r="JCK28" s="252"/>
      <c r="JCL28" s="252"/>
      <c r="JCM28" s="252"/>
      <c r="JCN28" s="252"/>
      <c r="JCO28" s="252"/>
      <c r="JCP28" s="252"/>
      <c r="JCQ28" s="252"/>
      <c r="JCR28" s="252"/>
      <c r="JCS28" s="252"/>
      <c r="JCT28" s="252"/>
      <c r="JCU28" s="252"/>
      <c r="JCV28" s="252"/>
      <c r="JCW28" s="252"/>
      <c r="JCX28" s="252"/>
      <c r="JCY28" s="252"/>
      <c r="JCZ28" s="252"/>
      <c r="JDA28" s="252"/>
      <c r="JDB28" s="252"/>
      <c r="JDC28" s="252"/>
      <c r="JDD28" s="252"/>
      <c r="JDE28" s="252"/>
      <c r="JDF28" s="252"/>
      <c r="JDG28" s="252"/>
      <c r="JDH28" s="252"/>
      <c r="JDI28" s="252"/>
      <c r="JDJ28" s="252"/>
      <c r="JDK28" s="252"/>
      <c r="JDL28" s="252"/>
      <c r="JDM28" s="252"/>
      <c r="JDN28" s="252"/>
      <c r="JDO28" s="252"/>
      <c r="JDP28" s="252"/>
      <c r="JDQ28" s="252"/>
      <c r="JDR28" s="252"/>
      <c r="JDS28" s="252"/>
      <c r="JDT28" s="252"/>
      <c r="JDU28" s="252"/>
      <c r="JDV28" s="252"/>
      <c r="JDW28" s="252"/>
      <c r="JDX28" s="252"/>
      <c r="JDY28" s="252"/>
      <c r="JDZ28" s="252"/>
      <c r="JEA28" s="252"/>
      <c r="JEB28" s="252"/>
      <c r="JEC28" s="252"/>
      <c r="JED28" s="252"/>
      <c r="JEE28" s="252"/>
      <c r="JEF28" s="252"/>
      <c r="JEG28" s="252"/>
      <c r="JEH28" s="252"/>
      <c r="JEI28" s="252"/>
      <c r="JEJ28" s="252"/>
      <c r="JEK28" s="252"/>
      <c r="JEL28" s="252"/>
      <c r="JEM28" s="252"/>
      <c r="JEN28" s="252"/>
      <c r="JEO28" s="252"/>
      <c r="JEP28" s="252"/>
      <c r="JEQ28" s="252"/>
      <c r="JER28" s="252"/>
      <c r="JES28" s="252"/>
      <c r="JET28" s="252"/>
      <c r="JEU28" s="252"/>
      <c r="JEV28" s="252"/>
      <c r="JEW28" s="252"/>
      <c r="JEX28" s="252"/>
      <c r="JEY28" s="252"/>
      <c r="JEZ28" s="252"/>
      <c r="JFA28" s="252"/>
      <c r="JFB28" s="252"/>
      <c r="JFC28" s="252"/>
      <c r="JFD28" s="252"/>
      <c r="JFE28" s="252"/>
      <c r="JFF28" s="252"/>
      <c r="JFG28" s="252"/>
      <c r="JFH28" s="252"/>
      <c r="JFI28" s="252"/>
      <c r="JFJ28" s="252"/>
      <c r="JFK28" s="252"/>
      <c r="JFL28" s="252"/>
      <c r="JFM28" s="252"/>
      <c r="JFN28" s="252"/>
      <c r="JFO28" s="252"/>
      <c r="JFP28" s="252"/>
      <c r="JFQ28" s="252"/>
      <c r="JFR28" s="252"/>
      <c r="JFS28" s="252"/>
      <c r="JFT28" s="252"/>
      <c r="JFU28" s="252"/>
      <c r="JFV28" s="252"/>
      <c r="JFW28" s="252"/>
      <c r="JFX28" s="252"/>
      <c r="JFY28" s="252"/>
      <c r="JFZ28" s="252"/>
      <c r="JGA28" s="252"/>
      <c r="JGB28" s="252"/>
      <c r="JGC28" s="252"/>
      <c r="JGD28" s="252"/>
      <c r="JGE28" s="252"/>
      <c r="JGF28" s="252"/>
      <c r="JGG28" s="252"/>
      <c r="JGH28" s="252"/>
      <c r="JGI28" s="252"/>
      <c r="JGJ28" s="252"/>
      <c r="JGK28" s="252"/>
      <c r="JGL28" s="252"/>
      <c r="JGM28" s="252"/>
      <c r="JGN28" s="252"/>
      <c r="JGO28" s="252"/>
      <c r="JGP28" s="252"/>
      <c r="JGQ28" s="252"/>
      <c r="JGR28" s="252"/>
      <c r="JGS28" s="252"/>
      <c r="JGT28" s="252"/>
      <c r="JGU28" s="252"/>
      <c r="JGV28" s="252"/>
      <c r="JGW28" s="252"/>
      <c r="JGX28" s="252"/>
      <c r="JGY28" s="252"/>
      <c r="JGZ28" s="252"/>
      <c r="JHA28" s="252"/>
      <c r="JHB28" s="252"/>
      <c r="JHC28" s="252"/>
      <c r="JHD28" s="252"/>
      <c r="JHE28" s="252"/>
      <c r="JHF28" s="252"/>
      <c r="JHG28" s="252"/>
      <c r="JHH28" s="252"/>
      <c r="JHI28" s="252"/>
      <c r="JHJ28" s="252"/>
      <c r="JHK28" s="252"/>
      <c r="JHL28" s="252"/>
      <c r="JHM28" s="252"/>
      <c r="JHN28" s="252"/>
      <c r="JHO28" s="252"/>
      <c r="JHP28" s="252"/>
      <c r="JHQ28" s="252"/>
      <c r="JHR28" s="252"/>
      <c r="JHS28" s="252"/>
      <c r="JHT28" s="252"/>
      <c r="JHU28" s="252"/>
      <c r="JHV28" s="252"/>
      <c r="JHW28" s="252"/>
      <c r="JHX28" s="252"/>
      <c r="JHY28" s="252"/>
      <c r="JHZ28" s="252"/>
      <c r="JIA28" s="252"/>
      <c r="JIB28" s="252"/>
      <c r="JIC28" s="252"/>
      <c r="JID28" s="252"/>
      <c r="JIE28" s="252"/>
      <c r="JIF28" s="252"/>
      <c r="JIG28" s="252"/>
      <c r="JIH28" s="252"/>
      <c r="JII28" s="252"/>
      <c r="JIJ28" s="252"/>
      <c r="JIK28" s="252"/>
      <c r="JIL28" s="252"/>
      <c r="JIM28" s="252"/>
      <c r="JIN28" s="252"/>
      <c r="JIO28" s="252"/>
      <c r="JIP28" s="252"/>
      <c r="JIQ28" s="252"/>
      <c r="JIR28" s="252"/>
      <c r="JIS28" s="252"/>
      <c r="JIT28" s="252"/>
      <c r="JIU28" s="252"/>
      <c r="JIV28" s="252"/>
      <c r="JIW28" s="252"/>
      <c r="JIX28" s="252"/>
      <c r="JIY28" s="252"/>
      <c r="JIZ28" s="252"/>
      <c r="JJA28" s="252"/>
      <c r="JJB28" s="252"/>
      <c r="JJC28" s="252"/>
      <c r="JJD28" s="252"/>
      <c r="JJE28" s="252"/>
      <c r="JJF28" s="252"/>
      <c r="JJG28" s="252"/>
      <c r="JJH28" s="252"/>
      <c r="JJI28" s="252"/>
      <c r="JJJ28" s="252"/>
      <c r="JJK28" s="252"/>
      <c r="JJL28" s="252"/>
      <c r="JJM28" s="252"/>
      <c r="JJN28" s="252"/>
      <c r="JJO28" s="252"/>
      <c r="JJP28" s="252"/>
      <c r="JJQ28" s="252"/>
      <c r="JJR28" s="252"/>
      <c r="JJS28" s="252"/>
      <c r="JJT28" s="252"/>
      <c r="JJU28" s="252"/>
      <c r="JJV28" s="252"/>
      <c r="JJW28" s="252"/>
      <c r="JJX28" s="252"/>
      <c r="JJY28" s="252"/>
      <c r="JJZ28" s="252"/>
      <c r="JKA28" s="252"/>
      <c r="JKB28" s="252"/>
      <c r="JKC28" s="252"/>
      <c r="JKD28" s="252"/>
      <c r="JKE28" s="252"/>
      <c r="JKF28" s="252"/>
      <c r="JKG28" s="252"/>
      <c r="JKH28" s="252"/>
      <c r="JKI28" s="252"/>
      <c r="JKJ28" s="252"/>
      <c r="JKK28" s="252"/>
      <c r="JKL28" s="252"/>
      <c r="JKM28" s="252"/>
      <c r="JKN28" s="252"/>
      <c r="JKO28" s="252"/>
      <c r="JKP28" s="252"/>
      <c r="JKQ28" s="252"/>
      <c r="JKR28" s="252"/>
      <c r="JKS28" s="252"/>
      <c r="JKT28" s="252"/>
      <c r="JKU28" s="252"/>
      <c r="JKV28" s="252"/>
      <c r="JKW28" s="252"/>
      <c r="JKX28" s="252"/>
      <c r="JKY28" s="252"/>
      <c r="JKZ28" s="252"/>
      <c r="JLA28" s="252"/>
      <c r="JLB28" s="252"/>
      <c r="JLC28" s="252"/>
      <c r="JLD28" s="252"/>
      <c r="JLE28" s="252"/>
      <c r="JLF28" s="252"/>
      <c r="JLG28" s="252"/>
      <c r="JLH28" s="252"/>
      <c r="JLI28" s="252"/>
      <c r="JLJ28" s="252"/>
      <c r="JLK28" s="252"/>
      <c r="JLL28" s="252"/>
      <c r="JLM28" s="252"/>
      <c r="JLN28" s="252"/>
      <c r="JLO28" s="252"/>
      <c r="JLP28" s="252"/>
      <c r="JLQ28" s="252"/>
      <c r="JLR28" s="252"/>
      <c r="JLS28" s="252"/>
      <c r="JLT28" s="252"/>
      <c r="JLU28" s="252"/>
      <c r="JLV28" s="252"/>
      <c r="JLW28" s="252"/>
      <c r="JLX28" s="252"/>
      <c r="JLY28" s="252"/>
      <c r="JLZ28" s="252"/>
      <c r="JMA28" s="252"/>
      <c r="JMB28" s="252"/>
      <c r="JMC28" s="252"/>
      <c r="JMD28" s="252"/>
      <c r="JME28" s="252"/>
      <c r="JMF28" s="252"/>
      <c r="JMG28" s="252"/>
      <c r="JMH28" s="252"/>
      <c r="JMI28" s="252"/>
      <c r="JMJ28" s="252"/>
      <c r="JMK28" s="252"/>
      <c r="JML28" s="252"/>
      <c r="JMM28" s="252"/>
      <c r="JMN28" s="252"/>
      <c r="JMO28" s="252"/>
      <c r="JMP28" s="252"/>
      <c r="JMQ28" s="252"/>
      <c r="JMR28" s="252"/>
      <c r="JMS28" s="252"/>
      <c r="JMT28" s="252"/>
      <c r="JMU28" s="252"/>
      <c r="JMV28" s="252"/>
      <c r="JMW28" s="252"/>
      <c r="JMX28" s="252"/>
      <c r="JMY28" s="252"/>
      <c r="JMZ28" s="252"/>
      <c r="JNA28" s="252"/>
      <c r="JNB28" s="252"/>
      <c r="JNC28" s="252"/>
      <c r="JND28" s="252"/>
      <c r="JNE28" s="252"/>
      <c r="JNF28" s="252"/>
      <c r="JNG28" s="252"/>
      <c r="JNH28" s="252"/>
      <c r="JNI28" s="252"/>
      <c r="JNJ28" s="252"/>
      <c r="JNK28" s="252"/>
      <c r="JNL28" s="252"/>
      <c r="JNM28" s="252"/>
      <c r="JNN28" s="252"/>
      <c r="JNO28" s="252"/>
      <c r="JNP28" s="252"/>
      <c r="JNQ28" s="252"/>
      <c r="JNR28" s="252"/>
      <c r="JNS28" s="252"/>
      <c r="JNT28" s="252"/>
      <c r="JNU28" s="252"/>
      <c r="JNV28" s="252"/>
      <c r="JNW28" s="252"/>
      <c r="JNX28" s="252"/>
      <c r="JNY28" s="252"/>
      <c r="JNZ28" s="252"/>
      <c r="JOA28" s="252"/>
      <c r="JOB28" s="252"/>
      <c r="JOC28" s="252"/>
      <c r="JOD28" s="252"/>
      <c r="JOE28" s="252"/>
      <c r="JOF28" s="252"/>
      <c r="JOG28" s="252"/>
      <c r="JOH28" s="252"/>
      <c r="JOI28" s="252"/>
      <c r="JOJ28" s="252"/>
      <c r="JOK28" s="252"/>
      <c r="JOL28" s="252"/>
      <c r="JOM28" s="252"/>
      <c r="JON28" s="252"/>
      <c r="JOO28" s="252"/>
      <c r="JOP28" s="252"/>
      <c r="JOQ28" s="252"/>
      <c r="JOR28" s="252"/>
      <c r="JOS28" s="252"/>
      <c r="JOT28" s="252"/>
      <c r="JOU28" s="252"/>
      <c r="JOV28" s="252"/>
      <c r="JOW28" s="252"/>
      <c r="JOX28" s="252"/>
      <c r="JOY28" s="252"/>
      <c r="JOZ28" s="252"/>
      <c r="JPA28" s="252"/>
      <c r="JPB28" s="252"/>
      <c r="JPC28" s="252"/>
      <c r="JPD28" s="252"/>
      <c r="JPE28" s="252"/>
      <c r="JPF28" s="252"/>
      <c r="JPG28" s="252"/>
      <c r="JPH28" s="252"/>
      <c r="JPI28" s="252"/>
      <c r="JPJ28" s="252"/>
      <c r="JPK28" s="252"/>
      <c r="JPL28" s="252"/>
      <c r="JPM28" s="252"/>
      <c r="JPN28" s="252"/>
      <c r="JPO28" s="252"/>
      <c r="JPP28" s="252"/>
      <c r="JPQ28" s="252"/>
      <c r="JPR28" s="252"/>
      <c r="JPS28" s="252"/>
      <c r="JPT28" s="252"/>
      <c r="JPU28" s="252"/>
      <c r="JPV28" s="252"/>
      <c r="JPW28" s="252"/>
      <c r="JPX28" s="252"/>
      <c r="JPY28" s="252"/>
      <c r="JPZ28" s="252"/>
      <c r="JQA28" s="252"/>
      <c r="JQB28" s="252"/>
      <c r="JQC28" s="252"/>
      <c r="JQD28" s="252"/>
      <c r="JQE28" s="252"/>
      <c r="JQF28" s="252"/>
      <c r="JQG28" s="252"/>
      <c r="JQH28" s="252"/>
      <c r="JQI28" s="252"/>
      <c r="JQJ28" s="252"/>
      <c r="JQK28" s="252"/>
      <c r="JQL28" s="252"/>
      <c r="JQM28" s="252"/>
      <c r="JQN28" s="252"/>
      <c r="JQO28" s="252"/>
      <c r="JQP28" s="252"/>
      <c r="JQQ28" s="252"/>
      <c r="JQR28" s="252"/>
      <c r="JQS28" s="252"/>
      <c r="JQT28" s="252"/>
      <c r="JQU28" s="252"/>
      <c r="JQV28" s="252"/>
      <c r="JQW28" s="252"/>
      <c r="JQX28" s="252"/>
      <c r="JQY28" s="252"/>
      <c r="JQZ28" s="252"/>
      <c r="JRA28" s="252"/>
      <c r="JRB28" s="252"/>
      <c r="JRC28" s="252"/>
      <c r="JRD28" s="252"/>
      <c r="JRE28" s="252"/>
      <c r="JRF28" s="252"/>
      <c r="JRG28" s="252"/>
      <c r="JRH28" s="252"/>
      <c r="JRI28" s="252"/>
      <c r="JRJ28" s="252"/>
      <c r="JRK28" s="252"/>
      <c r="JRL28" s="252"/>
      <c r="JRM28" s="252"/>
      <c r="JRN28" s="252"/>
      <c r="JRO28" s="252"/>
      <c r="JRP28" s="252"/>
      <c r="JRQ28" s="252"/>
      <c r="JRR28" s="252"/>
      <c r="JRS28" s="252"/>
      <c r="JRT28" s="252"/>
      <c r="JRU28" s="252"/>
      <c r="JRV28" s="252"/>
      <c r="JRW28" s="252"/>
      <c r="JRX28" s="252"/>
      <c r="JRY28" s="252"/>
      <c r="JRZ28" s="252"/>
      <c r="JSA28" s="252"/>
      <c r="JSB28" s="252"/>
      <c r="JSC28" s="252"/>
      <c r="JSD28" s="252"/>
      <c r="JSE28" s="252"/>
      <c r="JSF28" s="252"/>
      <c r="JSG28" s="252"/>
      <c r="JSH28" s="252"/>
      <c r="JSI28" s="252"/>
      <c r="JSJ28" s="252"/>
      <c r="JSK28" s="252"/>
      <c r="JSL28" s="252"/>
      <c r="JSM28" s="252"/>
      <c r="JSN28" s="252"/>
      <c r="JSO28" s="252"/>
      <c r="JSP28" s="252"/>
      <c r="JSQ28" s="252"/>
      <c r="JSR28" s="252"/>
      <c r="JSS28" s="252"/>
      <c r="JST28" s="252"/>
      <c r="JSU28" s="252"/>
      <c r="JSV28" s="252"/>
      <c r="JSW28" s="252"/>
      <c r="JSX28" s="252"/>
      <c r="JSY28" s="252"/>
      <c r="JSZ28" s="252"/>
      <c r="JTA28" s="252"/>
      <c r="JTB28" s="252"/>
      <c r="JTC28" s="252"/>
      <c r="JTD28" s="252"/>
      <c r="JTE28" s="252"/>
      <c r="JTF28" s="252"/>
      <c r="JTG28" s="252"/>
      <c r="JTH28" s="252"/>
      <c r="JTI28" s="252"/>
      <c r="JTJ28" s="252"/>
      <c r="JTK28" s="252"/>
      <c r="JTL28" s="252"/>
      <c r="JTM28" s="252"/>
      <c r="JTN28" s="252"/>
      <c r="JTO28" s="252"/>
      <c r="JTP28" s="252"/>
      <c r="JTQ28" s="252"/>
      <c r="JTR28" s="252"/>
      <c r="JTS28" s="252"/>
      <c r="JTT28" s="252"/>
      <c r="JTU28" s="252"/>
      <c r="JTV28" s="252"/>
      <c r="JTW28" s="252"/>
      <c r="JTX28" s="252"/>
      <c r="JTY28" s="252"/>
      <c r="JTZ28" s="252"/>
      <c r="JUA28" s="252"/>
      <c r="JUB28" s="252"/>
      <c r="JUC28" s="252"/>
      <c r="JUD28" s="252"/>
      <c r="JUE28" s="252"/>
      <c r="JUF28" s="252"/>
      <c r="JUG28" s="252"/>
      <c r="JUH28" s="252"/>
      <c r="JUI28" s="252"/>
      <c r="JUJ28" s="252"/>
      <c r="JUK28" s="252"/>
      <c r="JUL28" s="252"/>
      <c r="JUM28" s="252"/>
      <c r="JUN28" s="252"/>
      <c r="JUO28" s="252"/>
      <c r="JUP28" s="252"/>
      <c r="JUQ28" s="252"/>
      <c r="JUR28" s="252"/>
      <c r="JUS28" s="252"/>
      <c r="JUT28" s="252"/>
      <c r="JUU28" s="252"/>
      <c r="JUV28" s="252"/>
      <c r="JUW28" s="252"/>
      <c r="JUX28" s="252"/>
      <c r="JUY28" s="252"/>
      <c r="JUZ28" s="252"/>
      <c r="JVA28" s="252"/>
      <c r="JVB28" s="252"/>
      <c r="JVC28" s="252"/>
      <c r="JVD28" s="252"/>
      <c r="JVE28" s="252"/>
      <c r="JVF28" s="252"/>
      <c r="JVG28" s="252"/>
      <c r="JVH28" s="252"/>
      <c r="JVI28" s="252"/>
      <c r="JVJ28" s="252"/>
      <c r="JVK28" s="252"/>
      <c r="JVL28" s="252"/>
      <c r="JVM28" s="252"/>
      <c r="JVN28" s="252"/>
      <c r="JVO28" s="252"/>
      <c r="JVP28" s="252"/>
      <c r="JVQ28" s="252"/>
      <c r="JVR28" s="252"/>
      <c r="JVS28" s="252"/>
      <c r="JVT28" s="252"/>
      <c r="JVU28" s="252"/>
      <c r="JVV28" s="252"/>
      <c r="JVW28" s="252"/>
      <c r="JVX28" s="252"/>
      <c r="JVY28" s="252"/>
      <c r="JVZ28" s="252"/>
      <c r="JWA28" s="252"/>
      <c r="JWB28" s="252"/>
      <c r="JWC28" s="252"/>
      <c r="JWD28" s="252"/>
      <c r="JWE28" s="252"/>
      <c r="JWF28" s="252"/>
      <c r="JWG28" s="252"/>
      <c r="JWH28" s="252"/>
      <c r="JWI28" s="252"/>
      <c r="JWJ28" s="252"/>
      <c r="JWK28" s="252"/>
      <c r="JWL28" s="252"/>
      <c r="JWM28" s="252"/>
      <c r="JWN28" s="252"/>
      <c r="JWO28" s="252"/>
      <c r="JWP28" s="252"/>
      <c r="JWQ28" s="252"/>
      <c r="JWR28" s="252"/>
      <c r="JWS28" s="252"/>
      <c r="JWT28" s="252"/>
      <c r="JWU28" s="252"/>
      <c r="JWV28" s="252"/>
      <c r="JWW28" s="252"/>
      <c r="JWX28" s="252"/>
      <c r="JWY28" s="252"/>
      <c r="JWZ28" s="252"/>
      <c r="JXA28" s="252"/>
      <c r="JXB28" s="252"/>
      <c r="JXC28" s="252"/>
      <c r="JXD28" s="252"/>
      <c r="JXE28" s="252"/>
      <c r="JXF28" s="252"/>
      <c r="JXG28" s="252"/>
      <c r="JXH28" s="252"/>
      <c r="JXI28" s="252"/>
      <c r="JXJ28" s="252"/>
      <c r="JXK28" s="252"/>
      <c r="JXL28" s="252"/>
      <c r="JXM28" s="252"/>
      <c r="JXN28" s="252"/>
      <c r="JXO28" s="252"/>
      <c r="JXP28" s="252"/>
      <c r="JXQ28" s="252"/>
      <c r="JXR28" s="252"/>
      <c r="JXS28" s="252"/>
      <c r="JXT28" s="252"/>
      <c r="JXU28" s="252"/>
      <c r="JXV28" s="252"/>
      <c r="JXW28" s="252"/>
      <c r="JXX28" s="252"/>
      <c r="JXY28" s="252"/>
      <c r="JXZ28" s="252"/>
      <c r="JYA28" s="252"/>
      <c r="JYB28" s="252"/>
      <c r="JYC28" s="252"/>
      <c r="JYD28" s="252"/>
      <c r="JYE28" s="252"/>
      <c r="JYF28" s="252"/>
      <c r="JYG28" s="252"/>
      <c r="JYH28" s="252"/>
      <c r="JYI28" s="252"/>
      <c r="JYJ28" s="252"/>
      <c r="JYK28" s="252"/>
      <c r="JYL28" s="252"/>
      <c r="JYM28" s="252"/>
      <c r="JYN28" s="252"/>
      <c r="JYO28" s="252"/>
      <c r="JYP28" s="252"/>
      <c r="JYQ28" s="252"/>
      <c r="JYR28" s="252"/>
      <c r="JYS28" s="252"/>
      <c r="JYT28" s="252"/>
      <c r="JYU28" s="252"/>
      <c r="JYV28" s="252"/>
      <c r="JYW28" s="252"/>
      <c r="JYX28" s="252"/>
      <c r="JYY28" s="252"/>
      <c r="JYZ28" s="252"/>
      <c r="JZA28" s="252"/>
      <c r="JZB28" s="252"/>
      <c r="JZC28" s="252"/>
      <c r="JZD28" s="252"/>
      <c r="JZE28" s="252"/>
      <c r="JZF28" s="252"/>
      <c r="JZG28" s="252"/>
      <c r="JZH28" s="252"/>
      <c r="JZI28" s="252"/>
      <c r="JZJ28" s="252"/>
      <c r="JZK28" s="252"/>
      <c r="JZL28" s="252"/>
      <c r="JZM28" s="252"/>
      <c r="JZN28" s="252"/>
      <c r="JZO28" s="252"/>
      <c r="JZP28" s="252"/>
      <c r="JZQ28" s="252"/>
      <c r="JZR28" s="252"/>
      <c r="JZS28" s="252"/>
      <c r="JZT28" s="252"/>
      <c r="JZU28" s="252"/>
      <c r="JZV28" s="252"/>
      <c r="JZW28" s="252"/>
      <c r="JZX28" s="252"/>
      <c r="JZY28" s="252"/>
      <c r="JZZ28" s="252"/>
      <c r="KAA28" s="252"/>
      <c r="KAB28" s="252"/>
      <c r="KAC28" s="252"/>
      <c r="KAD28" s="252"/>
      <c r="KAE28" s="252"/>
      <c r="KAF28" s="252"/>
      <c r="KAG28" s="252"/>
      <c r="KAH28" s="252"/>
      <c r="KAI28" s="252"/>
      <c r="KAJ28" s="252"/>
      <c r="KAK28" s="252"/>
      <c r="KAL28" s="252"/>
      <c r="KAM28" s="252"/>
      <c r="KAN28" s="252"/>
      <c r="KAO28" s="252"/>
      <c r="KAP28" s="252"/>
      <c r="KAQ28" s="252"/>
      <c r="KAR28" s="252"/>
      <c r="KAS28" s="252"/>
      <c r="KAT28" s="252"/>
      <c r="KAU28" s="252"/>
      <c r="KAV28" s="252"/>
      <c r="KAW28" s="252"/>
      <c r="KAX28" s="252"/>
      <c r="KAY28" s="252"/>
      <c r="KAZ28" s="252"/>
      <c r="KBA28" s="252"/>
      <c r="KBB28" s="252"/>
      <c r="KBC28" s="252"/>
      <c r="KBD28" s="252"/>
      <c r="KBE28" s="252"/>
      <c r="KBF28" s="252"/>
      <c r="KBG28" s="252"/>
      <c r="KBH28" s="252"/>
      <c r="KBI28" s="252"/>
      <c r="KBJ28" s="252"/>
      <c r="KBK28" s="252"/>
      <c r="KBL28" s="252"/>
      <c r="KBM28" s="252"/>
      <c r="KBN28" s="252"/>
      <c r="KBO28" s="252"/>
      <c r="KBP28" s="252"/>
      <c r="KBQ28" s="252"/>
      <c r="KBR28" s="252"/>
      <c r="KBS28" s="252"/>
      <c r="KBT28" s="252"/>
      <c r="KBU28" s="252"/>
      <c r="KBV28" s="252"/>
      <c r="KBW28" s="252"/>
      <c r="KBX28" s="252"/>
      <c r="KBY28" s="252"/>
      <c r="KBZ28" s="252"/>
      <c r="KCA28" s="252"/>
      <c r="KCB28" s="252"/>
      <c r="KCC28" s="252"/>
      <c r="KCD28" s="252"/>
      <c r="KCE28" s="252"/>
      <c r="KCF28" s="252"/>
      <c r="KCG28" s="252"/>
      <c r="KCH28" s="252"/>
      <c r="KCI28" s="252"/>
      <c r="KCJ28" s="252"/>
      <c r="KCK28" s="252"/>
      <c r="KCL28" s="252"/>
      <c r="KCM28" s="252"/>
      <c r="KCN28" s="252"/>
      <c r="KCO28" s="252"/>
      <c r="KCP28" s="252"/>
      <c r="KCQ28" s="252"/>
      <c r="KCR28" s="252"/>
      <c r="KCS28" s="252"/>
      <c r="KCT28" s="252"/>
      <c r="KCU28" s="252"/>
      <c r="KCV28" s="252"/>
      <c r="KCW28" s="252"/>
      <c r="KCX28" s="252"/>
      <c r="KCY28" s="252"/>
      <c r="KCZ28" s="252"/>
      <c r="KDA28" s="252"/>
      <c r="KDB28" s="252"/>
      <c r="KDC28" s="252"/>
      <c r="KDD28" s="252"/>
      <c r="KDE28" s="252"/>
      <c r="KDF28" s="252"/>
      <c r="KDG28" s="252"/>
      <c r="KDH28" s="252"/>
      <c r="KDI28" s="252"/>
      <c r="KDJ28" s="252"/>
      <c r="KDK28" s="252"/>
      <c r="KDL28" s="252"/>
      <c r="KDM28" s="252"/>
      <c r="KDN28" s="252"/>
      <c r="KDO28" s="252"/>
      <c r="KDP28" s="252"/>
      <c r="KDQ28" s="252"/>
      <c r="KDR28" s="252"/>
      <c r="KDS28" s="252"/>
      <c r="KDT28" s="252"/>
      <c r="KDU28" s="252"/>
      <c r="KDV28" s="252"/>
      <c r="KDW28" s="252"/>
      <c r="KDX28" s="252"/>
      <c r="KDY28" s="252"/>
      <c r="KDZ28" s="252"/>
      <c r="KEA28" s="252"/>
      <c r="KEB28" s="252"/>
      <c r="KEC28" s="252"/>
      <c r="KED28" s="252"/>
      <c r="KEE28" s="252"/>
      <c r="KEF28" s="252"/>
      <c r="KEG28" s="252"/>
      <c r="KEH28" s="252"/>
      <c r="KEI28" s="252"/>
      <c r="KEJ28" s="252"/>
      <c r="KEK28" s="252"/>
      <c r="KEL28" s="252"/>
      <c r="KEM28" s="252"/>
      <c r="KEN28" s="252"/>
      <c r="KEO28" s="252"/>
      <c r="KEP28" s="252"/>
      <c r="KEQ28" s="252"/>
      <c r="KER28" s="252"/>
      <c r="KES28" s="252"/>
      <c r="KET28" s="252"/>
      <c r="KEU28" s="252"/>
      <c r="KEV28" s="252"/>
      <c r="KEW28" s="252"/>
      <c r="KEX28" s="252"/>
      <c r="KEY28" s="252"/>
      <c r="KEZ28" s="252"/>
      <c r="KFA28" s="252"/>
      <c r="KFB28" s="252"/>
      <c r="KFC28" s="252"/>
      <c r="KFD28" s="252"/>
      <c r="KFE28" s="252"/>
      <c r="KFF28" s="252"/>
      <c r="KFG28" s="252"/>
      <c r="KFH28" s="252"/>
      <c r="KFI28" s="252"/>
      <c r="KFJ28" s="252"/>
      <c r="KFK28" s="252"/>
      <c r="KFL28" s="252"/>
      <c r="KFM28" s="252"/>
      <c r="KFN28" s="252"/>
      <c r="KFO28" s="252"/>
      <c r="KFP28" s="252"/>
      <c r="KFQ28" s="252"/>
      <c r="KFR28" s="252"/>
      <c r="KFS28" s="252"/>
      <c r="KFT28" s="252"/>
      <c r="KFU28" s="252"/>
      <c r="KFV28" s="252"/>
      <c r="KFW28" s="252"/>
      <c r="KFX28" s="252"/>
      <c r="KFY28" s="252"/>
      <c r="KFZ28" s="252"/>
      <c r="KGA28" s="252"/>
      <c r="KGB28" s="252"/>
      <c r="KGC28" s="252"/>
      <c r="KGD28" s="252"/>
      <c r="KGE28" s="252"/>
      <c r="KGF28" s="252"/>
      <c r="KGG28" s="252"/>
      <c r="KGH28" s="252"/>
      <c r="KGI28" s="252"/>
      <c r="KGJ28" s="252"/>
      <c r="KGK28" s="252"/>
      <c r="KGL28" s="252"/>
      <c r="KGM28" s="252"/>
      <c r="KGN28" s="252"/>
      <c r="KGO28" s="252"/>
      <c r="KGP28" s="252"/>
      <c r="KGQ28" s="252"/>
      <c r="KGR28" s="252"/>
      <c r="KGS28" s="252"/>
      <c r="KGT28" s="252"/>
      <c r="KGU28" s="252"/>
      <c r="KGV28" s="252"/>
      <c r="KGW28" s="252"/>
      <c r="KGX28" s="252"/>
      <c r="KGY28" s="252"/>
      <c r="KGZ28" s="252"/>
      <c r="KHA28" s="252"/>
      <c r="KHB28" s="252"/>
      <c r="KHC28" s="252"/>
      <c r="KHD28" s="252"/>
      <c r="KHE28" s="252"/>
      <c r="KHF28" s="252"/>
      <c r="KHG28" s="252"/>
      <c r="KHH28" s="252"/>
      <c r="KHI28" s="252"/>
      <c r="KHJ28" s="252"/>
      <c r="KHK28" s="252"/>
      <c r="KHL28" s="252"/>
      <c r="KHM28" s="252"/>
      <c r="KHN28" s="252"/>
      <c r="KHO28" s="252"/>
      <c r="KHP28" s="252"/>
      <c r="KHQ28" s="252"/>
      <c r="KHR28" s="252"/>
      <c r="KHS28" s="252"/>
      <c r="KHT28" s="252"/>
      <c r="KHU28" s="252"/>
      <c r="KHV28" s="252"/>
      <c r="KHW28" s="252"/>
      <c r="KHX28" s="252"/>
      <c r="KHY28" s="252"/>
      <c r="KHZ28" s="252"/>
      <c r="KIA28" s="252"/>
      <c r="KIB28" s="252"/>
      <c r="KIC28" s="252"/>
      <c r="KID28" s="252"/>
      <c r="KIE28" s="252"/>
      <c r="KIF28" s="252"/>
      <c r="KIG28" s="252"/>
      <c r="KIH28" s="252"/>
      <c r="KII28" s="252"/>
      <c r="KIJ28" s="252"/>
      <c r="KIK28" s="252"/>
      <c r="KIL28" s="252"/>
      <c r="KIM28" s="252"/>
      <c r="KIN28" s="252"/>
      <c r="KIO28" s="252"/>
      <c r="KIP28" s="252"/>
      <c r="KIQ28" s="252"/>
      <c r="KIR28" s="252"/>
      <c r="KIS28" s="252"/>
      <c r="KIT28" s="252"/>
      <c r="KIU28" s="252"/>
      <c r="KIV28" s="252"/>
      <c r="KIW28" s="252"/>
      <c r="KIX28" s="252"/>
      <c r="KIY28" s="252"/>
      <c r="KIZ28" s="252"/>
      <c r="KJA28" s="252"/>
      <c r="KJB28" s="252"/>
      <c r="KJC28" s="252"/>
      <c r="KJD28" s="252"/>
      <c r="KJE28" s="252"/>
      <c r="KJF28" s="252"/>
      <c r="KJG28" s="252"/>
      <c r="KJH28" s="252"/>
      <c r="KJI28" s="252"/>
      <c r="KJJ28" s="252"/>
      <c r="KJK28" s="252"/>
      <c r="KJL28" s="252"/>
      <c r="KJM28" s="252"/>
      <c r="KJN28" s="252"/>
      <c r="KJO28" s="252"/>
      <c r="KJP28" s="252"/>
      <c r="KJQ28" s="252"/>
      <c r="KJR28" s="252"/>
      <c r="KJS28" s="252"/>
      <c r="KJT28" s="252"/>
      <c r="KJU28" s="252"/>
      <c r="KJV28" s="252"/>
      <c r="KJW28" s="252"/>
      <c r="KJX28" s="252"/>
      <c r="KJY28" s="252"/>
      <c r="KJZ28" s="252"/>
      <c r="KKA28" s="252"/>
      <c r="KKB28" s="252"/>
      <c r="KKC28" s="252"/>
      <c r="KKD28" s="252"/>
      <c r="KKE28" s="252"/>
      <c r="KKF28" s="252"/>
      <c r="KKG28" s="252"/>
      <c r="KKH28" s="252"/>
      <c r="KKI28" s="252"/>
      <c r="KKJ28" s="252"/>
      <c r="KKK28" s="252"/>
      <c r="KKL28" s="252"/>
      <c r="KKM28" s="252"/>
      <c r="KKN28" s="252"/>
      <c r="KKO28" s="252"/>
      <c r="KKP28" s="252"/>
      <c r="KKQ28" s="252"/>
      <c r="KKR28" s="252"/>
      <c r="KKS28" s="252"/>
      <c r="KKT28" s="252"/>
      <c r="KKU28" s="252"/>
      <c r="KKV28" s="252"/>
      <c r="KKW28" s="252"/>
      <c r="KKX28" s="252"/>
      <c r="KKY28" s="252"/>
      <c r="KKZ28" s="252"/>
      <c r="KLA28" s="252"/>
      <c r="KLB28" s="252"/>
      <c r="KLC28" s="252"/>
      <c r="KLD28" s="252"/>
      <c r="KLE28" s="252"/>
      <c r="KLF28" s="252"/>
      <c r="KLG28" s="252"/>
      <c r="KLH28" s="252"/>
      <c r="KLI28" s="252"/>
      <c r="KLJ28" s="252"/>
      <c r="KLK28" s="252"/>
      <c r="KLL28" s="252"/>
      <c r="KLM28" s="252"/>
      <c r="KLN28" s="252"/>
      <c r="KLO28" s="252"/>
      <c r="KLP28" s="252"/>
      <c r="KLQ28" s="252"/>
      <c r="KLR28" s="252"/>
      <c r="KLS28" s="252"/>
      <c r="KLT28" s="252"/>
      <c r="KLU28" s="252"/>
      <c r="KLV28" s="252"/>
      <c r="KLW28" s="252"/>
      <c r="KLX28" s="252"/>
      <c r="KLY28" s="252"/>
      <c r="KLZ28" s="252"/>
      <c r="KMA28" s="252"/>
      <c r="KMB28" s="252"/>
      <c r="KMC28" s="252"/>
      <c r="KMD28" s="252"/>
      <c r="KME28" s="252"/>
      <c r="KMF28" s="252"/>
      <c r="KMG28" s="252"/>
      <c r="KMH28" s="252"/>
      <c r="KMI28" s="252"/>
      <c r="KMJ28" s="252"/>
      <c r="KMK28" s="252"/>
      <c r="KML28" s="252"/>
      <c r="KMM28" s="252"/>
      <c r="KMN28" s="252"/>
      <c r="KMO28" s="252"/>
      <c r="KMP28" s="252"/>
      <c r="KMQ28" s="252"/>
      <c r="KMR28" s="252"/>
      <c r="KMS28" s="252"/>
      <c r="KMT28" s="252"/>
      <c r="KMU28" s="252"/>
      <c r="KMV28" s="252"/>
      <c r="KMW28" s="252"/>
      <c r="KMX28" s="252"/>
      <c r="KMY28" s="252"/>
      <c r="KMZ28" s="252"/>
      <c r="KNA28" s="252"/>
      <c r="KNB28" s="252"/>
      <c r="KNC28" s="252"/>
      <c r="KND28" s="252"/>
      <c r="KNE28" s="252"/>
      <c r="KNF28" s="252"/>
      <c r="KNG28" s="252"/>
      <c r="KNH28" s="252"/>
      <c r="KNI28" s="252"/>
      <c r="KNJ28" s="252"/>
      <c r="KNK28" s="252"/>
      <c r="KNL28" s="252"/>
      <c r="KNM28" s="252"/>
      <c r="KNN28" s="252"/>
      <c r="KNO28" s="252"/>
      <c r="KNP28" s="252"/>
      <c r="KNQ28" s="252"/>
      <c r="KNR28" s="252"/>
      <c r="KNS28" s="252"/>
      <c r="KNT28" s="252"/>
      <c r="KNU28" s="252"/>
      <c r="KNV28" s="252"/>
      <c r="KNW28" s="252"/>
      <c r="KNX28" s="252"/>
      <c r="KNY28" s="252"/>
      <c r="KNZ28" s="252"/>
      <c r="KOA28" s="252"/>
      <c r="KOB28" s="252"/>
      <c r="KOC28" s="252"/>
      <c r="KOD28" s="252"/>
      <c r="KOE28" s="252"/>
      <c r="KOF28" s="252"/>
      <c r="KOG28" s="252"/>
      <c r="KOH28" s="252"/>
      <c r="KOI28" s="252"/>
      <c r="KOJ28" s="252"/>
      <c r="KOK28" s="252"/>
      <c r="KOL28" s="252"/>
      <c r="KOM28" s="252"/>
      <c r="KON28" s="252"/>
      <c r="KOO28" s="252"/>
      <c r="KOP28" s="252"/>
      <c r="KOQ28" s="252"/>
      <c r="KOR28" s="252"/>
      <c r="KOS28" s="252"/>
      <c r="KOT28" s="252"/>
      <c r="KOU28" s="252"/>
      <c r="KOV28" s="252"/>
      <c r="KOW28" s="252"/>
      <c r="KOX28" s="252"/>
      <c r="KOY28" s="252"/>
      <c r="KOZ28" s="252"/>
      <c r="KPA28" s="252"/>
      <c r="KPB28" s="252"/>
      <c r="KPC28" s="252"/>
      <c r="KPD28" s="252"/>
      <c r="KPE28" s="252"/>
      <c r="KPF28" s="252"/>
      <c r="KPG28" s="252"/>
      <c r="KPH28" s="252"/>
      <c r="KPI28" s="252"/>
      <c r="KPJ28" s="252"/>
      <c r="KPK28" s="252"/>
      <c r="KPL28" s="252"/>
      <c r="KPM28" s="252"/>
      <c r="KPN28" s="252"/>
      <c r="KPO28" s="252"/>
      <c r="KPP28" s="252"/>
      <c r="KPQ28" s="252"/>
      <c r="KPR28" s="252"/>
      <c r="KPS28" s="252"/>
      <c r="KPT28" s="252"/>
      <c r="KPU28" s="252"/>
      <c r="KPV28" s="252"/>
      <c r="KPW28" s="252"/>
      <c r="KPX28" s="252"/>
      <c r="KPY28" s="252"/>
      <c r="KPZ28" s="252"/>
      <c r="KQA28" s="252"/>
      <c r="KQB28" s="252"/>
      <c r="KQC28" s="252"/>
      <c r="KQD28" s="252"/>
      <c r="KQE28" s="252"/>
      <c r="KQF28" s="252"/>
      <c r="KQG28" s="252"/>
      <c r="KQH28" s="252"/>
      <c r="KQI28" s="252"/>
      <c r="KQJ28" s="252"/>
      <c r="KQK28" s="252"/>
      <c r="KQL28" s="252"/>
      <c r="KQM28" s="252"/>
      <c r="KQN28" s="252"/>
      <c r="KQO28" s="252"/>
      <c r="KQP28" s="252"/>
      <c r="KQQ28" s="252"/>
      <c r="KQR28" s="252"/>
      <c r="KQS28" s="252"/>
      <c r="KQT28" s="252"/>
      <c r="KQU28" s="252"/>
      <c r="KQV28" s="252"/>
      <c r="KQW28" s="252"/>
      <c r="KQX28" s="252"/>
      <c r="KQY28" s="252"/>
      <c r="KQZ28" s="252"/>
      <c r="KRA28" s="252"/>
      <c r="KRB28" s="252"/>
      <c r="KRC28" s="252"/>
      <c r="KRD28" s="252"/>
      <c r="KRE28" s="252"/>
      <c r="KRF28" s="252"/>
      <c r="KRG28" s="252"/>
      <c r="KRH28" s="252"/>
      <c r="KRI28" s="252"/>
      <c r="KRJ28" s="252"/>
      <c r="KRK28" s="252"/>
      <c r="KRL28" s="252"/>
      <c r="KRM28" s="252"/>
      <c r="KRN28" s="252"/>
      <c r="KRO28" s="252"/>
      <c r="KRP28" s="252"/>
      <c r="KRQ28" s="252"/>
      <c r="KRR28" s="252"/>
      <c r="KRS28" s="252"/>
      <c r="KRT28" s="252"/>
      <c r="KRU28" s="252"/>
      <c r="KRV28" s="252"/>
      <c r="KRW28" s="252"/>
      <c r="KRX28" s="252"/>
      <c r="KRY28" s="252"/>
      <c r="KRZ28" s="252"/>
      <c r="KSA28" s="252"/>
      <c r="KSB28" s="252"/>
      <c r="KSC28" s="252"/>
      <c r="KSD28" s="252"/>
      <c r="KSE28" s="252"/>
      <c r="KSF28" s="252"/>
      <c r="KSG28" s="252"/>
      <c r="KSH28" s="252"/>
      <c r="KSI28" s="252"/>
      <c r="KSJ28" s="252"/>
      <c r="KSK28" s="252"/>
      <c r="KSL28" s="252"/>
      <c r="KSM28" s="252"/>
      <c r="KSN28" s="252"/>
      <c r="KSO28" s="252"/>
      <c r="KSP28" s="252"/>
      <c r="KSQ28" s="252"/>
      <c r="KSR28" s="252"/>
      <c r="KSS28" s="252"/>
      <c r="KST28" s="252"/>
      <c r="KSU28" s="252"/>
      <c r="KSV28" s="252"/>
      <c r="KSW28" s="252"/>
      <c r="KSX28" s="252"/>
      <c r="KSY28" s="252"/>
      <c r="KSZ28" s="252"/>
      <c r="KTA28" s="252"/>
      <c r="KTB28" s="252"/>
      <c r="KTC28" s="252"/>
      <c r="KTD28" s="252"/>
      <c r="KTE28" s="252"/>
      <c r="KTF28" s="252"/>
      <c r="KTG28" s="252"/>
      <c r="KTH28" s="252"/>
      <c r="KTI28" s="252"/>
      <c r="KTJ28" s="252"/>
      <c r="KTK28" s="252"/>
      <c r="KTL28" s="252"/>
      <c r="KTM28" s="252"/>
      <c r="KTN28" s="252"/>
      <c r="KTO28" s="252"/>
      <c r="KTP28" s="252"/>
      <c r="KTQ28" s="252"/>
      <c r="KTR28" s="252"/>
      <c r="KTS28" s="252"/>
      <c r="KTT28" s="252"/>
      <c r="KTU28" s="252"/>
      <c r="KTV28" s="252"/>
      <c r="KTW28" s="252"/>
      <c r="KTX28" s="252"/>
      <c r="KTY28" s="252"/>
      <c r="KTZ28" s="252"/>
      <c r="KUA28" s="252"/>
      <c r="KUB28" s="252"/>
      <c r="KUC28" s="252"/>
      <c r="KUD28" s="252"/>
      <c r="KUE28" s="252"/>
      <c r="KUF28" s="252"/>
      <c r="KUG28" s="252"/>
      <c r="KUH28" s="252"/>
      <c r="KUI28" s="252"/>
      <c r="KUJ28" s="252"/>
      <c r="KUK28" s="252"/>
      <c r="KUL28" s="252"/>
      <c r="KUM28" s="252"/>
      <c r="KUN28" s="252"/>
      <c r="KUO28" s="252"/>
      <c r="KUP28" s="252"/>
      <c r="KUQ28" s="252"/>
      <c r="KUR28" s="252"/>
      <c r="KUS28" s="252"/>
      <c r="KUT28" s="252"/>
      <c r="KUU28" s="252"/>
      <c r="KUV28" s="252"/>
      <c r="KUW28" s="252"/>
      <c r="KUX28" s="252"/>
      <c r="KUY28" s="252"/>
      <c r="KUZ28" s="252"/>
      <c r="KVA28" s="252"/>
      <c r="KVB28" s="252"/>
      <c r="KVC28" s="252"/>
      <c r="KVD28" s="252"/>
      <c r="KVE28" s="252"/>
      <c r="KVF28" s="252"/>
      <c r="KVG28" s="252"/>
      <c r="KVH28" s="252"/>
      <c r="KVI28" s="252"/>
      <c r="KVJ28" s="252"/>
      <c r="KVK28" s="252"/>
      <c r="KVL28" s="252"/>
      <c r="KVM28" s="252"/>
      <c r="KVN28" s="252"/>
      <c r="KVO28" s="252"/>
      <c r="KVP28" s="252"/>
      <c r="KVQ28" s="252"/>
      <c r="KVR28" s="252"/>
      <c r="KVS28" s="252"/>
      <c r="KVT28" s="252"/>
      <c r="KVU28" s="252"/>
      <c r="KVV28" s="252"/>
      <c r="KVW28" s="252"/>
      <c r="KVX28" s="252"/>
      <c r="KVY28" s="252"/>
      <c r="KVZ28" s="252"/>
      <c r="KWA28" s="252"/>
      <c r="KWB28" s="252"/>
      <c r="KWC28" s="252"/>
      <c r="KWD28" s="252"/>
      <c r="KWE28" s="252"/>
      <c r="KWF28" s="252"/>
      <c r="KWG28" s="252"/>
      <c r="KWH28" s="252"/>
      <c r="KWI28" s="252"/>
      <c r="KWJ28" s="252"/>
      <c r="KWK28" s="252"/>
      <c r="KWL28" s="252"/>
      <c r="KWM28" s="252"/>
      <c r="KWN28" s="252"/>
      <c r="KWO28" s="252"/>
      <c r="KWP28" s="252"/>
      <c r="KWQ28" s="252"/>
      <c r="KWR28" s="252"/>
      <c r="KWS28" s="252"/>
      <c r="KWT28" s="252"/>
      <c r="KWU28" s="252"/>
      <c r="KWV28" s="252"/>
      <c r="KWW28" s="252"/>
      <c r="KWX28" s="252"/>
      <c r="KWY28" s="252"/>
      <c r="KWZ28" s="252"/>
      <c r="KXA28" s="252"/>
      <c r="KXB28" s="252"/>
      <c r="KXC28" s="252"/>
      <c r="KXD28" s="252"/>
      <c r="KXE28" s="252"/>
      <c r="KXF28" s="252"/>
      <c r="KXG28" s="252"/>
      <c r="KXH28" s="252"/>
      <c r="KXI28" s="252"/>
      <c r="KXJ28" s="252"/>
      <c r="KXK28" s="252"/>
      <c r="KXL28" s="252"/>
      <c r="KXM28" s="252"/>
      <c r="KXN28" s="252"/>
      <c r="KXO28" s="252"/>
      <c r="KXP28" s="252"/>
      <c r="KXQ28" s="252"/>
      <c r="KXR28" s="252"/>
      <c r="KXS28" s="252"/>
      <c r="KXT28" s="252"/>
      <c r="KXU28" s="252"/>
      <c r="KXV28" s="252"/>
      <c r="KXW28" s="252"/>
      <c r="KXX28" s="252"/>
      <c r="KXY28" s="252"/>
      <c r="KXZ28" s="252"/>
      <c r="KYA28" s="252"/>
      <c r="KYB28" s="252"/>
      <c r="KYC28" s="252"/>
      <c r="KYD28" s="252"/>
      <c r="KYE28" s="252"/>
      <c r="KYF28" s="252"/>
      <c r="KYG28" s="252"/>
      <c r="KYH28" s="252"/>
      <c r="KYI28" s="252"/>
      <c r="KYJ28" s="252"/>
      <c r="KYK28" s="252"/>
      <c r="KYL28" s="252"/>
      <c r="KYM28" s="252"/>
      <c r="KYN28" s="252"/>
      <c r="KYO28" s="252"/>
      <c r="KYP28" s="252"/>
      <c r="KYQ28" s="252"/>
      <c r="KYR28" s="252"/>
      <c r="KYS28" s="252"/>
      <c r="KYT28" s="252"/>
      <c r="KYU28" s="252"/>
      <c r="KYV28" s="252"/>
      <c r="KYW28" s="252"/>
      <c r="KYX28" s="252"/>
      <c r="KYY28" s="252"/>
      <c r="KYZ28" s="252"/>
      <c r="KZA28" s="252"/>
      <c r="KZB28" s="252"/>
      <c r="KZC28" s="252"/>
      <c r="KZD28" s="252"/>
      <c r="KZE28" s="252"/>
      <c r="KZF28" s="252"/>
      <c r="KZG28" s="252"/>
      <c r="KZH28" s="252"/>
      <c r="KZI28" s="252"/>
      <c r="KZJ28" s="252"/>
      <c r="KZK28" s="252"/>
      <c r="KZL28" s="252"/>
      <c r="KZM28" s="252"/>
      <c r="KZN28" s="252"/>
      <c r="KZO28" s="252"/>
      <c r="KZP28" s="252"/>
      <c r="KZQ28" s="252"/>
      <c r="KZR28" s="252"/>
      <c r="KZS28" s="252"/>
      <c r="KZT28" s="252"/>
      <c r="KZU28" s="252"/>
      <c r="KZV28" s="252"/>
      <c r="KZW28" s="252"/>
      <c r="KZX28" s="252"/>
      <c r="KZY28" s="252"/>
      <c r="KZZ28" s="252"/>
      <c r="LAA28" s="252"/>
      <c r="LAB28" s="252"/>
      <c r="LAC28" s="252"/>
      <c r="LAD28" s="252"/>
      <c r="LAE28" s="252"/>
      <c r="LAF28" s="252"/>
      <c r="LAG28" s="252"/>
      <c r="LAH28" s="252"/>
      <c r="LAI28" s="252"/>
      <c r="LAJ28" s="252"/>
      <c r="LAK28" s="252"/>
      <c r="LAL28" s="252"/>
      <c r="LAM28" s="252"/>
      <c r="LAN28" s="252"/>
      <c r="LAO28" s="252"/>
      <c r="LAP28" s="252"/>
      <c r="LAQ28" s="252"/>
      <c r="LAR28" s="252"/>
      <c r="LAS28" s="252"/>
      <c r="LAT28" s="252"/>
      <c r="LAU28" s="252"/>
      <c r="LAV28" s="252"/>
      <c r="LAW28" s="252"/>
      <c r="LAX28" s="252"/>
      <c r="LAY28" s="252"/>
      <c r="LAZ28" s="252"/>
      <c r="LBA28" s="252"/>
      <c r="LBB28" s="252"/>
      <c r="LBC28" s="252"/>
      <c r="LBD28" s="252"/>
      <c r="LBE28" s="252"/>
      <c r="LBF28" s="252"/>
      <c r="LBG28" s="252"/>
      <c r="LBH28" s="252"/>
      <c r="LBI28" s="252"/>
      <c r="LBJ28" s="252"/>
      <c r="LBK28" s="252"/>
      <c r="LBL28" s="252"/>
      <c r="LBM28" s="252"/>
      <c r="LBN28" s="252"/>
      <c r="LBO28" s="252"/>
      <c r="LBP28" s="252"/>
      <c r="LBQ28" s="252"/>
      <c r="LBR28" s="252"/>
      <c r="LBS28" s="252"/>
      <c r="LBT28" s="252"/>
      <c r="LBU28" s="252"/>
      <c r="LBV28" s="252"/>
      <c r="LBW28" s="252"/>
      <c r="LBX28" s="252"/>
      <c r="LBY28" s="252"/>
      <c r="LBZ28" s="252"/>
      <c r="LCA28" s="252"/>
      <c r="LCB28" s="252"/>
      <c r="LCC28" s="252"/>
      <c r="LCD28" s="252"/>
      <c r="LCE28" s="252"/>
      <c r="LCF28" s="252"/>
      <c r="LCG28" s="252"/>
      <c r="LCH28" s="252"/>
      <c r="LCI28" s="252"/>
      <c r="LCJ28" s="252"/>
      <c r="LCK28" s="252"/>
      <c r="LCL28" s="252"/>
      <c r="LCM28" s="252"/>
      <c r="LCN28" s="252"/>
      <c r="LCO28" s="252"/>
      <c r="LCP28" s="252"/>
      <c r="LCQ28" s="252"/>
      <c r="LCR28" s="252"/>
      <c r="LCS28" s="252"/>
      <c r="LCT28" s="252"/>
      <c r="LCU28" s="252"/>
      <c r="LCV28" s="252"/>
      <c r="LCW28" s="252"/>
      <c r="LCX28" s="252"/>
      <c r="LCY28" s="252"/>
      <c r="LCZ28" s="252"/>
      <c r="LDA28" s="252"/>
      <c r="LDB28" s="252"/>
      <c r="LDC28" s="252"/>
      <c r="LDD28" s="252"/>
      <c r="LDE28" s="252"/>
      <c r="LDF28" s="252"/>
      <c r="LDG28" s="252"/>
      <c r="LDH28" s="252"/>
      <c r="LDI28" s="252"/>
      <c r="LDJ28" s="252"/>
      <c r="LDK28" s="252"/>
      <c r="LDL28" s="252"/>
      <c r="LDM28" s="252"/>
      <c r="LDN28" s="252"/>
      <c r="LDO28" s="252"/>
      <c r="LDP28" s="252"/>
      <c r="LDQ28" s="252"/>
      <c r="LDR28" s="252"/>
      <c r="LDS28" s="252"/>
      <c r="LDT28" s="252"/>
      <c r="LDU28" s="252"/>
      <c r="LDV28" s="252"/>
      <c r="LDW28" s="252"/>
      <c r="LDX28" s="252"/>
      <c r="LDY28" s="252"/>
      <c r="LDZ28" s="252"/>
      <c r="LEA28" s="252"/>
      <c r="LEB28" s="252"/>
      <c r="LEC28" s="252"/>
      <c r="LED28" s="252"/>
      <c r="LEE28" s="252"/>
      <c r="LEF28" s="252"/>
      <c r="LEG28" s="252"/>
      <c r="LEH28" s="252"/>
      <c r="LEI28" s="252"/>
      <c r="LEJ28" s="252"/>
      <c r="LEK28" s="252"/>
      <c r="LEL28" s="252"/>
      <c r="LEM28" s="252"/>
      <c r="LEN28" s="252"/>
      <c r="LEO28" s="252"/>
      <c r="LEP28" s="252"/>
      <c r="LEQ28" s="252"/>
      <c r="LER28" s="252"/>
      <c r="LES28" s="252"/>
      <c r="LET28" s="252"/>
      <c r="LEU28" s="252"/>
      <c r="LEV28" s="252"/>
      <c r="LEW28" s="252"/>
      <c r="LEX28" s="252"/>
      <c r="LEY28" s="252"/>
      <c r="LEZ28" s="252"/>
      <c r="LFA28" s="252"/>
      <c r="LFB28" s="252"/>
      <c r="LFC28" s="252"/>
      <c r="LFD28" s="252"/>
      <c r="LFE28" s="252"/>
      <c r="LFF28" s="252"/>
      <c r="LFG28" s="252"/>
      <c r="LFH28" s="252"/>
      <c r="LFI28" s="252"/>
      <c r="LFJ28" s="252"/>
      <c r="LFK28" s="252"/>
      <c r="LFL28" s="252"/>
      <c r="LFM28" s="252"/>
      <c r="LFN28" s="252"/>
      <c r="LFO28" s="252"/>
      <c r="LFP28" s="252"/>
      <c r="LFQ28" s="252"/>
      <c r="LFR28" s="252"/>
      <c r="LFS28" s="252"/>
      <c r="LFT28" s="252"/>
      <c r="LFU28" s="252"/>
      <c r="LFV28" s="252"/>
      <c r="LFW28" s="252"/>
      <c r="LFX28" s="252"/>
      <c r="LFY28" s="252"/>
      <c r="LFZ28" s="252"/>
      <c r="LGA28" s="252"/>
      <c r="LGB28" s="252"/>
      <c r="LGC28" s="252"/>
      <c r="LGD28" s="252"/>
      <c r="LGE28" s="252"/>
      <c r="LGF28" s="252"/>
      <c r="LGG28" s="252"/>
      <c r="LGH28" s="252"/>
      <c r="LGI28" s="252"/>
      <c r="LGJ28" s="252"/>
      <c r="LGK28" s="252"/>
      <c r="LGL28" s="252"/>
      <c r="LGM28" s="252"/>
      <c r="LGN28" s="252"/>
      <c r="LGO28" s="252"/>
      <c r="LGP28" s="252"/>
      <c r="LGQ28" s="252"/>
      <c r="LGR28" s="252"/>
      <c r="LGS28" s="252"/>
      <c r="LGT28" s="252"/>
      <c r="LGU28" s="252"/>
      <c r="LGV28" s="252"/>
      <c r="LGW28" s="252"/>
      <c r="LGX28" s="252"/>
      <c r="LGY28" s="252"/>
      <c r="LGZ28" s="252"/>
      <c r="LHA28" s="252"/>
      <c r="LHB28" s="252"/>
      <c r="LHC28" s="252"/>
      <c r="LHD28" s="252"/>
      <c r="LHE28" s="252"/>
      <c r="LHF28" s="252"/>
      <c r="LHG28" s="252"/>
      <c r="LHH28" s="252"/>
      <c r="LHI28" s="252"/>
      <c r="LHJ28" s="252"/>
      <c r="LHK28" s="252"/>
      <c r="LHL28" s="252"/>
      <c r="LHM28" s="252"/>
      <c r="LHN28" s="252"/>
      <c r="LHO28" s="252"/>
      <c r="LHP28" s="252"/>
      <c r="LHQ28" s="252"/>
      <c r="LHR28" s="252"/>
      <c r="LHS28" s="252"/>
      <c r="LHT28" s="252"/>
      <c r="LHU28" s="252"/>
      <c r="LHV28" s="252"/>
      <c r="LHW28" s="252"/>
      <c r="LHX28" s="252"/>
      <c r="LHY28" s="252"/>
      <c r="LHZ28" s="252"/>
      <c r="LIA28" s="252"/>
      <c r="LIB28" s="252"/>
      <c r="LIC28" s="252"/>
      <c r="LID28" s="252"/>
      <c r="LIE28" s="252"/>
      <c r="LIF28" s="252"/>
      <c r="LIG28" s="252"/>
      <c r="LIH28" s="252"/>
      <c r="LII28" s="252"/>
      <c r="LIJ28" s="252"/>
      <c r="LIK28" s="252"/>
      <c r="LIL28" s="252"/>
      <c r="LIM28" s="252"/>
      <c r="LIN28" s="252"/>
      <c r="LIO28" s="252"/>
      <c r="LIP28" s="252"/>
      <c r="LIQ28" s="252"/>
      <c r="LIR28" s="252"/>
      <c r="LIS28" s="252"/>
      <c r="LIT28" s="252"/>
      <c r="LIU28" s="252"/>
      <c r="LIV28" s="252"/>
      <c r="LIW28" s="252"/>
      <c r="LIX28" s="252"/>
      <c r="LIY28" s="252"/>
      <c r="LIZ28" s="252"/>
      <c r="LJA28" s="252"/>
      <c r="LJB28" s="252"/>
      <c r="LJC28" s="252"/>
      <c r="LJD28" s="252"/>
      <c r="LJE28" s="252"/>
      <c r="LJF28" s="252"/>
      <c r="LJG28" s="252"/>
      <c r="LJH28" s="252"/>
      <c r="LJI28" s="252"/>
      <c r="LJJ28" s="252"/>
      <c r="LJK28" s="252"/>
      <c r="LJL28" s="252"/>
      <c r="LJM28" s="252"/>
      <c r="LJN28" s="252"/>
      <c r="LJO28" s="252"/>
      <c r="LJP28" s="252"/>
      <c r="LJQ28" s="252"/>
      <c r="LJR28" s="252"/>
      <c r="LJS28" s="252"/>
      <c r="LJT28" s="252"/>
      <c r="LJU28" s="252"/>
      <c r="LJV28" s="252"/>
      <c r="LJW28" s="252"/>
      <c r="LJX28" s="252"/>
      <c r="LJY28" s="252"/>
      <c r="LJZ28" s="252"/>
      <c r="LKA28" s="252"/>
      <c r="LKB28" s="252"/>
      <c r="LKC28" s="252"/>
      <c r="LKD28" s="252"/>
      <c r="LKE28" s="252"/>
      <c r="LKF28" s="252"/>
      <c r="LKG28" s="252"/>
      <c r="LKH28" s="252"/>
      <c r="LKI28" s="252"/>
      <c r="LKJ28" s="252"/>
      <c r="LKK28" s="252"/>
      <c r="LKL28" s="252"/>
      <c r="LKM28" s="252"/>
      <c r="LKN28" s="252"/>
      <c r="LKO28" s="252"/>
      <c r="LKP28" s="252"/>
      <c r="LKQ28" s="252"/>
      <c r="LKR28" s="252"/>
      <c r="LKS28" s="252"/>
      <c r="LKT28" s="252"/>
      <c r="LKU28" s="252"/>
      <c r="LKV28" s="252"/>
      <c r="LKW28" s="252"/>
      <c r="LKX28" s="252"/>
      <c r="LKY28" s="252"/>
      <c r="LKZ28" s="252"/>
      <c r="LLA28" s="252"/>
      <c r="LLB28" s="252"/>
      <c r="LLC28" s="252"/>
      <c r="LLD28" s="252"/>
      <c r="LLE28" s="252"/>
      <c r="LLF28" s="252"/>
      <c r="LLG28" s="252"/>
      <c r="LLH28" s="252"/>
      <c r="LLI28" s="252"/>
      <c r="LLJ28" s="252"/>
      <c r="LLK28" s="252"/>
      <c r="LLL28" s="252"/>
      <c r="LLM28" s="252"/>
      <c r="LLN28" s="252"/>
      <c r="LLO28" s="252"/>
      <c r="LLP28" s="252"/>
      <c r="LLQ28" s="252"/>
      <c r="LLR28" s="252"/>
      <c r="LLS28" s="252"/>
      <c r="LLT28" s="252"/>
      <c r="LLU28" s="252"/>
      <c r="LLV28" s="252"/>
      <c r="LLW28" s="252"/>
      <c r="LLX28" s="252"/>
      <c r="LLY28" s="252"/>
      <c r="LLZ28" s="252"/>
      <c r="LMA28" s="252"/>
      <c r="LMB28" s="252"/>
      <c r="LMC28" s="252"/>
      <c r="LMD28" s="252"/>
      <c r="LME28" s="252"/>
      <c r="LMF28" s="252"/>
      <c r="LMG28" s="252"/>
      <c r="LMH28" s="252"/>
      <c r="LMI28" s="252"/>
      <c r="LMJ28" s="252"/>
      <c r="LMK28" s="252"/>
      <c r="LML28" s="252"/>
      <c r="LMM28" s="252"/>
      <c r="LMN28" s="252"/>
      <c r="LMO28" s="252"/>
      <c r="LMP28" s="252"/>
      <c r="LMQ28" s="252"/>
      <c r="LMR28" s="252"/>
      <c r="LMS28" s="252"/>
      <c r="LMT28" s="252"/>
      <c r="LMU28" s="252"/>
      <c r="LMV28" s="252"/>
      <c r="LMW28" s="252"/>
      <c r="LMX28" s="252"/>
      <c r="LMY28" s="252"/>
      <c r="LMZ28" s="252"/>
      <c r="LNA28" s="252"/>
      <c r="LNB28" s="252"/>
      <c r="LNC28" s="252"/>
      <c r="LND28" s="252"/>
      <c r="LNE28" s="252"/>
      <c r="LNF28" s="252"/>
      <c r="LNG28" s="252"/>
      <c r="LNH28" s="252"/>
      <c r="LNI28" s="252"/>
      <c r="LNJ28" s="252"/>
      <c r="LNK28" s="252"/>
      <c r="LNL28" s="252"/>
      <c r="LNM28" s="252"/>
      <c r="LNN28" s="252"/>
      <c r="LNO28" s="252"/>
      <c r="LNP28" s="252"/>
      <c r="LNQ28" s="252"/>
      <c r="LNR28" s="252"/>
      <c r="LNS28" s="252"/>
      <c r="LNT28" s="252"/>
      <c r="LNU28" s="252"/>
      <c r="LNV28" s="252"/>
      <c r="LNW28" s="252"/>
      <c r="LNX28" s="252"/>
      <c r="LNY28" s="252"/>
      <c r="LNZ28" s="252"/>
      <c r="LOA28" s="252"/>
      <c r="LOB28" s="252"/>
      <c r="LOC28" s="252"/>
      <c r="LOD28" s="252"/>
      <c r="LOE28" s="252"/>
      <c r="LOF28" s="252"/>
      <c r="LOG28" s="252"/>
      <c r="LOH28" s="252"/>
      <c r="LOI28" s="252"/>
      <c r="LOJ28" s="252"/>
      <c r="LOK28" s="252"/>
      <c r="LOL28" s="252"/>
      <c r="LOM28" s="252"/>
      <c r="LON28" s="252"/>
      <c r="LOO28" s="252"/>
      <c r="LOP28" s="252"/>
      <c r="LOQ28" s="252"/>
      <c r="LOR28" s="252"/>
      <c r="LOS28" s="252"/>
      <c r="LOT28" s="252"/>
      <c r="LOU28" s="252"/>
      <c r="LOV28" s="252"/>
      <c r="LOW28" s="252"/>
      <c r="LOX28" s="252"/>
      <c r="LOY28" s="252"/>
      <c r="LOZ28" s="252"/>
      <c r="LPA28" s="252"/>
      <c r="LPB28" s="252"/>
      <c r="LPC28" s="252"/>
      <c r="LPD28" s="252"/>
      <c r="LPE28" s="252"/>
      <c r="LPF28" s="252"/>
      <c r="LPG28" s="252"/>
      <c r="LPH28" s="252"/>
      <c r="LPI28" s="252"/>
      <c r="LPJ28" s="252"/>
      <c r="LPK28" s="252"/>
      <c r="LPL28" s="252"/>
      <c r="LPM28" s="252"/>
      <c r="LPN28" s="252"/>
      <c r="LPO28" s="252"/>
      <c r="LPP28" s="252"/>
      <c r="LPQ28" s="252"/>
      <c r="LPR28" s="252"/>
      <c r="LPS28" s="252"/>
      <c r="LPT28" s="252"/>
      <c r="LPU28" s="252"/>
      <c r="LPV28" s="252"/>
      <c r="LPW28" s="252"/>
      <c r="LPX28" s="252"/>
      <c r="LPY28" s="252"/>
      <c r="LPZ28" s="252"/>
      <c r="LQA28" s="252"/>
      <c r="LQB28" s="252"/>
      <c r="LQC28" s="252"/>
      <c r="LQD28" s="252"/>
      <c r="LQE28" s="252"/>
      <c r="LQF28" s="252"/>
      <c r="LQG28" s="252"/>
      <c r="LQH28" s="252"/>
      <c r="LQI28" s="252"/>
      <c r="LQJ28" s="252"/>
      <c r="LQK28" s="252"/>
      <c r="LQL28" s="252"/>
      <c r="LQM28" s="252"/>
      <c r="LQN28" s="252"/>
      <c r="LQO28" s="252"/>
      <c r="LQP28" s="252"/>
      <c r="LQQ28" s="252"/>
      <c r="LQR28" s="252"/>
      <c r="LQS28" s="252"/>
      <c r="LQT28" s="252"/>
      <c r="LQU28" s="252"/>
      <c r="LQV28" s="252"/>
      <c r="LQW28" s="252"/>
      <c r="LQX28" s="252"/>
      <c r="LQY28" s="252"/>
      <c r="LQZ28" s="252"/>
      <c r="LRA28" s="252"/>
      <c r="LRB28" s="252"/>
      <c r="LRC28" s="252"/>
      <c r="LRD28" s="252"/>
      <c r="LRE28" s="252"/>
      <c r="LRF28" s="252"/>
      <c r="LRG28" s="252"/>
      <c r="LRH28" s="252"/>
      <c r="LRI28" s="252"/>
      <c r="LRJ28" s="252"/>
      <c r="LRK28" s="252"/>
      <c r="LRL28" s="252"/>
      <c r="LRM28" s="252"/>
      <c r="LRN28" s="252"/>
      <c r="LRO28" s="252"/>
      <c r="LRP28" s="252"/>
      <c r="LRQ28" s="252"/>
      <c r="LRR28" s="252"/>
      <c r="LRS28" s="252"/>
      <c r="LRT28" s="252"/>
      <c r="LRU28" s="252"/>
      <c r="LRV28" s="252"/>
      <c r="LRW28" s="252"/>
      <c r="LRX28" s="252"/>
      <c r="LRY28" s="252"/>
      <c r="LRZ28" s="252"/>
      <c r="LSA28" s="252"/>
      <c r="LSB28" s="252"/>
      <c r="LSC28" s="252"/>
      <c r="LSD28" s="252"/>
      <c r="LSE28" s="252"/>
      <c r="LSF28" s="252"/>
      <c r="LSG28" s="252"/>
      <c r="LSH28" s="252"/>
      <c r="LSI28" s="252"/>
      <c r="LSJ28" s="252"/>
      <c r="LSK28" s="252"/>
      <c r="LSL28" s="252"/>
      <c r="LSM28" s="252"/>
      <c r="LSN28" s="252"/>
      <c r="LSO28" s="252"/>
      <c r="LSP28" s="252"/>
      <c r="LSQ28" s="252"/>
      <c r="LSR28" s="252"/>
      <c r="LSS28" s="252"/>
      <c r="LST28" s="252"/>
      <c r="LSU28" s="252"/>
      <c r="LSV28" s="252"/>
      <c r="LSW28" s="252"/>
      <c r="LSX28" s="252"/>
      <c r="LSY28" s="252"/>
      <c r="LSZ28" s="252"/>
      <c r="LTA28" s="252"/>
      <c r="LTB28" s="252"/>
      <c r="LTC28" s="252"/>
      <c r="LTD28" s="252"/>
      <c r="LTE28" s="252"/>
      <c r="LTF28" s="252"/>
      <c r="LTG28" s="252"/>
      <c r="LTH28" s="252"/>
      <c r="LTI28" s="252"/>
      <c r="LTJ28" s="252"/>
      <c r="LTK28" s="252"/>
      <c r="LTL28" s="252"/>
      <c r="LTM28" s="252"/>
      <c r="LTN28" s="252"/>
      <c r="LTO28" s="252"/>
      <c r="LTP28" s="252"/>
      <c r="LTQ28" s="252"/>
      <c r="LTR28" s="252"/>
      <c r="LTS28" s="252"/>
      <c r="LTT28" s="252"/>
      <c r="LTU28" s="252"/>
      <c r="LTV28" s="252"/>
      <c r="LTW28" s="252"/>
      <c r="LTX28" s="252"/>
      <c r="LTY28" s="252"/>
      <c r="LTZ28" s="252"/>
      <c r="LUA28" s="252"/>
      <c r="LUB28" s="252"/>
      <c r="LUC28" s="252"/>
      <c r="LUD28" s="252"/>
      <c r="LUE28" s="252"/>
      <c r="LUF28" s="252"/>
      <c r="LUG28" s="252"/>
      <c r="LUH28" s="252"/>
      <c r="LUI28" s="252"/>
      <c r="LUJ28" s="252"/>
      <c r="LUK28" s="252"/>
      <c r="LUL28" s="252"/>
      <c r="LUM28" s="252"/>
      <c r="LUN28" s="252"/>
      <c r="LUO28" s="252"/>
      <c r="LUP28" s="252"/>
      <c r="LUQ28" s="252"/>
      <c r="LUR28" s="252"/>
      <c r="LUS28" s="252"/>
      <c r="LUT28" s="252"/>
      <c r="LUU28" s="252"/>
      <c r="LUV28" s="252"/>
      <c r="LUW28" s="252"/>
      <c r="LUX28" s="252"/>
      <c r="LUY28" s="252"/>
      <c r="LUZ28" s="252"/>
      <c r="LVA28" s="252"/>
      <c r="LVB28" s="252"/>
      <c r="LVC28" s="252"/>
      <c r="LVD28" s="252"/>
      <c r="LVE28" s="252"/>
      <c r="LVF28" s="252"/>
      <c r="LVG28" s="252"/>
      <c r="LVH28" s="252"/>
      <c r="LVI28" s="252"/>
      <c r="LVJ28" s="252"/>
      <c r="LVK28" s="252"/>
      <c r="LVL28" s="252"/>
      <c r="LVM28" s="252"/>
      <c r="LVN28" s="252"/>
      <c r="LVO28" s="252"/>
      <c r="LVP28" s="252"/>
      <c r="LVQ28" s="252"/>
      <c r="LVR28" s="252"/>
      <c r="LVS28" s="252"/>
      <c r="LVT28" s="252"/>
      <c r="LVU28" s="252"/>
      <c r="LVV28" s="252"/>
      <c r="LVW28" s="252"/>
      <c r="LVX28" s="252"/>
      <c r="LVY28" s="252"/>
      <c r="LVZ28" s="252"/>
      <c r="LWA28" s="252"/>
      <c r="LWB28" s="252"/>
      <c r="LWC28" s="252"/>
      <c r="LWD28" s="252"/>
      <c r="LWE28" s="252"/>
      <c r="LWF28" s="252"/>
      <c r="LWG28" s="252"/>
      <c r="LWH28" s="252"/>
      <c r="LWI28" s="252"/>
      <c r="LWJ28" s="252"/>
      <c r="LWK28" s="252"/>
      <c r="LWL28" s="252"/>
      <c r="LWM28" s="252"/>
      <c r="LWN28" s="252"/>
      <c r="LWO28" s="252"/>
      <c r="LWP28" s="252"/>
      <c r="LWQ28" s="252"/>
      <c r="LWR28" s="252"/>
      <c r="LWS28" s="252"/>
      <c r="LWT28" s="252"/>
      <c r="LWU28" s="252"/>
      <c r="LWV28" s="252"/>
      <c r="LWW28" s="252"/>
      <c r="LWX28" s="252"/>
      <c r="LWY28" s="252"/>
      <c r="LWZ28" s="252"/>
      <c r="LXA28" s="252"/>
      <c r="LXB28" s="252"/>
      <c r="LXC28" s="252"/>
      <c r="LXD28" s="252"/>
      <c r="LXE28" s="252"/>
      <c r="LXF28" s="252"/>
      <c r="LXG28" s="252"/>
      <c r="LXH28" s="252"/>
      <c r="LXI28" s="252"/>
      <c r="LXJ28" s="252"/>
      <c r="LXK28" s="252"/>
      <c r="LXL28" s="252"/>
      <c r="LXM28" s="252"/>
      <c r="LXN28" s="252"/>
      <c r="LXO28" s="252"/>
      <c r="LXP28" s="252"/>
      <c r="LXQ28" s="252"/>
      <c r="LXR28" s="252"/>
      <c r="LXS28" s="252"/>
      <c r="LXT28" s="252"/>
      <c r="LXU28" s="252"/>
      <c r="LXV28" s="252"/>
      <c r="LXW28" s="252"/>
      <c r="LXX28" s="252"/>
      <c r="LXY28" s="252"/>
      <c r="LXZ28" s="252"/>
      <c r="LYA28" s="252"/>
      <c r="LYB28" s="252"/>
      <c r="LYC28" s="252"/>
      <c r="LYD28" s="252"/>
      <c r="LYE28" s="252"/>
      <c r="LYF28" s="252"/>
      <c r="LYG28" s="252"/>
      <c r="LYH28" s="252"/>
      <c r="LYI28" s="252"/>
      <c r="LYJ28" s="252"/>
      <c r="LYK28" s="252"/>
      <c r="LYL28" s="252"/>
      <c r="LYM28" s="252"/>
      <c r="LYN28" s="252"/>
      <c r="LYO28" s="252"/>
      <c r="LYP28" s="252"/>
      <c r="LYQ28" s="252"/>
      <c r="LYR28" s="252"/>
      <c r="LYS28" s="252"/>
      <c r="LYT28" s="252"/>
      <c r="LYU28" s="252"/>
      <c r="LYV28" s="252"/>
      <c r="LYW28" s="252"/>
      <c r="LYX28" s="252"/>
      <c r="LYY28" s="252"/>
      <c r="LYZ28" s="252"/>
      <c r="LZA28" s="252"/>
      <c r="LZB28" s="252"/>
      <c r="LZC28" s="252"/>
      <c r="LZD28" s="252"/>
      <c r="LZE28" s="252"/>
      <c r="LZF28" s="252"/>
      <c r="LZG28" s="252"/>
      <c r="LZH28" s="252"/>
      <c r="LZI28" s="252"/>
      <c r="LZJ28" s="252"/>
      <c r="LZK28" s="252"/>
      <c r="LZL28" s="252"/>
      <c r="LZM28" s="252"/>
      <c r="LZN28" s="252"/>
      <c r="LZO28" s="252"/>
      <c r="LZP28" s="252"/>
      <c r="LZQ28" s="252"/>
      <c r="LZR28" s="252"/>
      <c r="LZS28" s="252"/>
      <c r="LZT28" s="252"/>
      <c r="LZU28" s="252"/>
      <c r="LZV28" s="252"/>
      <c r="LZW28" s="252"/>
      <c r="LZX28" s="252"/>
      <c r="LZY28" s="252"/>
      <c r="LZZ28" s="252"/>
      <c r="MAA28" s="252"/>
      <c r="MAB28" s="252"/>
      <c r="MAC28" s="252"/>
      <c r="MAD28" s="252"/>
      <c r="MAE28" s="252"/>
      <c r="MAF28" s="252"/>
      <c r="MAG28" s="252"/>
      <c r="MAH28" s="252"/>
      <c r="MAI28" s="252"/>
      <c r="MAJ28" s="252"/>
      <c r="MAK28" s="252"/>
      <c r="MAL28" s="252"/>
      <c r="MAM28" s="252"/>
      <c r="MAN28" s="252"/>
      <c r="MAO28" s="252"/>
      <c r="MAP28" s="252"/>
      <c r="MAQ28" s="252"/>
      <c r="MAR28" s="252"/>
      <c r="MAS28" s="252"/>
      <c r="MAT28" s="252"/>
      <c r="MAU28" s="252"/>
      <c r="MAV28" s="252"/>
      <c r="MAW28" s="252"/>
      <c r="MAX28" s="252"/>
      <c r="MAY28" s="252"/>
      <c r="MAZ28" s="252"/>
      <c r="MBA28" s="252"/>
      <c r="MBB28" s="252"/>
      <c r="MBC28" s="252"/>
      <c r="MBD28" s="252"/>
      <c r="MBE28" s="252"/>
      <c r="MBF28" s="252"/>
      <c r="MBG28" s="252"/>
      <c r="MBH28" s="252"/>
      <c r="MBI28" s="252"/>
      <c r="MBJ28" s="252"/>
      <c r="MBK28" s="252"/>
      <c r="MBL28" s="252"/>
      <c r="MBM28" s="252"/>
      <c r="MBN28" s="252"/>
      <c r="MBO28" s="252"/>
      <c r="MBP28" s="252"/>
      <c r="MBQ28" s="252"/>
      <c r="MBR28" s="252"/>
      <c r="MBS28" s="252"/>
      <c r="MBT28" s="252"/>
      <c r="MBU28" s="252"/>
      <c r="MBV28" s="252"/>
      <c r="MBW28" s="252"/>
      <c r="MBX28" s="252"/>
      <c r="MBY28" s="252"/>
      <c r="MBZ28" s="252"/>
      <c r="MCA28" s="252"/>
      <c r="MCB28" s="252"/>
      <c r="MCC28" s="252"/>
      <c r="MCD28" s="252"/>
      <c r="MCE28" s="252"/>
      <c r="MCF28" s="252"/>
      <c r="MCG28" s="252"/>
      <c r="MCH28" s="252"/>
      <c r="MCI28" s="252"/>
      <c r="MCJ28" s="252"/>
      <c r="MCK28" s="252"/>
      <c r="MCL28" s="252"/>
      <c r="MCM28" s="252"/>
      <c r="MCN28" s="252"/>
      <c r="MCO28" s="252"/>
      <c r="MCP28" s="252"/>
      <c r="MCQ28" s="252"/>
      <c r="MCR28" s="252"/>
      <c r="MCS28" s="252"/>
      <c r="MCT28" s="252"/>
      <c r="MCU28" s="252"/>
      <c r="MCV28" s="252"/>
      <c r="MCW28" s="252"/>
      <c r="MCX28" s="252"/>
      <c r="MCY28" s="252"/>
      <c r="MCZ28" s="252"/>
      <c r="MDA28" s="252"/>
      <c r="MDB28" s="252"/>
      <c r="MDC28" s="252"/>
      <c r="MDD28" s="252"/>
      <c r="MDE28" s="252"/>
      <c r="MDF28" s="252"/>
      <c r="MDG28" s="252"/>
      <c r="MDH28" s="252"/>
      <c r="MDI28" s="252"/>
      <c r="MDJ28" s="252"/>
      <c r="MDK28" s="252"/>
      <c r="MDL28" s="252"/>
      <c r="MDM28" s="252"/>
      <c r="MDN28" s="252"/>
      <c r="MDO28" s="252"/>
      <c r="MDP28" s="252"/>
      <c r="MDQ28" s="252"/>
      <c r="MDR28" s="252"/>
      <c r="MDS28" s="252"/>
      <c r="MDT28" s="252"/>
      <c r="MDU28" s="252"/>
      <c r="MDV28" s="252"/>
      <c r="MDW28" s="252"/>
      <c r="MDX28" s="252"/>
      <c r="MDY28" s="252"/>
      <c r="MDZ28" s="252"/>
      <c r="MEA28" s="252"/>
      <c r="MEB28" s="252"/>
      <c r="MEC28" s="252"/>
      <c r="MED28" s="252"/>
      <c r="MEE28" s="252"/>
      <c r="MEF28" s="252"/>
      <c r="MEG28" s="252"/>
      <c r="MEH28" s="252"/>
      <c r="MEI28" s="252"/>
      <c r="MEJ28" s="252"/>
      <c r="MEK28" s="252"/>
      <c r="MEL28" s="252"/>
      <c r="MEM28" s="252"/>
      <c r="MEN28" s="252"/>
      <c r="MEO28" s="252"/>
      <c r="MEP28" s="252"/>
      <c r="MEQ28" s="252"/>
      <c r="MER28" s="252"/>
      <c r="MES28" s="252"/>
      <c r="MET28" s="252"/>
      <c r="MEU28" s="252"/>
      <c r="MEV28" s="252"/>
      <c r="MEW28" s="252"/>
      <c r="MEX28" s="252"/>
      <c r="MEY28" s="252"/>
      <c r="MEZ28" s="252"/>
      <c r="MFA28" s="252"/>
      <c r="MFB28" s="252"/>
      <c r="MFC28" s="252"/>
      <c r="MFD28" s="252"/>
      <c r="MFE28" s="252"/>
      <c r="MFF28" s="252"/>
      <c r="MFG28" s="252"/>
      <c r="MFH28" s="252"/>
      <c r="MFI28" s="252"/>
      <c r="MFJ28" s="252"/>
      <c r="MFK28" s="252"/>
      <c r="MFL28" s="252"/>
      <c r="MFM28" s="252"/>
      <c r="MFN28" s="252"/>
      <c r="MFO28" s="252"/>
      <c r="MFP28" s="252"/>
      <c r="MFQ28" s="252"/>
      <c r="MFR28" s="252"/>
      <c r="MFS28" s="252"/>
      <c r="MFT28" s="252"/>
      <c r="MFU28" s="252"/>
      <c r="MFV28" s="252"/>
      <c r="MFW28" s="252"/>
      <c r="MFX28" s="252"/>
      <c r="MFY28" s="252"/>
      <c r="MFZ28" s="252"/>
      <c r="MGA28" s="252"/>
      <c r="MGB28" s="252"/>
      <c r="MGC28" s="252"/>
      <c r="MGD28" s="252"/>
      <c r="MGE28" s="252"/>
      <c r="MGF28" s="252"/>
      <c r="MGG28" s="252"/>
      <c r="MGH28" s="252"/>
      <c r="MGI28" s="252"/>
      <c r="MGJ28" s="252"/>
      <c r="MGK28" s="252"/>
      <c r="MGL28" s="252"/>
      <c r="MGM28" s="252"/>
      <c r="MGN28" s="252"/>
      <c r="MGO28" s="252"/>
      <c r="MGP28" s="252"/>
      <c r="MGQ28" s="252"/>
      <c r="MGR28" s="252"/>
      <c r="MGS28" s="252"/>
      <c r="MGT28" s="252"/>
      <c r="MGU28" s="252"/>
      <c r="MGV28" s="252"/>
      <c r="MGW28" s="252"/>
      <c r="MGX28" s="252"/>
      <c r="MGY28" s="252"/>
      <c r="MGZ28" s="252"/>
      <c r="MHA28" s="252"/>
      <c r="MHB28" s="252"/>
      <c r="MHC28" s="252"/>
      <c r="MHD28" s="252"/>
      <c r="MHE28" s="252"/>
      <c r="MHF28" s="252"/>
      <c r="MHG28" s="252"/>
      <c r="MHH28" s="252"/>
      <c r="MHI28" s="252"/>
      <c r="MHJ28" s="252"/>
      <c r="MHK28" s="252"/>
      <c r="MHL28" s="252"/>
      <c r="MHM28" s="252"/>
      <c r="MHN28" s="252"/>
      <c r="MHO28" s="252"/>
      <c r="MHP28" s="252"/>
      <c r="MHQ28" s="252"/>
      <c r="MHR28" s="252"/>
      <c r="MHS28" s="252"/>
      <c r="MHT28" s="252"/>
      <c r="MHU28" s="252"/>
      <c r="MHV28" s="252"/>
      <c r="MHW28" s="252"/>
      <c r="MHX28" s="252"/>
      <c r="MHY28" s="252"/>
      <c r="MHZ28" s="252"/>
      <c r="MIA28" s="252"/>
      <c r="MIB28" s="252"/>
      <c r="MIC28" s="252"/>
      <c r="MID28" s="252"/>
      <c r="MIE28" s="252"/>
      <c r="MIF28" s="252"/>
      <c r="MIG28" s="252"/>
      <c r="MIH28" s="252"/>
      <c r="MII28" s="252"/>
      <c r="MIJ28" s="252"/>
      <c r="MIK28" s="252"/>
      <c r="MIL28" s="252"/>
      <c r="MIM28" s="252"/>
      <c r="MIN28" s="252"/>
      <c r="MIO28" s="252"/>
      <c r="MIP28" s="252"/>
      <c r="MIQ28" s="252"/>
      <c r="MIR28" s="252"/>
      <c r="MIS28" s="252"/>
      <c r="MIT28" s="252"/>
      <c r="MIU28" s="252"/>
      <c r="MIV28" s="252"/>
      <c r="MIW28" s="252"/>
      <c r="MIX28" s="252"/>
      <c r="MIY28" s="252"/>
      <c r="MIZ28" s="252"/>
      <c r="MJA28" s="252"/>
      <c r="MJB28" s="252"/>
      <c r="MJC28" s="252"/>
      <c r="MJD28" s="252"/>
      <c r="MJE28" s="252"/>
      <c r="MJF28" s="252"/>
      <c r="MJG28" s="252"/>
      <c r="MJH28" s="252"/>
      <c r="MJI28" s="252"/>
      <c r="MJJ28" s="252"/>
      <c r="MJK28" s="252"/>
      <c r="MJL28" s="252"/>
      <c r="MJM28" s="252"/>
      <c r="MJN28" s="252"/>
      <c r="MJO28" s="252"/>
      <c r="MJP28" s="252"/>
      <c r="MJQ28" s="252"/>
      <c r="MJR28" s="252"/>
      <c r="MJS28" s="252"/>
      <c r="MJT28" s="252"/>
      <c r="MJU28" s="252"/>
      <c r="MJV28" s="252"/>
      <c r="MJW28" s="252"/>
      <c r="MJX28" s="252"/>
      <c r="MJY28" s="252"/>
      <c r="MJZ28" s="252"/>
      <c r="MKA28" s="252"/>
      <c r="MKB28" s="252"/>
      <c r="MKC28" s="252"/>
      <c r="MKD28" s="252"/>
      <c r="MKE28" s="252"/>
      <c r="MKF28" s="252"/>
      <c r="MKG28" s="252"/>
      <c r="MKH28" s="252"/>
      <c r="MKI28" s="252"/>
      <c r="MKJ28" s="252"/>
      <c r="MKK28" s="252"/>
      <c r="MKL28" s="252"/>
      <c r="MKM28" s="252"/>
      <c r="MKN28" s="252"/>
      <c r="MKO28" s="252"/>
      <c r="MKP28" s="252"/>
      <c r="MKQ28" s="252"/>
      <c r="MKR28" s="252"/>
      <c r="MKS28" s="252"/>
      <c r="MKT28" s="252"/>
      <c r="MKU28" s="252"/>
      <c r="MKV28" s="252"/>
      <c r="MKW28" s="252"/>
      <c r="MKX28" s="252"/>
      <c r="MKY28" s="252"/>
      <c r="MKZ28" s="252"/>
      <c r="MLA28" s="252"/>
      <c r="MLB28" s="252"/>
      <c r="MLC28" s="252"/>
      <c r="MLD28" s="252"/>
      <c r="MLE28" s="252"/>
      <c r="MLF28" s="252"/>
      <c r="MLG28" s="252"/>
      <c r="MLH28" s="252"/>
      <c r="MLI28" s="252"/>
      <c r="MLJ28" s="252"/>
      <c r="MLK28" s="252"/>
      <c r="MLL28" s="252"/>
      <c r="MLM28" s="252"/>
      <c r="MLN28" s="252"/>
      <c r="MLO28" s="252"/>
      <c r="MLP28" s="252"/>
      <c r="MLQ28" s="252"/>
      <c r="MLR28" s="252"/>
      <c r="MLS28" s="252"/>
      <c r="MLT28" s="252"/>
      <c r="MLU28" s="252"/>
      <c r="MLV28" s="252"/>
      <c r="MLW28" s="252"/>
      <c r="MLX28" s="252"/>
      <c r="MLY28" s="252"/>
      <c r="MLZ28" s="252"/>
      <c r="MMA28" s="252"/>
      <c r="MMB28" s="252"/>
      <c r="MMC28" s="252"/>
      <c r="MMD28" s="252"/>
      <c r="MME28" s="252"/>
      <c r="MMF28" s="252"/>
      <c r="MMG28" s="252"/>
      <c r="MMH28" s="252"/>
      <c r="MMI28" s="252"/>
      <c r="MMJ28" s="252"/>
      <c r="MMK28" s="252"/>
      <c r="MML28" s="252"/>
      <c r="MMM28" s="252"/>
      <c r="MMN28" s="252"/>
      <c r="MMO28" s="252"/>
      <c r="MMP28" s="252"/>
      <c r="MMQ28" s="252"/>
      <c r="MMR28" s="252"/>
      <c r="MMS28" s="252"/>
      <c r="MMT28" s="252"/>
      <c r="MMU28" s="252"/>
      <c r="MMV28" s="252"/>
      <c r="MMW28" s="252"/>
      <c r="MMX28" s="252"/>
      <c r="MMY28" s="252"/>
      <c r="MMZ28" s="252"/>
      <c r="MNA28" s="252"/>
      <c r="MNB28" s="252"/>
      <c r="MNC28" s="252"/>
      <c r="MND28" s="252"/>
      <c r="MNE28" s="252"/>
      <c r="MNF28" s="252"/>
      <c r="MNG28" s="252"/>
      <c r="MNH28" s="252"/>
      <c r="MNI28" s="252"/>
      <c r="MNJ28" s="252"/>
      <c r="MNK28" s="252"/>
      <c r="MNL28" s="252"/>
      <c r="MNM28" s="252"/>
      <c r="MNN28" s="252"/>
      <c r="MNO28" s="252"/>
      <c r="MNP28" s="252"/>
      <c r="MNQ28" s="252"/>
      <c r="MNR28" s="252"/>
      <c r="MNS28" s="252"/>
      <c r="MNT28" s="252"/>
      <c r="MNU28" s="252"/>
      <c r="MNV28" s="252"/>
      <c r="MNW28" s="252"/>
      <c r="MNX28" s="252"/>
      <c r="MNY28" s="252"/>
      <c r="MNZ28" s="252"/>
      <c r="MOA28" s="252"/>
      <c r="MOB28" s="252"/>
      <c r="MOC28" s="252"/>
      <c r="MOD28" s="252"/>
      <c r="MOE28" s="252"/>
      <c r="MOF28" s="252"/>
      <c r="MOG28" s="252"/>
      <c r="MOH28" s="252"/>
      <c r="MOI28" s="252"/>
      <c r="MOJ28" s="252"/>
      <c r="MOK28" s="252"/>
      <c r="MOL28" s="252"/>
      <c r="MOM28" s="252"/>
      <c r="MON28" s="252"/>
      <c r="MOO28" s="252"/>
      <c r="MOP28" s="252"/>
      <c r="MOQ28" s="252"/>
      <c r="MOR28" s="252"/>
      <c r="MOS28" s="252"/>
      <c r="MOT28" s="252"/>
      <c r="MOU28" s="252"/>
      <c r="MOV28" s="252"/>
      <c r="MOW28" s="252"/>
      <c r="MOX28" s="252"/>
      <c r="MOY28" s="252"/>
      <c r="MOZ28" s="252"/>
      <c r="MPA28" s="252"/>
      <c r="MPB28" s="252"/>
      <c r="MPC28" s="252"/>
      <c r="MPD28" s="252"/>
      <c r="MPE28" s="252"/>
      <c r="MPF28" s="252"/>
      <c r="MPG28" s="252"/>
      <c r="MPH28" s="252"/>
      <c r="MPI28" s="252"/>
      <c r="MPJ28" s="252"/>
      <c r="MPK28" s="252"/>
      <c r="MPL28" s="252"/>
      <c r="MPM28" s="252"/>
      <c r="MPN28" s="252"/>
      <c r="MPO28" s="252"/>
      <c r="MPP28" s="252"/>
      <c r="MPQ28" s="252"/>
      <c r="MPR28" s="252"/>
      <c r="MPS28" s="252"/>
      <c r="MPT28" s="252"/>
      <c r="MPU28" s="252"/>
      <c r="MPV28" s="252"/>
      <c r="MPW28" s="252"/>
      <c r="MPX28" s="252"/>
      <c r="MPY28" s="252"/>
      <c r="MPZ28" s="252"/>
      <c r="MQA28" s="252"/>
      <c r="MQB28" s="252"/>
      <c r="MQC28" s="252"/>
      <c r="MQD28" s="252"/>
      <c r="MQE28" s="252"/>
      <c r="MQF28" s="252"/>
      <c r="MQG28" s="252"/>
      <c r="MQH28" s="252"/>
      <c r="MQI28" s="252"/>
      <c r="MQJ28" s="252"/>
      <c r="MQK28" s="252"/>
      <c r="MQL28" s="252"/>
      <c r="MQM28" s="252"/>
      <c r="MQN28" s="252"/>
      <c r="MQO28" s="252"/>
      <c r="MQP28" s="252"/>
      <c r="MQQ28" s="252"/>
      <c r="MQR28" s="252"/>
      <c r="MQS28" s="252"/>
      <c r="MQT28" s="252"/>
      <c r="MQU28" s="252"/>
      <c r="MQV28" s="252"/>
      <c r="MQW28" s="252"/>
      <c r="MQX28" s="252"/>
      <c r="MQY28" s="252"/>
      <c r="MQZ28" s="252"/>
      <c r="MRA28" s="252"/>
      <c r="MRB28" s="252"/>
      <c r="MRC28" s="252"/>
      <c r="MRD28" s="252"/>
      <c r="MRE28" s="252"/>
      <c r="MRF28" s="252"/>
      <c r="MRG28" s="252"/>
      <c r="MRH28" s="252"/>
      <c r="MRI28" s="252"/>
      <c r="MRJ28" s="252"/>
      <c r="MRK28" s="252"/>
      <c r="MRL28" s="252"/>
      <c r="MRM28" s="252"/>
      <c r="MRN28" s="252"/>
      <c r="MRO28" s="252"/>
      <c r="MRP28" s="252"/>
      <c r="MRQ28" s="252"/>
      <c r="MRR28" s="252"/>
      <c r="MRS28" s="252"/>
      <c r="MRT28" s="252"/>
      <c r="MRU28" s="252"/>
      <c r="MRV28" s="252"/>
      <c r="MRW28" s="252"/>
      <c r="MRX28" s="252"/>
      <c r="MRY28" s="252"/>
      <c r="MRZ28" s="252"/>
      <c r="MSA28" s="252"/>
      <c r="MSB28" s="252"/>
      <c r="MSC28" s="252"/>
      <c r="MSD28" s="252"/>
      <c r="MSE28" s="252"/>
      <c r="MSF28" s="252"/>
      <c r="MSG28" s="252"/>
      <c r="MSH28" s="252"/>
      <c r="MSI28" s="252"/>
      <c r="MSJ28" s="252"/>
      <c r="MSK28" s="252"/>
      <c r="MSL28" s="252"/>
      <c r="MSM28" s="252"/>
      <c r="MSN28" s="252"/>
      <c r="MSO28" s="252"/>
      <c r="MSP28" s="252"/>
      <c r="MSQ28" s="252"/>
      <c r="MSR28" s="252"/>
      <c r="MSS28" s="252"/>
      <c r="MST28" s="252"/>
      <c r="MSU28" s="252"/>
      <c r="MSV28" s="252"/>
      <c r="MSW28" s="252"/>
      <c r="MSX28" s="252"/>
      <c r="MSY28" s="252"/>
      <c r="MSZ28" s="252"/>
      <c r="MTA28" s="252"/>
      <c r="MTB28" s="252"/>
      <c r="MTC28" s="252"/>
      <c r="MTD28" s="252"/>
      <c r="MTE28" s="252"/>
      <c r="MTF28" s="252"/>
      <c r="MTG28" s="252"/>
      <c r="MTH28" s="252"/>
      <c r="MTI28" s="252"/>
      <c r="MTJ28" s="252"/>
      <c r="MTK28" s="252"/>
      <c r="MTL28" s="252"/>
      <c r="MTM28" s="252"/>
      <c r="MTN28" s="252"/>
      <c r="MTO28" s="252"/>
      <c r="MTP28" s="252"/>
      <c r="MTQ28" s="252"/>
      <c r="MTR28" s="252"/>
      <c r="MTS28" s="252"/>
      <c r="MTT28" s="252"/>
      <c r="MTU28" s="252"/>
      <c r="MTV28" s="252"/>
      <c r="MTW28" s="252"/>
      <c r="MTX28" s="252"/>
      <c r="MTY28" s="252"/>
      <c r="MTZ28" s="252"/>
      <c r="MUA28" s="252"/>
      <c r="MUB28" s="252"/>
      <c r="MUC28" s="252"/>
      <c r="MUD28" s="252"/>
      <c r="MUE28" s="252"/>
      <c r="MUF28" s="252"/>
      <c r="MUG28" s="252"/>
      <c r="MUH28" s="252"/>
      <c r="MUI28" s="252"/>
      <c r="MUJ28" s="252"/>
      <c r="MUK28" s="252"/>
      <c r="MUL28" s="252"/>
      <c r="MUM28" s="252"/>
      <c r="MUN28" s="252"/>
      <c r="MUO28" s="252"/>
      <c r="MUP28" s="252"/>
      <c r="MUQ28" s="252"/>
      <c r="MUR28" s="252"/>
      <c r="MUS28" s="252"/>
      <c r="MUT28" s="252"/>
      <c r="MUU28" s="252"/>
      <c r="MUV28" s="252"/>
      <c r="MUW28" s="252"/>
      <c r="MUX28" s="252"/>
      <c r="MUY28" s="252"/>
      <c r="MUZ28" s="252"/>
      <c r="MVA28" s="252"/>
      <c r="MVB28" s="252"/>
      <c r="MVC28" s="252"/>
      <c r="MVD28" s="252"/>
      <c r="MVE28" s="252"/>
      <c r="MVF28" s="252"/>
      <c r="MVG28" s="252"/>
      <c r="MVH28" s="252"/>
      <c r="MVI28" s="252"/>
      <c r="MVJ28" s="252"/>
      <c r="MVK28" s="252"/>
      <c r="MVL28" s="252"/>
      <c r="MVM28" s="252"/>
      <c r="MVN28" s="252"/>
      <c r="MVO28" s="252"/>
      <c r="MVP28" s="252"/>
      <c r="MVQ28" s="252"/>
      <c r="MVR28" s="252"/>
      <c r="MVS28" s="252"/>
      <c r="MVT28" s="252"/>
      <c r="MVU28" s="252"/>
      <c r="MVV28" s="252"/>
      <c r="MVW28" s="252"/>
      <c r="MVX28" s="252"/>
      <c r="MVY28" s="252"/>
      <c r="MVZ28" s="252"/>
      <c r="MWA28" s="252"/>
      <c r="MWB28" s="252"/>
      <c r="MWC28" s="252"/>
      <c r="MWD28" s="252"/>
      <c r="MWE28" s="252"/>
      <c r="MWF28" s="252"/>
      <c r="MWG28" s="252"/>
      <c r="MWH28" s="252"/>
      <c r="MWI28" s="252"/>
      <c r="MWJ28" s="252"/>
      <c r="MWK28" s="252"/>
      <c r="MWL28" s="252"/>
      <c r="MWM28" s="252"/>
      <c r="MWN28" s="252"/>
      <c r="MWO28" s="252"/>
      <c r="MWP28" s="252"/>
      <c r="MWQ28" s="252"/>
      <c r="MWR28" s="252"/>
      <c r="MWS28" s="252"/>
      <c r="MWT28" s="252"/>
      <c r="MWU28" s="252"/>
      <c r="MWV28" s="252"/>
      <c r="MWW28" s="252"/>
      <c r="MWX28" s="252"/>
      <c r="MWY28" s="252"/>
      <c r="MWZ28" s="252"/>
      <c r="MXA28" s="252"/>
      <c r="MXB28" s="252"/>
      <c r="MXC28" s="252"/>
      <c r="MXD28" s="252"/>
      <c r="MXE28" s="252"/>
      <c r="MXF28" s="252"/>
      <c r="MXG28" s="252"/>
      <c r="MXH28" s="252"/>
      <c r="MXI28" s="252"/>
      <c r="MXJ28" s="252"/>
      <c r="MXK28" s="252"/>
      <c r="MXL28" s="252"/>
      <c r="MXM28" s="252"/>
      <c r="MXN28" s="252"/>
      <c r="MXO28" s="252"/>
      <c r="MXP28" s="252"/>
      <c r="MXQ28" s="252"/>
      <c r="MXR28" s="252"/>
      <c r="MXS28" s="252"/>
      <c r="MXT28" s="252"/>
      <c r="MXU28" s="252"/>
      <c r="MXV28" s="252"/>
      <c r="MXW28" s="252"/>
      <c r="MXX28" s="252"/>
      <c r="MXY28" s="252"/>
      <c r="MXZ28" s="252"/>
      <c r="MYA28" s="252"/>
      <c r="MYB28" s="252"/>
      <c r="MYC28" s="252"/>
      <c r="MYD28" s="252"/>
      <c r="MYE28" s="252"/>
      <c r="MYF28" s="252"/>
      <c r="MYG28" s="252"/>
      <c r="MYH28" s="252"/>
      <c r="MYI28" s="252"/>
      <c r="MYJ28" s="252"/>
      <c r="MYK28" s="252"/>
      <c r="MYL28" s="252"/>
      <c r="MYM28" s="252"/>
      <c r="MYN28" s="252"/>
      <c r="MYO28" s="252"/>
      <c r="MYP28" s="252"/>
      <c r="MYQ28" s="252"/>
      <c r="MYR28" s="252"/>
      <c r="MYS28" s="252"/>
      <c r="MYT28" s="252"/>
      <c r="MYU28" s="252"/>
      <c r="MYV28" s="252"/>
      <c r="MYW28" s="252"/>
      <c r="MYX28" s="252"/>
      <c r="MYY28" s="252"/>
      <c r="MYZ28" s="252"/>
      <c r="MZA28" s="252"/>
      <c r="MZB28" s="252"/>
      <c r="MZC28" s="252"/>
      <c r="MZD28" s="252"/>
      <c r="MZE28" s="252"/>
      <c r="MZF28" s="252"/>
      <c r="MZG28" s="252"/>
      <c r="MZH28" s="252"/>
      <c r="MZI28" s="252"/>
      <c r="MZJ28" s="252"/>
      <c r="MZK28" s="252"/>
      <c r="MZL28" s="252"/>
      <c r="MZM28" s="252"/>
      <c r="MZN28" s="252"/>
      <c r="MZO28" s="252"/>
      <c r="MZP28" s="252"/>
      <c r="MZQ28" s="252"/>
      <c r="MZR28" s="252"/>
      <c r="MZS28" s="252"/>
      <c r="MZT28" s="252"/>
      <c r="MZU28" s="252"/>
      <c r="MZV28" s="252"/>
      <c r="MZW28" s="252"/>
      <c r="MZX28" s="252"/>
      <c r="MZY28" s="252"/>
      <c r="MZZ28" s="252"/>
      <c r="NAA28" s="252"/>
      <c r="NAB28" s="252"/>
      <c r="NAC28" s="252"/>
      <c r="NAD28" s="252"/>
      <c r="NAE28" s="252"/>
      <c r="NAF28" s="252"/>
      <c r="NAG28" s="252"/>
      <c r="NAH28" s="252"/>
      <c r="NAI28" s="252"/>
      <c r="NAJ28" s="252"/>
      <c r="NAK28" s="252"/>
      <c r="NAL28" s="252"/>
      <c r="NAM28" s="252"/>
      <c r="NAN28" s="252"/>
      <c r="NAO28" s="252"/>
      <c r="NAP28" s="252"/>
      <c r="NAQ28" s="252"/>
      <c r="NAR28" s="252"/>
      <c r="NAS28" s="252"/>
      <c r="NAT28" s="252"/>
      <c r="NAU28" s="252"/>
      <c r="NAV28" s="252"/>
      <c r="NAW28" s="252"/>
      <c r="NAX28" s="252"/>
      <c r="NAY28" s="252"/>
      <c r="NAZ28" s="252"/>
      <c r="NBA28" s="252"/>
      <c r="NBB28" s="252"/>
      <c r="NBC28" s="252"/>
      <c r="NBD28" s="252"/>
      <c r="NBE28" s="252"/>
      <c r="NBF28" s="252"/>
      <c r="NBG28" s="252"/>
      <c r="NBH28" s="252"/>
      <c r="NBI28" s="252"/>
      <c r="NBJ28" s="252"/>
      <c r="NBK28" s="252"/>
      <c r="NBL28" s="252"/>
      <c r="NBM28" s="252"/>
      <c r="NBN28" s="252"/>
      <c r="NBO28" s="252"/>
      <c r="NBP28" s="252"/>
      <c r="NBQ28" s="252"/>
      <c r="NBR28" s="252"/>
      <c r="NBS28" s="252"/>
      <c r="NBT28" s="252"/>
      <c r="NBU28" s="252"/>
      <c r="NBV28" s="252"/>
      <c r="NBW28" s="252"/>
      <c r="NBX28" s="252"/>
      <c r="NBY28" s="252"/>
      <c r="NBZ28" s="252"/>
      <c r="NCA28" s="252"/>
      <c r="NCB28" s="252"/>
      <c r="NCC28" s="252"/>
      <c r="NCD28" s="252"/>
      <c r="NCE28" s="252"/>
      <c r="NCF28" s="252"/>
      <c r="NCG28" s="252"/>
      <c r="NCH28" s="252"/>
      <c r="NCI28" s="252"/>
      <c r="NCJ28" s="252"/>
      <c r="NCK28" s="252"/>
      <c r="NCL28" s="252"/>
      <c r="NCM28" s="252"/>
      <c r="NCN28" s="252"/>
      <c r="NCO28" s="252"/>
      <c r="NCP28" s="252"/>
      <c r="NCQ28" s="252"/>
      <c r="NCR28" s="252"/>
      <c r="NCS28" s="252"/>
      <c r="NCT28" s="252"/>
      <c r="NCU28" s="252"/>
      <c r="NCV28" s="252"/>
      <c r="NCW28" s="252"/>
      <c r="NCX28" s="252"/>
      <c r="NCY28" s="252"/>
      <c r="NCZ28" s="252"/>
      <c r="NDA28" s="252"/>
      <c r="NDB28" s="252"/>
      <c r="NDC28" s="252"/>
      <c r="NDD28" s="252"/>
      <c r="NDE28" s="252"/>
      <c r="NDF28" s="252"/>
      <c r="NDG28" s="252"/>
      <c r="NDH28" s="252"/>
      <c r="NDI28" s="252"/>
      <c r="NDJ28" s="252"/>
      <c r="NDK28" s="252"/>
      <c r="NDL28" s="252"/>
      <c r="NDM28" s="252"/>
      <c r="NDN28" s="252"/>
      <c r="NDO28" s="252"/>
      <c r="NDP28" s="252"/>
      <c r="NDQ28" s="252"/>
      <c r="NDR28" s="252"/>
      <c r="NDS28" s="252"/>
      <c r="NDT28" s="252"/>
      <c r="NDU28" s="252"/>
      <c r="NDV28" s="252"/>
      <c r="NDW28" s="252"/>
      <c r="NDX28" s="252"/>
      <c r="NDY28" s="252"/>
      <c r="NDZ28" s="252"/>
      <c r="NEA28" s="252"/>
      <c r="NEB28" s="252"/>
      <c r="NEC28" s="252"/>
      <c r="NED28" s="252"/>
      <c r="NEE28" s="252"/>
      <c r="NEF28" s="252"/>
      <c r="NEG28" s="252"/>
      <c r="NEH28" s="252"/>
      <c r="NEI28" s="252"/>
      <c r="NEJ28" s="252"/>
      <c r="NEK28" s="252"/>
      <c r="NEL28" s="252"/>
      <c r="NEM28" s="252"/>
      <c r="NEN28" s="252"/>
      <c r="NEO28" s="252"/>
      <c r="NEP28" s="252"/>
      <c r="NEQ28" s="252"/>
      <c r="NER28" s="252"/>
      <c r="NES28" s="252"/>
      <c r="NET28" s="252"/>
      <c r="NEU28" s="252"/>
      <c r="NEV28" s="252"/>
      <c r="NEW28" s="252"/>
      <c r="NEX28" s="252"/>
      <c r="NEY28" s="252"/>
      <c r="NEZ28" s="252"/>
      <c r="NFA28" s="252"/>
      <c r="NFB28" s="252"/>
      <c r="NFC28" s="252"/>
      <c r="NFD28" s="252"/>
      <c r="NFE28" s="252"/>
      <c r="NFF28" s="252"/>
      <c r="NFG28" s="252"/>
      <c r="NFH28" s="252"/>
      <c r="NFI28" s="252"/>
      <c r="NFJ28" s="252"/>
      <c r="NFK28" s="252"/>
      <c r="NFL28" s="252"/>
      <c r="NFM28" s="252"/>
      <c r="NFN28" s="252"/>
      <c r="NFO28" s="252"/>
      <c r="NFP28" s="252"/>
      <c r="NFQ28" s="252"/>
      <c r="NFR28" s="252"/>
      <c r="NFS28" s="252"/>
      <c r="NFT28" s="252"/>
      <c r="NFU28" s="252"/>
      <c r="NFV28" s="252"/>
      <c r="NFW28" s="252"/>
      <c r="NFX28" s="252"/>
      <c r="NFY28" s="252"/>
      <c r="NFZ28" s="252"/>
      <c r="NGA28" s="252"/>
      <c r="NGB28" s="252"/>
      <c r="NGC28" s="252"/>
      <c r="NGD28" s="252"/>
      <c r="NGE28" s="252"/>
      <c r="NGF28" s="252"/>
      <c r="NGG28" s="252"/>
      <c r="NGH28" s="252"/>
      <c r="NGI28" s="252"/>
      <c r="NGJ28" s="252"/>
      <c r="NGK28" s="252"/>
      <c r="NGL28" s="252"/>
      <c r="NGM28" s="252"/>
      <c r="NGN28" s="252"/>
      <c r="NGO28" s="252"/>
      <c r="NGP28" s="252"/>
      <c r="NGQ28" s="252"/>
      <c r="NGR28" s="252"/>
      <c r="NGS28" s="252"/>
      <c r="NGT28" s="252"/>
      <c r="NGU28" s="252"/>
      <c r="NGV28" s="252"/>
      <c r="NGW28" s="252"/>
      <c r="NGX28" s="252"/>
      <c r="NGY28" s="252"/>
      <c r="NGZ28" s="252"/>
      <c r="NHA28" s="252"/>
      <c r="NHB28" s="252"/>
      <c r="NHC28" s="252"/>
      <c r="NHD28" s="252"/>
      <c r="NHE28" s="252"/>
      <c r="NHF28" s="252"/>
      <c r="NHG28" s="252"/>
      <c r="NHH28" s="252"/>
      <c r="NHI28" s="252"/>
      <c r="NHJ28" s="252"/>
      <c r="NHK28" s="252"/>
      <c r="NHL28" s="252"/>
      <c r="NHM28" s="252"/>
      <c r="NHN28" s="252"/>
      <c r="NHO28" s="252"/>
      <c r="NHP28" s="252"/>
      <c r="NHQ28" s="252"/>
      <c r="NHR28" s="252"/>
      <c r="NHS28" s="252"/>
      <c r="NHT28" s="252"/>
      <c r="NHU28" s="252"/>
      <c r="NHV28" s="252"/>
      <c r="NHW28" s="252"/>
      <c r="NHX28" s="252"/>
      <c r="NHY28" s="252"/>
      <c r="NHZ28" s="252"/>
      <c r="NIA28" s="252"/>
      <c r="NIB28" s="252"/>
      <c r="NIC28" s="252"/>
      <c r="NID28" s="252"/>
      <c r="NIE28" s="252"/>
      <c r="NIF28" s="252"/>
      <c r="NIG28" s="252"/>
      <c r="NIH28" s="252"/>
      <c r="NII28" s="252"/>
      <c r="NIJ28" s="252"/>
      <c r="NIK28" s="252"/>
      <c r="NIL28" s="252"/>
      <c r="NIM28" s="252"/>
      <c r="NIN28" s="252"/>
      <c r="NIO28" s="252"/>
      <c r="NIP28" s="252"/>
      <c r="NIQ28" s="252"/>
      <c r="NIR28" s="252"/>
      <c r="NIS28" s="252"/>
      <c r="NIT28" s="252"/>
      <c r="NIU28" s="252"/>
      <c r="NIV28" s="252"/>
      <c r="NIW28" s="252"/>
      <c r="NIX28" s="252"/>
      <c r="NIY28" s="252"/>
      <c r="NIZ28" s="252"/>
      <c r="NJA28" s="252"/>
      <c r="NJB28" s="252"/>
      <c r="NJC28" s="252"/>
      <c r="NJD28" s="252"/>
      <c r="NJE28" s="252"/>
      <c r="NJF28" s="252"/>
      <c r="NJG28" s="252"/>
      <c r="NJH28" s="252"/>
      <c r="NJI28" s="252"/>
      <c r="NJJ28" s="252"/>
      <c r="NJK28" s="252"/>
      <c r="NJL28" s="252"/>
      <c r="NJM28" s="252"/>
      <c r="NJN28" s="252"/>
      <c r="NJO28" s="252"/>
      <c r="NJP28" s="252"/>
      <c r="NJQ28" s="252"/>
      <c r="NJR28" s="252"/>
      <c r="NJS28" s="252"/>
      <c r="NJT28" s="252"/>
      <c r="NJU28" s="252"/>
      <c r="NJV28" s="252"/>
      <c r="NJW28" s="252"/>
      <c r="NJX28" s="252"/>
      <c r="NJY28" s="252"/>
      <c r="NJZ28" s="252"/>
      <c r="NKA28" s="252"/>
      <c r="NKB28" s="252"/>
      <c r="NKC28" s="252"/>
      <c r="NKD28" s="252"/>
      <c r="NKE28" s="252"/>
      <c r="NKF28" s="252"/>
      <c r="NKG28" s="252"/>
      <c r="NKH28" s="252"/>
      <c r="NKI28" s="252"/>
      <c r="NKJ28" s="252"/>
      <c r="NKK28" s="252"/>
      <c r="NKL28" s="252"/>
      <c r="NKM28" s="252"/>
      <c r="NKN28" s="252"/>
      <c r="NKO28" s="252"/>
      <c r="NKP28" s="252"/>
      <c r="NKQ28" s="252"/>
      <c r="NKR28" s="252"/>
      <c r="NKS28" s="252"/>
      <c r="NKT28" s="252"/>
      <c r="NKU28" s="252"/>
      <c r="NKV28" s="252"/>
      <c r="NKW28" s="252"/>
      <c r="NKX28" s="252"/>
      <c r="NKY28" s="252"/>
      <c r="NKZ28" s="252"/>
      <c r="NLA28" s="252"/>
      <c r="NLB28" s="252"/>
      <c r="NLC28" s="252"/>
      <c r="NLD28" s="252"/>
      <c r="NLE28" s="252"/>
      <c r="NLF28" s="252"/>
      <c r="NLG28" s="252"/>
      <c r="NLH28" s="252"/>
      <c r="NLI28" s="252"/>
      <c r="NLJ28" s="252"/>
      <c r="NLK28" s="252"/>
      <c r="NLL28" s="252"/>
      <c r="NLM28" s="252"/>
      <c r="NLN28" s="252"/>
      <c r="NLO28" s="252"/>
      <c r="NLP28" s="252"/>
      <c r="NLQ28" s="252"/>
      <c r="NLR28" s="252"/>
      <c r="NLS28" s="252"/>
      <c r="NLT28" s="252"/>
      <c r="NLU28" s="252"/>
      <c r="NLV28" s="252"/>
      <c r="NLW28" s="252"/>
      <c r="NLX28" s="252"/>
      <c r="NLY28" s="252"/>
      <c r="NLZ28" s="252"/>
      <c r="NMA28" s="252"/>
      <c r="NMB28" s="252"/>
      <c r="NMC28" s="252"/>
      <c r="NMD28" s="252"/>
      <c r="NME28" s="252"/>
      <c r="NMF28" s="252"/>
      <c r="NMG28" s="252"/>
      <c r="NMH28" s="252"/>
      <c r="NMI28" s="252"/>
      <c r="NMJ28" s="252"/>
      <c r="NMK28" s="252"/>
      <c r="NML28" s="252"/>
      <c r="NMM28" s="252"/>
      <c r="NMN28" s="252"/>
      <c r="NMO28" s="252"/>
      <c r="NMP28" s="252"/>
      <c r="NMQ28" s="252"/>
      <c r="NMR28" s="252"/>
      <c r="NMS28" s="252"/>
      <c r="NMT28" s="252"/>
      <c r="NMU28" s="252"/>
      <c r="NMV28" s="252"/>
      <c r="NMW28" s="252"/>
      <c r="NMX28" s="252"/>
      <c r="NMY28" s="252"/>
      <c r="NMZ28" s="252"/>
      <c r="NNA28" s="252"/>
      <c r="NNB28" s="252"/>
      <c r="NNC28" s="252"/>
      <c r="NND28" s="252"/>
      <c r="NNE28" s="252"/>
      <c r="NNF28" s="252"/>
      <c r="NNG28" s="252"/>
      <c r="NNH28" s="252"/>
      <c r="NNI28" s="252"/>
      <c r="NNJ28" s="252"/>
      <c r="NNK28" s="252"/>
      <c r="NNL28" s="252"/>
      <c r="NNM28" s="252"/>
      <c r="NNN28" s="252"/>
      <c r="NNO28" s="252"/>
      <c r="NNP28" s="252"/>
      <c r="NNQ28" s="252"/>
      <c r="NNR28" s="252"/>
      <c r="NNS28" s="252"/>
      <c r="NNT28" s="252"/>
      <c r="NNU28" s="252"/>
      <c r="NNV28" s="252"/>
      <c r="NNW28" s="252"/>
      <c r="NNX28" s="252"/>
      <c r="NNY28" s="252"/>
      <c r="NNZ28" s="252"/>
      <c r="NOA28" s="252"/>
      <c r="NOB28" s="252"/>
      <c r="NOC28" s="252"/>
      <c r="NOD28" s="252"/>
      <c r="NOE28" s="252"/>
      <c r="NOF28" s="252"/>
      <c r="NOG28" s="252"/>
      <c r="NOH28" s="252"/>
      <c r="NOI28" s="252"/>
      <c r="NOJ28" s="252"/>
      <c r="NOK28" s="252"/>
      <c r="NOL28" s="252"/>
      <c r="NOM28" s="252"/>
      <c r="NON28" s="252"/>
      <c r="NOO28" s="252"/>
      <c r="NOP28" s="252"/>
      <c r="NOQ28" s="252"/>
      <c r="NOR28" s="252"/>
      <c r="NOS28" s="252"/>
      <c r="NOT28" s="252"/>
      <c r="NOU28" s="252"/>
      <c r="NOV28" s="252"/>
      <c r="NOW28" s="252"/>
      <c r="NOX28" s="252"/>
      <c r="NOY28" s="252"/>
      <c r="NOZ28" s="252"/>
      <c r="NPA28" s="252"/>
      <c r="NPB28" s="252"/>
      <c r="NPC28" s="252"/>
      <c r="NPD28" s="252"/>
      <c r="NPE28" s="252"/>
      <c r="NPF28" s="252"/>
      <c r="NPG28" s="252"/>
      <c r="NPH28" s="252"/>
      <c r="NPI28" s="252"/>
      <c r="NPJ28" s="252"/>
      <c r="NPK28" s="252"/>
      <c r="NPL28" s="252"/>
      <c r="NPM28" s="252"/>
      <c r="NPN28" s="252"/>
      <c r="NPO28" s="252"/>
      <c r="NPP28" s="252"/>
      <c r="NPQ28" s="252"/>
      <c r="NPR28" s="252"/>
      <c r="NPS28" s="252"/>
      <c r="NPT28" s="252"/>
      <c r="NPU28" s="252"/>
      <c r="NPV28" s="252"/>
      <c r="NPW28" s="252"/>
      <c r="NPX28" s="252"/>
      <c r="NPY28" s="252"/>
      <c r="NPZ28" s="252"/>
      <c r="NQA28" s="252"/>
      <c r="NQB28" s="252"/>
      <c r="NQC28" s="252"/>
      <c r="NQD28" s="252"/>
      <c r="NQE28" s="252"/>
      <c r="NQF28" s="252"/>
      <c r="NQG28" s="252"/>
      <c r="NQH28" s="252"/>
      <c r="NQI28" s="252"/>
      <c r="NQJ28" s="252"/>
      <c r="NQK28" s="252"/>
      <c r="NQL28" s="252"/>
      <c r="NQM28" s="252"/>
      <c r="NQN28" s="252"/>
      <c r="NQO28" s="252"/>
      <c r="NQP28" s="252"/>
      <c r="NQQ28" s="252"/>
      <c r="NQR28" s="252"/>
      <c r="NQS28" s="252"/>
      <c r="NQT28" s="252"/>
      <c r="NQU28" s="252"/>
      <c r="NQV28" s="252"/>
      <c r="NQW28" s="252"/>
      <c r="NQX28" s="252"/>
      <c r="NQY28" s="252"/>
      <c r="NQZ28" s="252"/>
      <c r="NRA28" s="252"/>
      <c r="NRB28" s="252"/>
      <c r="NRC28" s="252"/>
      <c r="NRD28" s="252"/>
      <c r="NRE28" s="252"/>
      <c r="NRF28" s="252"/>
      <c r="NRG28" s="252"/>
      <c r="NRH28" s="252"/>
      <c r="NRI28" s="252"/>
      <c r="NRJ28" s="252"/>
      <c r="NRK28" s="252"/>
      <c r="NRL28" s="252"/>
      <c r="NRM28" s="252"/>
      <c r="NRN28" s="252"/>
      <c r="NRO28" s="252"/>
      <c r="NRP28" s="252"/>
      <c r="NRQ28" s="252"/>
      <c r="NRR28" s="252"/>
      <c r="NRS28" s="252"/>
      <c r="NRT28" s="252"/>
      <c r="NRU28" s="252"/>
      <c r="NRV28" s="252"/>
      <c r="NRW28" s="252"/>
      <c r="NRX28" s="252"/>
      <c r="NRY28" s="252"/>
      <c r="NRZ28" s="252"/>
      <c r="NSA28" s="252"/>
      <c r="NSB28" s="252"/>
      <c r="NSC28" s="252"/>
      <c r="NSD28" s="252"/>
      <c r="NSE28" s="252"/>
      <c r="NSF28" s="252"/>
      <c r="NSG28" s="252"/>
      <c r="NSH28" s="252"/>
      <c r="NSI28" s="252"/>
      <c r="NSJ28" s="252"/>
      <c r="NSK28" s="252"/>
      <c r="NSL28" s="252"/>
      <c r="NSM28" s="252"/>
      <c r="NSN28" s="252"/>
      <c r="NSO28" s="252"/>
      <c r="NSP28" s="252"/>
      <c r="NSQ28" s="252"/>
      <c r="NSR28" s="252"/>
      <c r="NSS28" s="252"/>
      <c r="NST28" s="252"/>
      <c r="NSU28" s="252"/>
      <c r="NSV28" s="252"/>
      <c r="NSW28" s="252"/>
      <c r="NSX28" s="252"/>
      <c r="NSY28" s="252"/>
      <c r="NSZ28" s="252"/>
      <c r="NTA28" s="252"/>
      <c r="NTB28" s="252"/>
      <c r="NTC28" s="252"/>
      <c r="NTD28" s="252"/>
      <c r="NTE28" s="252"/>
      <c r="NTF28" s="252"/>
      <c r="NTG28" s="252"/>
      <c r="NTH28" s="252"/>
      <c r="NTI28" s="252"/>
      <c r="NTJ28" s="252"/>
      <c r="NTK28" s="252"/>
      <c r="NTL28" s="252"/>
      <c r="NTM28" s="252"/>
      <c r="NTN28" s="252"/>
      <c r="NTO28" s="252"/>
      <c r="NTP28" s="252"/>
      <c r="NTQ28" s="252"/>
      <c r="NTR28" s="252"/>
      <c r="NTS28" s="252"/>
      <c r="NTT28" s="252"/>
      <c r="NTU28" s="252"/>
      <c r="NTV28" s="252"/>
      <c r="NTW28" s="252"/>
      <c r="NTX28" s="252"/>
      <c r="NTY28" s="252"/>
      <c r="NTZ28" s="252"/>
      <c r="NUA28" s="252"/>
      <c r="NUB28" s="252"/>
      <c r="NUC28" s="252"/>
      <c r="NUD28" s="252"/>
      <c r="NUE28" s="252"/>
      <c r="NUF28" s="252"/>
      <c r="NUG28" s="252"/>
      <c r="NUH28" s="252"/>
      <c r="NUI28" s="252"/>
      <c r="NUJ28" s="252"/>
      <c r="NUK28" s="252"/>
      <c r="NUL28" s="252"/>
      <c r="NUM28" s="252"/>
      <c r="NUN28" s="252"/>
      <c r="NUO28" s="252"/>
      <c r="NUP28" s="252"/>
      <c r="NUQ28" s="252"/>
      <c r="NUR28" s="252"/>
      <c r="NUS28" s="252"/>
      <c r="NUT28" s="252"/>
      <c r="NUU28" s="252"/>
      <c r="NUV28" s="252"/>
      <c r="NUW28" s="252"/>
      <c r="NUX28" s="252"/>
      <c r="NUY28" s="252"/>
      <c r="NUZ28" s="252"/>
      <c r="NVA28" s="252"/>
      <c r="NVB28" s="252"/>
      <c r="NVC28" s="252"/>
      <c r="NVD28" s="252"/>
      <c r="NVE28" s="252"/>
      <c r="NVF28" s="252"/>
      <c r="NVG28" s="252"/>
      <c r="NVH28" s="252"/>
      <c r="NVI28" s="252"/>
      <c r="NVJ28" s="252"/>
      <c r="NVK28" s="252"/>
      <c r="NVL28" s="252"/>
      <c r="NVM28" s="252"/>
      <c r="NVN28" s="252"/>
      <c r="NVO28" s="252"/>
      <c r="NVP28" s="252"/>
      <c r="NVQ28" s="252"/>
      <c r="NVR28" s="252"/>
      <c r="NVS28" s="252"/>
      <c r="NVT28" s="252"/>
      <c r="NVU28" s="252"/>
      <c r="NVV28" s="252"/>
      <c r="NVW28" s="252"/>
      <c r="NVX28" s="252"/>
      <c r="NVY28" s="252"/>
      <c r="NVZ28" s="252"/>
      <c r="NWA28" s="252"/>
      <c r="NWB28" s="252"/>
      <c r="NWC28" s="252"/>
      <c r="NWD28" s="252"/>
      <c r="NWE28" s="252"/>
      <c r="NWF28" s="252"/>
      <c r="NWG28" s="252"/>
      <c r="NWH28" s="252"/>
      <c r="NWI28" s="252"/>
      <c r="NWJ28" s="252"/>
      <c r="NWK28" s="252"/>
      <c r="NWL28" s="252"/>
      <c r="NWM28" s="252"/>
      <c r="NWN28" s="252"/>
      <c r="NWO28" s="252"/>
      <c r="NWP28" s="252"/>
      <c r="NWQ28" s="252"/>
      <c r="NWR28" s="252"/>
      <c r="NWS28" s="252"/>
      <c r="NWT28" s="252"/>
      <c r="NWU28" s="252"/>
      <c r="NWV28" s="252"/>
      <c r="NWW28" s="252"/>
      <c r="NWX28" s="252"/>
      <c r="NWY28" s="252"/>
      <c r="NWZ28" s="252"/>
      <c r="NXA28" s="252"/>
      <c r="NXB28" s="252"/>
      <c r="NXC28" s="252"/>
      <c r="NXD28" s="252"/>
      <c r="NXE28" s="252"/>
      <c r="NXF28" s="252"/>
      <c r="NXG28" s="252"/>
      <c r="NXH28" s="252"/>
      <c r="NXI28" s="252"/>
      <c r="NXJ28" s="252"/>
      <c r="NXK28" s="252"/>
      <c r="NXL28" s="252"/>
      <c r="NXM28" s="252"/>
      <c r="NXN28" s="252"/>
      <c r="NXO28" s="252"/>
      <c r="NXP28" s="252"/>
      <c r="NXQ28" s="252"/>
      <c r="NXR28" s="252"/>
      <c r="NXS28" s="252"/>
      <c r="NXT28" s="252"/>
      <c r="NXU28" s="252"/>
      <c r="NXV28" s="252"/>
      <c r="NXW28" s="252"/>
      <c r="NXX28" s="252"/>
      <c r="NXY28" s="252"/>
      <c r="NXZ28" s="252"/>
      <c r="NYA28" s="252"/>
      <c r="NYB28" s="252"/>
      <c r="NYC28" s="252"/>
      <c r="NYD28" s="252"/>
      <c r="NYE28" s="252"/>
      <c r="NYF28" s="252"/>
      <c r="NYG28" s="252"/>
      <c r="NYH28" s="252"/>
      <c r="NYI28" s="252"/>
      <c r="NYJ28" s="252"/>
      <c r="NYK28" s="252"/>
      <c r="NYL28" s="252"/>
      <c r="NYM28" s="252"/>
      <c r="NYN28" s="252"/>
      <c r="NYO28" s="252"/>
      <c r="NYP28" s="252"/>
      <c r="NYQ28" s="252"/>
      <c r="NYR28" s="252"/>
      <c r="NYS28" s="252"/>
      <c r="NYT28" s="252"/>
      <c r="NYU28" s="252"/>
      <c r="NYV28" s="252"/>
      <c r="NYW28" s="252"/>
      <c r="NYX28" s="252"/>
      <c r="NYY28" s="252"/>
      <c r="NYZ28" s="252"/>
      <c r="NZA28" s="252"/>
      <c r="NZB28" s="252"/>
      <c r="NZC28" s="252"/>
      <c r="NZD28" s="252"/>
      <c r="NZE28" s="252"/>
      <c r="NZF28" s="252"/>
      <c r="NZG28" s="252"/>
      <c r="NZH28" s="252"/>
      <c r="NZI28" s="252"/>
      <c r="NZJ28" s="252"/>
      <c r="NZK28" s="252"/>
      <c r="NZL28" s="252"/>
      <c r="NZM28" s="252"/>
      <c r="NZN28" s="252"/>
      <c r="NZO28" s="252"/>
      <c r="NZP28" s="252"/>
      <c r="NZQ28" s="252"/>
      <c r="NZR28" s="252"/>
      <c r="NZS28" s="252"/>
      <c r="NZT28" s="252"/>
      <c r="NZU28" s="252"/>
      <c r="NZV28" s="252"/>
      <c r="NZW28" s="252"/>
      <c r="NZX28" s="252"/>
      <c r="NZY28" s="252"/>
      <c r="NZZ28" s="252"/>
      <c r="OAA28" s="252"/>
      <c r="OAB28" s="252"/>
      <c r="OAC28" s="252"/>
      <c r="OAD28" s="252"/>
      <c r="OAE28" s="252"/>
      <c r="OAF28" s="252"/>
      <c r="OAG28" s="252"/>
      <c r="OAH28" s="252"/>
      <c r="OAI28" s="252"/>
      <c r="OAJ28" s="252"/>
      <c r="OAK28" s="252"/>
      <c r="OAL28" s="252"/>
      <c r="OAM28" s="252"/>
      <c r="OAN28" s="252"/>
      <c r="OAO28" s="252"/>
      <c r="OAP28" s="252"/>
      <c r="OAQ28" s="252"/>
      <c r="OAR28" s="252"/>
      <c r="OAS28" s="252"/>
      <c r="OAT28" s="252"/>
      <c r="OAU28" s="252"/>
      <c r="OAV28" s="252"/>
      <c r="OAW28" s="252"/>
      <c r="OAX28" s="252"/>
      <c r="OAY28" s="252"/>
      <c r="OAZ28" s="252"/>
      <c r="OBA28" s="252"/>
      <c r="OBB28" s="252"/>
      <c r="OBC28" s="252"/>
      <c r="OBD28" s="252"/>
      <c r="OBE28" s="252"/>
      <c r="OBF28" s="252"/>
      <c r="OBG28" s="252"/>
      <c r="OBH28" s="252"/>
      <c r="OBI28" s="252"/>
      <c r="OBJ28" s="252"/>
      <c r="OBK28" s="252"/>
      <c r="OBL28" s="252"/>
      <c r="OBM28" s="252"/>
      <c r="OBN28" s="252"/>
      <c r="OBO28" s="252"/>
      <c r="OBP28" s="252"/>
      <c r="OBQ28" s="252"/>
      <c r="OBR28" s="252"/>
      <c r="OBS28" s="252"/>
      <c r="OBT28" s="252"/>
      <c r="OBU28" s="252"/>
      <c r="OBV28" s="252"/>
      <c r="OBW28" s="252"/>
      <c r="OBX28" s="252"/>
      <c r="OBY28" s="252"/>
      <c r="OBZ28" s="252"/>
      <c r="OCA28" s="252"/>
      <c r="OCB28" s="252"/>
      <c r="OCC28" s="252"/>
      <c r="OCD28" s="252"/>
      <c r="OCE28" s="252"/>
      <c r="OCF28" s="252"/>
      <c r="OCG28" s="252"/>
      <c r="OCH28" s="252"/>
      <c r="OCI28" s="252"/>
      <c r="OCJ28" s="252"/>
      <c r="OCK28" s="252"/>
      <c r="OCL28" s="252"/>
      <c r="OCM28" s="252"/>
      <c r="OCN28" s="252"/>
      <c r="OCO28" s="252"/>
      <c r="OCP28" s="252"/>
      <c r="OCQ28" s="252"/>
      <c r="OCR28" s="252"/>
      <c r="OCS28" s="252"/>
      <c r="OCT28" s="252"/>
      <c r="OCU28" s="252"/>
      <c r="OCV28" s="252"/>
      <c r="OCW28" s="252"/>
      <c r="OCX28" s="252"/>
      <c r="OCY28" s="252"/>
      <c r="OCZ28" s="252"/>
      <c r="ODA28" s="252"/>
      <c r="ODB28" s="252"/>
      <c r="ODC28" s="252"/>
      <c r="ODD28" s="252"/>
      <c r="ODE28" s="252"/>
      <c r="ODF28" s="252"/>
      <c r="ODG28" s="252"/>
      <c r="ODH28" s="252"/>
      <c r="ODI28" s="252"/>
      <c r="ODJ28" s="252"/>
      <c r="ODK28" s="252"/>
      <c r="ODL28" s="252"/>
      <c r="ODM28" s="252"/>
      <c r="ODN28" s="252"/>
      <c r="ODO28" s="252"/>
      <c r="ODP28" s="252"/>
      <c r="ODQ28" s="252"/>
      <c r="ODR28" s="252"/>
      <c r="ODS28" s="252"/>
      <c r="ODT28" s="252"/>
      <c r="ODU28" s="252"/>
      <c r="ODV28" s="252"/>
      <c r="ODW28" s="252"/>
      <c r="ODX28" s="252"/>
      <c r="ODY28" s="252"/>
      <c r="ODZ28" s="252"/>
      <c r="OEA28" s="252"/>
      <c r="OEB28" s="252"/>
      <c r="OEC28" s="252"/>
      <c r="OED28" s="252"/>
      <c r="OEE28" s="252"/>
      <c r="OEF28" s="252"/>
      <c r="OEG28" s="252"/>
      <c r="OEH28" s="252"/>
      <c r="OEI28" s="252"/>
      <c r="OEJ28" s="252"/>
      <c r="OEK28" s="252"/>
      <c r="OEL28" s="252"/>
      <c r="OEM28" s="252"/>
      <c r="OEN28" s="252"/>
      <c r="OEO28" s="252"/>
      <c r="OEP28" s="252"/>
      <c r="OEQ28" s="252"/>
      <c r="OER28" s="252"/>
      <c r="OES28" s="252"/>
      <c r="OET28" s="252"/>
      <c r="OEU28" s="252"/>
      <c r="OEV28" s="252"/>
      <c r="OEW28" s="252"/>
      <c r="OEX28" s="252"/>
      <c r="OEY28" s="252"/>
      <c r="OEZ28" s="252"/>
      <c r="OFA28" s="252"/>
      <c r="OFB28" s="252"/>
      <c r="OFC28" s="252"/>
      <c r="OFD28" s="252"/>
      <c r="OFE28" s="252"/>
      <c r="OFF28" s="252"/>
      <c r="OFG28" s="252"/>
      <c r="OFH28" s="252"/>
      <c r="OFI28" s="252"/>
      <c r="OFJ28" s="252"/>
      <c r="OFK28" s="252"/>
      <c r="OFL28" s="252"/>
      <c r="OFM28" s="252"/>
      <c r="OFN28" s="252"/>
      <c r="OFO28" s="252"/>
      <c r="OFP28" s="252"/>
      <c r="OFQ28" s="252"/>
      <c r="OFR28" s="252"/>
      <c r="OFS28" s="252"/>
      <c r="OFT28" s="252"/>
      <c r="OFU28" s="252"/>
      <c r="OFV28" s="252"/>
      <c r="OFW28" s="252"/>
      <c r="OFX28" s="252"/>
      <c r="OFY28" s="252"/>
      <c r="OFZ28" s="252"/>
      <c r="OGA28" s="252"/>
      <c r="OGB28" s="252"/>
      <c r="OGC28" s="252"/>
      <c r="OGD28" s="252"/>
      <c r="OGE28" s="252"/>
      <c r="OGF28" s="252"/>
      <c r="OGG28" s="252"/>
      <c r="OGH28" s="252"/>
      <c r="OGI28" s="252"/>
      <c r="OGJ28" s="252"/>
      <c r="OGK28" s="252"/>
      <c r="OGL28" s="252"/>
      <c r="OGM28" s="252"/>
      <c r="OGN28" s="252"/>
      <c r="OGO28" s="252"/>
      <c r="OGP28" s="252"/>
      <c r="OGQ28" s="252"/>
      <c r="OGR28" s="252"/>
      <c r="OGS28" s="252"/>
      <c r="OGT28" s="252"/>
      <c r="OGU28" s="252"/>
      <c r="OGV28" s="252"/>
      <c r="OGW28" s="252"/>
      <c r="OGX28" s="252"/>
      <c r="OGY28" s="252"/>
      <c r="OGZ28" s="252"/>
      <c r="OHA28" s="252"/>
      <c r="OHB28" s="252"/>
      <c r="OHC28" s="252"/>
      <c r="OHD28" s="252"/>
      <c r="OHE28" s="252"/>
      <c r="OHF28" s="252"/>
      <c r="OHG28" s="252"/>
      <c r="OHH28" s="252"/>
      <c r="OHI28" s="252"/>
      <c r="OHJ28" s="252"/>
      <c r="OHK28" s="252"/>
      <c r="OHL28" s="252"/>
      <c r="OHM28" s="252"/>
      <c r="OHN28" s="252"/>
      <c r="OHO28" s="252"/>
      <c r="OHP28" s="252"/>
      <c r="OHQ28" s="252"/>
      <c r="OHR28" s="252"/>
      <c r="OHS28" s="252"/>
      <c r="OHT28" s="252"/>
      <c r="OHU28" s="252"/>
      <c r="OHV28" s="252"/>
      <c r="OHW28" s="252"/>
      <c r="OHX28" s="252"/>
      <c r="OHY28" s="252"/>
      <c r="OHZ28" s="252"/>
      <c r="OIA28" s="252"/>
      <c r="OIB28" s="252"/>
      <c r="OIC28" s="252"/>
      <c r="OID28" s="252"/>
      <c r="OIE28" s="252"/>
      <c r="OIF28" s="252"/>
      <c r="OIG28" s="252"/>
      <c r="OIH28" s="252"/>
      <c r="OII28" s="252"/>
      <c r="OIJ28" s="252"/>
      <c r="OIK28" s="252"/>
      <c r="OIL28" s="252"/>
      <c r="OIM28" s="252"/>
      <c r="OIN28" s="252"/>
      <c r="OIO28" s="252"/>
      <c r="OIP28" s="252"/>
      <c r="OIQ28" s="252"/>
      <c r="OIR28" s="252"/>
      <c r="OIS28" s="252"/>
      <c r="OIT28" s="252"/>
      <c r="OIU28" s="252"/>
      <c r="OIV28" s="252"/>
      <c r="OIW28" s="252"/>
      <c r="OIX28" s="252"/>
      <c r="OIY28" s="252"/>
      <c r="OIZ28" s="252"/>
      <c r="OJA28" s="252"/>
      <c r="OJB28" s="252"/>
      <c r="OJC28" s="252"/>
      <c r="OJD28" s="252"/>
      <c r="OJE28" s="252"/>
      <c r="OJF28" s="252"/>
      <c r="OJG28" s="252"/>
      <c r="OJH28" s="252"/>
      <c r="OJI28" s="252"/>
      <c r="OJJ28" s="252"/>
      <c r="OJK28" s="252"/>
      <c r="OJL28" s="252"/>
      <c r="OJM28" s="252"/>
      <c r="OJN28" s="252"/>
      <c r="OJO28" s="252"/>
      <c r="OJP28" s="252"/>
      <c r="OJQ28" s="252"/>
      <c r="OJR28" s="252"/>
      <c r="OJS28" s="252"/>
      <c r="OJT28" s="252"/>
      <c r="OJU28" s="252"/>
      <c r="OJV28" s="252"/>
      <c r="OJW28" s="252"/>
      <c r="OJX28" s="252"/>
      <c r="OJY28" s="252"/>
      <c r="OJZ28" s="252"/>
      <c r="OKA28" s="252"/>
      <c r="OKB28" s="252"/>
      <c r="OKC28" s="252"/>
      <c r="OKD28" s="252"/>
      <c r="OKE28" s="252"/>
      <c r="OKF28" s="252"/>
      <c r="OKG28" s="252"/>
      <c r="OKH28" s="252"/>
      <c r="OKI28" s="252"/>
      <c r="OKJ28" s="252"/>
      <c r="OKK28" s="252"/>
      <c r="OKL28" s="252"/>
      <c r="OKM28" s="252"/>
      <c r="OKN28" s="252"/>
      <c r="OKO28" s="252"/>
      <c r="OKP28" s="252"/>
      <c r="OKQ28" s="252"/>
      <c r="OKR28" s="252"/>
      <c r="OKS28" s="252"/>
      <c r="OKT28" s="252"/>
      <c r="OKU28" s="252"/>
      <c r="OKV28" s="252"/>
      <c r="OKW28" s="252"/>
      <c r="OKX28" s="252"/>
      <c r="OKY28" s="252"/>
      <c r="OKZ28" s="252"/>
      <c r="OLA28" s="252"/>
      <c r="OLB28" s="252"/>
      <c r="OLC28" s="252"/>
      <c r="OLD28" s="252"/>
      <c r="OLE28" s="252"/>
      <c r="OLF28" s="252"/>
      <c r="OLG28" s="252"/>
      <c r="OLH28" s="252"/>
      <c r="OLI28" s="252"/>
      <c r="OLJ28" s="252"/>
      <c r="OLK28" s="252"/>
      <c r="OLL28" s="252"/>
      <c r="OLM28" s="252"/>
      <c r="OLN28" s="252"/>
      <c r="OLO28" s="252"/>
      <c r="OLP28" s="252"/>
      <c r="OLQ28" s="252"/>
      <c r="OLR28" s="252"/>
      <c r="OLS28" s="252"/>
      <c r="OLT28" s="252"/>
      <c r="OLU28" s="252"/>
      <c r="OLV28" s="252"/>
      <c r="OLW28" s="252"/>
      <c r="OLX28" s="252"/>
      <c r="OLY28" s="252"/>
      <c r="OLZ28" s="252"/>
      <c r="OMA28" s="252"/>
      <c r="OMB28" s="252"/>
      <c r="OMC28" s="252"/>
      <c r="OMD28" s="252"/>
      <c r="OME28" s="252"/>
      <c r="OMF28" s="252"/>
      <c r="OMG28" s="252"/>
      <c r="OMH28" s="252"/>
      <c r="OMI28" s="252"/>
      <c r="OMJ28" s="252"/>
      <c r="OMK28" s="252"/>
      <c r="OML28" s="252"/>
      <c r="OMM28" s="252"/>
      <c r="OMN28" s="252"/>
      <c r="OMO28" s="252"/>
      <c r="OMP28" s="252"/>
      <c r="OMQ28" s="252"/>
      <c r="OMR28" s="252"/>
      <c r="OMS28" s="252"/>
      <c r="OMT28" s="252"/>
      <c r="OMU28" s="252"/>
      <c r="OMV28" s="252"/>
      <c r="OMW28" s="252"/>
      <c r="OMX28" s="252"/>
      <c r="OMY28" s="252"/>
      <c r="OMZ28" s="252"/>
      <c r="ONA28" s="252"/>
      <c r="ONB28" s="252"/>
      <c r="ONC28" s="252"/>
      <c r="OND28" s="252"/>
      <c r="ONE28" s="252"/>
      <c r="ONF28" s="252"/>
      <c r="ONG28" s="252"/>
      <c r="ONH28" s="252"/>
      <c r="ONI28" s="252"/>
      <c r="ONJ28" s="252"/>
      <c r="ONK28" s="252"/>
      <c r="ONL28" s="252"/>
      <c r="ONM28" s="252"/>
      <c r="ONN28" s="252"/>
      <c r="ONO28" s="252"/>
      <c r="ONP28" s="252"/>
      <c r="ONQ28" s="252"/>
      <c r="ONR28" s="252"/>
      <c r="ONS28" s="252"/>
      <c r="ONT28" s="252"/>
      <c r="ONU28" s="252"/>
      <c r="ONV28" s="252"/>
      <c r="ONW28" s="252"/>
      <c r="ONX28" s="252"/>
      <c r="ONY28" s="252"/>
      <c r="ONZ28" s="252"/>
      <c r="OOA28" s="252"/>
      <c r="OOB28" s="252"/>
      <c r="OOC28" s="252"/>
      <c r="OOD28" s="252"/>
      <c r="OOE28" s="252"/>
      <c r="OOF28" s="252"/>
      <c r="OOG28" s="252"/>
      <c r="OOH28" s="252"/>
      <c r="OOI28" s="252"/>
      <c r="OOJ28" s="252"/>
      <c r="OOK28" s="252"/>
      <c r="OOL28" s="252"/>
      <c r="OOM28" s="252"/>
      <c r="OON28" s="252"/>
      <c r="OOO28" s="252"/>
      <c r="OOP28" s="252"/>
      <c r="OOQ28" s="252"/>
      <c r="OOR28" s="252"/>
      <c r="OOS28" s="252"/>
      <c r="OOT28" s="252"/>
      <c r="OOU28" s="252"/>
      <c r="OOV28" s="252"/>
      <c r="OOW28" s="252"/>
      <c r="OOX28" s="252"/>
      <c r="OOY28" s="252"/>
      <c r="OOZ28" s="252"/>
      <c r="OPA28" s="252"/>
      <c r="OPB28" s="252"/>
      <c r="OPC28" s="252"/>
      <c r="OPD28" s="252"/>
      <c r="OPE28" s="252"/>
      <c r="OPF28" s="252"/>
      <c r="OPG28" s="252"/>
      <c r="OPH28" s="252"/>
      <c r="OPI28" s="252"/>
      <c r="OPJ28" s="252"/>
      <c r="OPK28" s="252"/>
      <c r="OPL28" s="252"/>
      <c r="OPM28" s="252"/>
      <c r="OPN28" s="252"/>
      <c r="OPO28" s="252"/>
      <c r="OPP28" s="252"/>
      <c r="OPQ28" s="252"/>
      <c r="OPR28" s="252"/>
      <c r="OPS28" s="252"/>
      <c r="OPT28" s="252"/>
      <c r="OPU28" s="252"/>
      <c r="OPV28" s="252"/>
      <c r="OPW28" s="252"/>
      <c r="OPX28" s="252"/>
      <c r="OPY28" s="252"/>
      <c r="OPZ28" s="252"/>
      <c r="OQA28" s="252"/>
      <c r="OQB28" s="252"/>
      <c r="OQC28" s="252"/>
      <c r="OQD28" s="252"/>
      <c r="OQE28" s="252"/>
      <c r="OQF28" s="252"/>
      <c r="OQG28" s="252"/>
      <c r="OQH28" s="252"/>
      <c r="OQI28" s="252"/>
      <c r="OQJ28" s="252"/>
      <c r="OQK28" s="252"/>
      <c r="OQL28" s="252"/>
      <c r="OQM28" s="252"/>
      <c r="OQN28" s="252"/>
      <c r="OQO28" s="252"/>
      <c r="OQP28" s="252"/>
      <c r="OQQ28" s="252"/>
      <c r="OQR28" s="252"/>
      <c r="OQS28" s="252"/>
      <c r="OQT28" s="252"/>
      <c r="OQU28" s="252"/>
      <c r="OQV28" s="252"/>
      <c r="OQW28" s="252"/>
      <c r="OQX28" s="252"/>
      <c r="OQY28" s="252"/>
      <c r="OQZ28" s="252"/>
      <c r="ORA28" s="252"/>
      <c r="ORB28" s="252"/>
      <c r="ORC28" s="252"/>
      <c r="ORD28" s="252"/>
      <c r="ORE28" s="252"/>
      <c r="ORF28" s="252"/>
      <c r="ORG28" s="252"/>
      <c r="ORH28" s="252"/>
      <c r="ORI28" s="252"/>
      <c r="ORJ28" s="252"/>
      <c r="ORK28" s="252"/>
      <c r="ORL28" s="252"/>
      <c r="ORM28" s="252"/>
      <c r="ORN28" s="252"/>
      <c r="ORO28" s="252"/>
      <c r="ORP28" s="252"/>
      <c r="ORQ28" s="252"/>
      <c r="ORR28" s="252"/>
      <c r="ORS28" s="252"/>
      <c r="ORT28" s="252"/>
      <c r="ORU28" s="252"/>
      <c r="ORV28" s="252"/>
      <c r="ORW28" s="252"/>
      <c r="ORX28" s="252"/>
      <c r="ORY28" s="252"/>
      <c r="ORZ28" s="252"/>
      <c r="OSA28" s="252"/>
      <c r="OSB28" s="252"/>
      <c r="OSC28" s="252"/>
      <c r="OSD28" s="252"/>
      <c r="OSE28" s="252"/>
      <c r="OSF28" s="252"/>
      <c r="OSG28" s="252"/>
      <c r="OSH28" s="252"/>
      <c r="OSI28" s="252"/>
      <c r="OSJ28" s="252"/>
      <c r="OSK28" s="252"/>
      <c r="OSL28" s="252"/>
      <c r="OSM28" s="252"/>
      <c r="OSN28" s="252"/>
      <c r="OSO28" s="252"/>
      <c r="OSP28" s="252"/>
      <c r="OSQ28" s="252"/>
      <c r="OSR28" s="252"/>
      <c r="OSS28" s="252"/>
      <c r="OST28" s="252"/>
      <c r="OSU28" s="252"/>
      <c r="OSV28" s="252"/>
      <c r="OSW28" s="252"/>
      <c r="OSX28" s="252"/>
      <c r="OSY28" s="252"/>
      <c r="OSZ28" s="252"/>
      <c r="OTA28" s="252"/>
      <c r="OTB28" s="252"/>
      <c r="OTC28" s="252"/>
      <c r="OTD28" s="252"/>
      <c r="OTE28" s="252"/>
      <c r="OTF28" s="252"/>
      <c r="OTG28" s="252"/>
      <c r="OTH28" s="252"/>
      <c r="OTI28" s="252"/>
      <c r="OTJ28" s="252"/>
      <c r="OTK28" s="252"/>
      <c r="OTL28" s="252"/>
      <c r="OTM28" s="252"/>
      <c r="OTN28" s="252"/>
      <c r="OTO28" s="252"/>
      <c r="OTP28" s="252"/>
      <c r="OTQ28" s="252"/>
      <c r="OTR28" s="252"/>
      <c r="OTS28" s="252"/>
      <c r="OTT28" s="252"/>
      <c r="OTU28" s="252"/>
      <c r="OTV28" s="252"/>
      <c r="OTW28" s="252"/>
      <c r="OTX28" s="252"/>
      <c r="OTY28" s="252"/>
      <c r="OTZ28" s="252"/>
      <c r="OUA28" s="252"/>
      <c r="OUB28" s="252"/>
      <c r="OUC28" s="252"/>
      <c r="OUD28" s="252"/>
      <c r="OUE28" s="252"/>
      <c r="OUF28" s="252"/>
      <c r="OUG28" s="252"/>
      <c r="OUH28" s="252"/>
      <c r="OUI28" s="252"/>
      <c r="OUJ28" s="252"/>
      <c r="OUK28" s="252"/>
      <c r="OUL28" s="252"/>
      <c r="OUM28" s="252"/>
      <c r="OUN28" s="252"/>
      <c r="OUO28" s="252"/>
      <c r="OUP28" s="252"/>
      <c r="OUQ28" s="252"/>
      <c r="OUR28" s="252"/>
      <c r="OUS28" s="252"/>
      <c r="OUT28" s="252"/>
      <c r="OUU28" s="252"/>
      <c r="OUV28" s="252"/>
      <c r="OUW28" s="252"/>
      <c r="OUX28" s="252"/>
      <c r="OUY28" s="252"/>
      <c r="OUZ28" s="252"/>
      <c r="OVA28" s="252"/>
      <c r="OVB28" s="252"/>
      <c r="OVC28" s="252"/>
      <c r="OVD28" s="252"/>
      <c r="OVE28" s="252"/>
      <c r="OVF28" s="252"/>
      <c r="OVG28" s="252"/>
      <c r="OVH28" s="252"/>
      <c r="OVI28" s="252"/>
      <c r="OVJ28" s="252"/>
      <c r="OVK28" s="252"/>
      <c r="OVL28" s="252"/>
      <c r="OVM28" s="252"/>
      <c r="OVN28" s="252"/>
      <c r="OVO28" s="252"/>
      <c r="OVP28" s="252"/>
      <c r="OVQ28" s="252"/>
      <c r="OVR28" s="252"/>
      <c r="OVS28" s="252"/>
      <c r="OVT28" s="252"/>
      <c r="OVU28" s="252"/>
      <c r="OVV28" s="252"/>
      <c r="OVW28" s="252"/>
      <c r="OVX28" s="252"/>
      <c r="OVY28" s="252"/>
      <c r="OVZ28" s="252"/>
      <c r="OWA28" s="252"/>
      <c r="OWB28" s="252"/>
      <c r="OWC28" s="252"/>
      <c r="OWD28" s="252"/>
      <c r="OWE28" s="252"/>
      <c r="OWF28" s="252"/>
      <c r="OWG28" s="252"/>
      <c r="OWH28" s="252"/>
      <c r="OWI28" s="252"/>
      <c r="OWJ28" s="252"/>
      <c r="OWK28" s="252"/>
      <c r="OWL28" s="252"/>
      <c r="OWM28" s="252"/>
      <c r="OWN28" s="252"/>
      <c r="OWO28" s="252"/>
      <c r="OWP28" s="252"/>
      <c r="OWQ28" s="252"/>
      <c r="OWR28" s="252"/>
      <c r="OWS28" s="252"/>
      <c r="OWT28" s="252"/>
      <c r="OWU28" s="252"/>
      <c r="OWV28" s="252"/>
      <c r="OWW28" s="252"/>
      <c r="OWX28" s="252"/>
      <c r="OWY28" s="252"/>
      <c r="OWZ28" s="252"/>
      <c r="OXA28" s="252"/>
      <c r="OXB28" s="252"/>
      <c r="OXC28" s="252"/>
      <c r="OXD28" s="252"/>
      <c r="OXE28" s="252"/>
      <c r="OXF28" s="252"/>
      <c r="OXG28" s="252"/>
      <c r="OXH28" s="252"/>
      <c r="OXI28" s="252"/>
      <c r="OXJ28" s="252"/>
      <c r="OXK28" s="252"/>
      <c r="OXL28" s="252"/>
      <c r="OXM28" s="252"/>
      <c r="OXN28" s="252"/>
      <c r="OXO28" s="252"/>
      <c r="OXP28" s="252"/>
      <c r="OXQ28" s="252"/>
      <c r="OXR28" s="252"/>
      <c r="OXS28" s="252"/>
      <c r="OXT28" s="252"/>
      <c r="OXU28" s="252"/>
      <c r="OXV28" s="252"/>
      <c r="OXW28" s="252"/>
      <c r="OXX28" s="252"/>
      <c r="OXY28" s="252"/>
      <c r="OXZ28" s="252"/>
      <c r="OYA28" s="252"/>
      <c r="OYB28" s="252"/>
      <c r="OYC28" s="252"/>
      <c r="OYD28" s="252"/>
      <c r="OYE28" s="252"/>
      <c r="OYF28" s="252"/>
      <c r="OYG28" s="252"/>
      <c r="OYH28" s="252"/>
      <c r="OYI28" s="252"/>
      <c r="OYJ28" s="252"/>
      <c r="OYK28" s="252"/>
      <c r="OYL28" s="252"/>
      <c r="OYM28" s="252"/>
      <c r="OYN28" s="252"/>
      <c r="OYO28" s="252"/>
      <c r="OYP28" s="252"/>
      <c r="OYQ28" s="252"/>
      <c r="OYR28" s="252"/>
      <c r="OYS28" s="252"/>
      <c r="OYT28" s="252"/>
      <c r="OYU28" s="252"/>
      <c r="OYV28" s="252"/>
      <c r="OYW28" s="252"/>
      <c r="OYX28" s="252"/>
      <c r="OYY28" s="252"/>
      <c r="OYZ28" s="252"/>
      <c r="OZA28" s="252"/>
      <c r="OZB28" s="252"/>
      <c r="OZC28" s="252"/>
      <c r="OZD28" s="252"/>
      <c r="OZE28" s="252"/>
      <c r="OZF28" s="252"/>
      <c r="OZG28" s="252"/>
      <c r="OZH28" s="252"/>
      <c r="OZI28" s="252"/>
      <c r="OZJ28" s="252"/>
      <c r="OZK28" s="252"/>
      <c r="OZL28" s="252"/>
      <c r="OZM28" s="252"/>
      <c r="OZN28" s="252"/>
      <c r="OZO28" s="252"/>
      <c r="OZP28" s="252"/>
      <c r="OZQ28" s="252"/>
      <c r="OZR28" s="252"/>
      <c r="OZS28" s="252"/>
      <c r="OZT28" s="252"/>
      <c r="OZU28" s="252"/>
      <c r="OZV28" s="252"/>
      <c r="OZW28" s="252"/>
      <c r="OZX28" s="252"/>
      <c r="OZY28" s="252"/>
      <c r="OZZ28" s="252"/>
      <c r="PAA28" s="252"/>
      <c r="PAB28" s="252"/>
      <c r="PAC28" s="252"/>
      <c r="PAD28" s="252"/>
      <c r="PAE28" s="252"/>
      <c r="PAF28" s="252"/>
      <c r="PAG28" s="252"/>
      <c r="PAH28" s="252"/>
      <c r="PAI28" s="252"/>
      <c r="PAJ28" s="252"/>
      <c r="PAK28" s="252"/>
      <c r="PAL28" s="252"/>
      <c r="PAM28" s="252"/>
      <c r="PAN28" s="252"/>
      <c r="PAO28" s="252"/>
      <c r="PAP28" s="252"/>
      <c r="PAQ28" s="252"/>
      <c r="PAR28" s="252"/>
      <c r="PAS28" s="252"/>
      <c r="PAT28" s="252"/>
      <c r="PAU28" s="252"/>
      <c r="PAV28" s="252"/>
      <c r="PAW28" s="252"/>
      <c r="PAX28" s="252"/>
      <c r="PAY28" s="252"/>
      <c r="PAZ28" s="252"/>
      <c r="PBA28" s="252"/>
      <c r="PBB28" s="252"/>
      <c r="PBC28" s="252"/>
      <c r="PBD28" s="252"/>
      <c r="PBE28" s="252"/>
      <c r="PBF28" s="252"/>
      <c r="PBG28" s="252"/>
      <c r="PBH28" s="252"/>
      <c r="PBI28" s="252"/>
      <c r="PBJ28" s="252"/>
      <c r="PBK28" s="252"/>
      <c r="PBL28" s="252"/>
      <c r="PBM28" s="252"/>
      <c r="PBN28" s="252"/>
      <c r="PBO28" s="252"/>
      <c r="PBP28" s="252"/>
      <c r="PBQ28" s="252"/>
      <c r="PBR28" s="252"/>
      <c r="PBS28" s="252"/>
      <c r="PBT28" s="252"/>
      <c r="PBU28" s="252"/>
      <c r="PBV28" s="252"/>
      <c r="PBW28" s="252"/>
      <c r="PBX28" s="252"/>
      <c r="PBY28" s="252"/>
      <c r="PBZ28" s="252"/>
      <c r="PCA28" s="252"/>
      <c r="PCB28" s="252"/>
      <c r="PCC28" s="252"/>
      <c r="PCD28" s="252"/>
      <c r="PCE28" s="252"/>
      <c r="PCF28" s="252"/>
      <c r="PCG28" s="252"/>
      <c r="PCH28" s="252"/>
      <c r="PCI28" s="252"/>
      <c r="PCJ28" s="252"/>
      <c r="PCK28" s="252"/>
      <c r="PCL28" s="252"/>
      <c r="PCM28" s="252"/>
      <c r="PCN28" s="252"/>
      <c r="PCO28" s="252"/>
      <c r="PCP28" s="252"/>
      <c r="PCQ28" s="252"/>
      <c r="PCR28" s="252"/>
      <c r="PCS28" s="252"/>
      <c r="PCT28" s="252"/>
      <c r="PCU28" s="252"/>
      <c r="PCV28" s="252"/>
      <c r="PCW28" s="252"/>
      <c r="PCX28" s="252"/>
      <c r="PCY28" s="252"/>
      <c r="PCZ28" s="252"/>
      <c r="PDA28" s="252"/>
      <c r="PDB28" s="252"/>
      <c r="PDC28" s="252"/>
      <c r="PDD28" s="252"/>
      <c r="PDE28" s="252"/>
      <c r="PDF28" s="252"/>
      <c r="PDG28" s="252"/>
      <c r="PDH28" s="252"/>
      <c r="PDI28" s="252"/>
      <c r="PDJ28" s="252"/>
      <c r="PDK28" s="252"/>
      <c r="PDL28" s="252"/>
      <c r="PDM28" s="252"/>
      <c r="PDN28" s="252"/>
      <c r="PDO28" s="252"/>
      <c r="PDP28" s="252"/>
      <c r="PDQ28" s="252"/>
      <c r="PDR28" s="252"/>
      <c r="PDS28" s="252"/>
      <c r="PDT28" s="252"/>
      <c r="PDU28" s="252"/>
      <c r="PDV28" s="252"/>
      <c r="PDW28" s="252"/>
      <c r="PDX28" s="252"/>
      <c r="PDY28" s="252"/>
      <c r="PDZ28" s="252"/>
      <c r="PEA28" s="252"/>
      <c r="PEB28" s="252"/>
      <c r="PEC28" s="252"/>
      <c r="PED28" s="252"/>
      <c r="PEE28" s="252"/>
      <c r="PEF28" s="252"/>
      <c r="PEG28" s="252"/>
      <c r="PEH28" s="252"/>
      <c r="PEI28" s="252"/>
      <c r="PEJ28" s="252"/>
      <c r="PEK28" s="252"/>
      <c r="PEL28" s="252"/>
      <c r="PEM28" s="252"/>
      <c r="PEN28" s="252"/>
      <c r="PEO28" s="252"/>
      <c r="PEP28" s="252"/>
      <c r="PEQ28" s="252"/>
      <c r="PER28" s="252"/>
      <c r="PES28" s="252"/>
      <c r="PET28" s="252"/>
      <c r="PEU28" s="252"/>
      <c r="PEV28" s="252"/>
      <c r="PEW28" s="252"/>
      <c r="PEX28" s="252"/>
      <c r="PEY28" s="252"/>
      <c r="PEZ28" s="252"/>
      <c r="PFA28" s="252"/>
      <c r="PFB28" s="252"/>
      <c r="PFC28" s="252"/>
      <c r="PFD28" s="252"/>
      <c r="PFE28" s="252"/>
      <c r="PFF28" s="252"/>
      <c r="PFG28" s="252"/>
      <c r="PFH28" s="252"/>
      <c r="PFI28" s="252"/>
      <c r="PFJ28" s="252"/>
      <c r="PFK28" s="252"/>
      <c r="PFL28" s="252"/>
      <c r="PFM28" s="252"/>
      <c r="PFN28" s="252"/>
      <c r="PFO28" s="252"/>
      <c r="PFP28" s="252"/>
      <c r="PFQ28" s="252"/>
      <c r="PFR28" s="252"/>
      <c r="PFS28" s="252"/>
      <c r="PFT28" s="252"/>
      <c r="PFU28" s="252"/>
      <c r="PFV28" s="252"/>
      <c r="PFW28" s="252"/>
      <c r="PFX28" s="252"/>
      <c r="PFY28" s="252"/>
      <c r="PFZ28" s="252"/>
      <c r="PGA28" s="252"/>
      <c r="PGB28" s="252"/>
      <c r="PGC28" s="252"/>
      <c r="PGD28" s="252"/>
      <c r="PGE28" s="252"/>
      <c r="PGF28" s="252"/>
      <c r="PGG28" s="252"/>
      <c r="PGH28" s="252"/>
      <c r="PGI28" s="252"/>
      <c r="PGJ28" s="252"/>
      <c r="PGK28" s="252"/>
      <c r="PGL28" s="252"/>
      <c r="PGM28" s="252"/>
      <c r="PGN28" s="252"/>
      <c r="PGO28" s="252"/>
      <c r="PGP28" s="252"/>
      <c r="PGQ28" s="252"/>
      <c r="PGR28" s="252"/>
      <c r="PGS28" s="252"/>
      <c r="PGT28" s="252"/>
      <c r="PGU28" s="252"/>
      <c r="PGV28" s="252"/>
      <c r="PGW28" s="252"/>
      <c r="PGX28" s="252"/>
      <c r="PGY28" s="252"/>
      <c r="PGZ28" s="252"/>
      <c r="PHA28" s="252"/>
      <c r="PHB28" s="252"/>
      <c r="PHC28" s="252"/>
      <c r="PHD28" s="252"/>
      <c r="PHE28" s="252"/>
      <c r="PHF28" s="252"/>
      <c r="PHG28" s="252"/>
      <c r="PHH28" s="252"/>
      <c r="PHI28" s="252"/>
      <c r="PHJ28" s="252"/>
      <c r="PHK28" s="252"/>
      <c r="PHL28" s="252"/>
      <c r="PHM28" s="252"/>
      <c r="PHN28" s="252"/>
      <c r="PHO28" s="252"/>
      <c r="PHP28" s="252"/>
      <c r="PHQ28" s="252"/>
      <c r="PHR28" s="252"/>
      <c r="PHS28" s="252"/>
      <c r="PHT28" s="252"/>
      <c r="PHU28" s="252"/>
      <c r="PHV28" s="252"/>
      <c r="PHW28" s="252"/>
      <c r="PHX28" s="252"/>
      <c r="PHY28" s="252"/>
      <c r="PHZ28" s="252"/>
      <c r="PIA28" s="252"/>
      <c r="PIB28" s="252"/>
      <c r="PIC28" s="252"/>
      <c r="PID28" s="252"/>
      <c r="PIE28" s="252"/>
      <c r="PIF28" s="252"/>
      <c r="PIG28" s="252"/>
      <c r="PIH28" s="252"/>
      <c r="PII28" s="252"/>
      <c r="PIJ28" s="252"/>
      <c r="PIK28" s="252"/>
      <c r="PIL28" s="252"/>
      <c r="PIM28" s="252"/>
      <c r="PIN28" s="252"/>
      <c r="PIO28" s="252"/>
      <c r="PIP28" s="252"/>
      <c r="PIQ28" s="252"/>
      <c r="PIR28" s="252"/>
      <c r="PIS28" s="252"/>
      <c r="PIT28" s="252"/>
      <c r="PIU28" s="252"/>
      <c r="PIV28" s="252"/>
      <c r="PIW28" s="252"/>
      <c r="PIX28" s="252"/>
      <c r="PIY28" s="252"/>
      <c r="PIZ28" s="252"/>
      <c r="PJA28" s="252"/>
      <c r="PJB28" s="252"/>
      <c r="PJC28" s="252"/>
      <c r="PJD28" s="252"/>
      <c r="PJE28" s="252"/>
      <c r="PJF28" s="252"/>
      <c r="PJG28" s="252"/>
      <c r="PJH28" s="252"/>
      <c r="PJI28" s="252"/>
      <c r="PJJ28" s="252"/>
      <c r="PJK28" s="252"/>
      <c r="PJL28" s="252"/>
      <c r="PJM28" s="252"/>
      <c r="PJN28" s="252"/>
      <c r="PJO28" s="252"/>
      <c r="PJP28" s="252"/>
      <c r="PJQ28" s="252"/>
      <c r="PJR28" s="252"/>
      <c r="PJS28" s="252"/>
      <c r="PJT28" s="252"/>
      <c r="PJU28" s="252"/>
      <c r="PJV28" s="252"/>
      <c r="PJW28" s="252"/>
      <c r="PJX28" s="252"/>
      <c r="PJY28" s="252"/>
      <c r="PJZ28" s="252"/>
      <c r="PKA28" s="252"/>
      <c r="PKB28" s="252"/>
      <c r="PKC28" s="252"/>
      <c r="PKD28" s="252"/>
      <c r="PKE28" s="252"/>
      <c r="PKF28" s="252"/>
      <c r="PKG28" s="252"/>
      <c r="PKH28" s="252"/>
      <c r="PKI28" s="252"/>
      <c r="PKJ28" s="252"/>
      <c r="PKK28" s="252"/>
      <c r="PKL28" s="252"/>
      <c r="PKM28" s="252"/>
      <c r="PKN28" s="252"/>
      <c r="PKO28" s="252"/>
      <c r="PKP28" s="252"/>
      <c r="PKQ28" s="252"/>
      <c r="PKR28" s="252"/>
      <c r="PKS28" s="252"/>
      <c r="PKT28" s="252"/>
      <c r="PKU28" s="252"/>
      <c r="PKV28" s="252"/>
      <c r="PKW28" s="252"/>
      <c r="PKX28" s="252"/>
      <c r="PKY28" s="252"/>
      <c r="PKZ28" s="252"/>
      <c r="PLA28" s="252"/>
      <c r="PLB28" s="252"/>
      <c r="PLC28" s="252"/>
      <c r="PLD28" s="252"/>
      <c r="PLE28" s="252"/>
      <c r="PLF28" s="252"/>
      <c r="PLG28" s="252"/>
      <c r="PLH28" s="252"/>
      <c r="PLI28" s="252"/>
      <c r="PLJ28" s="252"/>
      <c r="PLK28" s="252"/>
      <c r="PLL28" s="252"/>
      <c r="PLM28" s="252"/>
      <c r="PLN28" s="252"/>
      <c r="PLO28" s="252"/>
      <c r="PLP28" s="252"/>
      <c r="PLQ28" s="252"/>
      <c r="PLR28" s="252"/>
      <c r="PLS28" s="252"/>
      <c r="PLT28" s="252"/>
      <c r="PLU28" s="252"/>
      <c r="PLV28" s="252"/>
      <c r="PLW28" s="252"/>
      <c r="PLX28" s="252"/>
      <c r="PLY28" s="252"/>
      <c r="PLZ28" s="252"/>
      <c r="PMA28" s="252"/>
      <c r="PMB28" s="252"/>
      <c r="PMC28" s="252"/>
      <c r="PMD28" s="252"/>
      <c r="PME28" s="252"/>
      <c r="PMF28" s="252"/>
      <c r="PMG28" s="252"/>
      <c r="PMH28" s="252"/>
      <c r="PMI28" s="252"/>
      <c r="PMJ28" s="252"/>
      <c r="PMK28" s="252"/>
      <c r="PML28" s="252"/>
      <c r="PMM28" s="252"/>
      <c r="PMN28" s="252"/>
      <c r="PMO28" s="252"/>
      <c r="PMP28" s="252"/>
      <c r="PMQ28" s="252"/>
      <c r="PMR28" s="252"/>
      <c r="PMS28" s="252"/>
      <c r="PMT28" s="252"/>
      <c r="PMU28" s="252"/>
      <c r="PMV28" s="252"/>
      <c r="PMW28" s="252"/>
      <c r="PMX28" s="252"/>
      <c r="PMY28" s="252"/>
      <c r="PMZ28" s="252"/>
      <c r="PNA28" s="252"/>
      <c r="PNB28" s="252"/>
      <c r="PNC28" s="252"/>
      <c r="PND28" s="252"/>
      <c r="PNE28" s="252"/>
      <c r="PNF28" s="252"/>
      <c r="PNG28" s="252"/>
      <c r="PNH28" s="252"/>
      <c r="PNI28" s="252"/>
      <c r="PNJ28" s="252"/>
      <c r="PNK28" s="252"/>
      <c r="PNL28" s="252"/>
      <c r="PNM28" s="252"/>
      <c r="PNN28" s="252"/>
      <c r="PNO28" s="252"/>
      <c r="PNP28" s="252"/>
      <c r="PNQ28" s="252"/>
      <c r="PNR28" s="252"/>
      <c r="PNS28" s="252"/>
      <c r="PNT28" s="252"/>
      <c r="PNU28" s="252"/>
      <c r="PNV28" s="252"/>
      <c r="PNW28" s="252"/>
      <c r="PNX28" s="252"/>
      <c r="PNY28" s="252"/>
      <c r="PNZ28" s="252"/>
      <c r="POA28" s="252"/>
      <c r="POB28" s="252"/>
      <c r="POC28" s="252"/>
      <c r="POD28" s="252"/>
      <c r="POE28" s="252"/>
      <c r="POF28" s="252"/>
      <c r="POG28" s="252"/>
      <c r="POH28" s="252"/>
      <c r="POI28" s="252"/>
      <c r="POJ28" s="252"/>
      <c r="POK28" s="252"/>
      <c r="POL28" s="252"/>
      <c r="POM28" s="252"/>
      <c r="PON28" s="252"/>
      <c r="POO28" s="252"/>
      <c r="POP28" s="252"/>
      <c r="POQ28" s="252"/>
      <c r="POR28" s="252"/>
      <c r="POS28" s="252"/>
      <c r="POT28" s="252"/>
      <c r="POU28" s="252"/>
      <c r="POV28" s="252"/>
      <c r="POW28" s="252"/>
      <c r="POX28" s="252"/>
      <c r="POY28" s="252"/>
      <c r="POZ28" s="252"/>
      <c r="PPA28" s="252"/>
      <c r="PPB28" s="252"/>
      <c r="PPC28" s="252"/>
      <c r="PPD28" s="252"/>
      <c r="PPE28" s="252"/>
      <c r="PPF28" s="252"/>
      <c r="PPG28" s="252"/>
      <c r="PPH28" s="252"/>
      <c r="PPI28" s="252"/>
      <c r="PPJ28" s="252"/>
      <c r="PPK28" s="252"/>
      <c r="PPL28" s="252"/>
      <c r="PPM28" s="252"/>
      <c r="PPN28" s="252"/>
      <c r="PPO28" s="252"/>
      <c r="PPP28" s="252"/>
      <c r="PPQ28" s="252"/>
      <c r="PPR28" s="252"/>
      <c r="PPS28" s="252"/>
      <c r="PPT28" s="252"/>
      <c r="PPU28" s="252"/>
      <c r="PPV28" s="252"/>
      <c r="PPW28" s="252"/>
      <c r="PPX28" s="252"/>
      <c r="PPY28" s="252"/>
      <c r="PPZ28" s="252"/>
      <c r="PQA28" s="252"/>
      <c r="PQB28" s="252"/>
      <c r="PQC28" s="252"/>
      <c r="PQD28" s="252"/>
      <c r="PQE28" s="252"/>
      <c r="PQF28" s="252"/>
      <c r="PQG28" s="252"/>
      <c r="PQH28" s="252"/>
      <c r="PQI28" s="252"/>
      <c r="PQJ28" s="252"/>
      <c r="PQK28" s="252"/>
      <c r="PQL28" s="252"/>
      <c r="PQM28" s="252"/>
      <c r="PQN28" s="252"/>
      <c r="PQO28" s="252"/>
      <c r="PQP28" s="252"/>
      <c r="PQQ28" s="252"/>
      <c r="PQR28" s="252"/>
      <c r="PQS28" s="252"/>
      <c r="PQT28" s="252"/>
      <c r="PQU28" s="252"/>
      <c r="PQV28" s="252"/>
      <c r="PQW28" s="252"/>
      <c r="PQX28" s="252"/>
      <c r="PQY28" s="252"/>
      <c r="PQZ28" s="252"/>
      <c r="PRA28" s="252"/>
      <c r="PRB28" s="252"/>
      <c r="PRC28" s="252"/>
      <c r="PRD28" s="252"/>
      <c r="PRE28" s="252"/>
      <c r="PRF28" s="252"/>
      <c r="PRG28" s="252"/>
      <c r="PRH28" s="252"/>
      <c r="PRI28" s="252"/>
      <c r="PRJ28" s="252"/>
      <c r="PRK28" s="252"/>
      <c r="PRL28" s="252"/>
      <c r="PRM28" s="252"/>
      <c r="PRN28" s="252"/>
      <c r="PRO28" s="252"/>
      <c r="PRP28" s="252"/>
      <c r="PRQ28" s="252"/>
      <c r="PRR28" s="252"/>
      <c r="PRS28" s="252"/>
      <c r="PRT28" s="252"/>
      <c r="PRU28" s="252"/>
      <c r="PRV28" s="252"/>
      <c r="PRW28" s="252"/>
      <c r="PRX28" s="252"/>
      <c r="PRY28" s="252"/>
      <c r="PRZ28" s="252"/>
      <c r="PSA28" s="252"/>
      <c r="PSB28" s="252"/>
      <c r="PSC28" s="252"/>
      <c r="PSD28" s="252"/>
      <c r="PSE28" s="252"/>
      <c r="PSF28" s="252"/>
      <c r="PSG28" s="252"/>
      <c r="PSH28" s="252"/>
      <c r="PSI28" s="252"/>
      <c r="PSJ28" s="252"/>
      <c r="PSK28" s="252"/>
      <c r="PSL28" s="252"/>
      <c r="PSM28" s="252"/>
      <c r="PSN28" s="252"/>
      <c r="PSO28" s="252"/>
      <c r="PSP28" s="252"/>
      <c r="PSQ28" s="252"/>
      <c r="PSR28" s="252"/>
      <c r="PSS28" s="252"/>
      <c r="PST28" s="252"/>
      <c r="PSU28" s="252"/>
      <c r="PSV28" s="252"/>
      <c r="PSW28" s="252"/>
      <c r="PSX28" s="252"/>
      <c r="PSY28" s="252"/>
      <c r="PSZ28" s="252"/>
      <c r="PTA28" s="252"/>
      <c r="PTB28" s="252"/>
      <c r="PTC28" s="252"/>
      <c r="PTD28" s="252"/>
      <c r="PTE28" s="252"/>
      <c r="PTF28" s="252"/>
      <c r="PTG28" s="252"/>
      <c r="PTH28" s="252"/>
      <c r="PTI28" s="252"/>
      <c r="PTJ28" s="252"/>
      <c r="PTK28" s="252"/>
      <c r="PTL28" s="252"/>
      <c r="PTM28" s="252"/>
      <c r="PTN28" s="252"/>
      <c r="PTO28" s="252"/>
      <c r="PTP28" s="252"/>
      <c r="PTQ28" s="252"/>
      <c r="PTR28" s="252"/>
      <c r="PTS28" s="252"/>
      <c r="PTT28" s="252"/>
      <c r="PTU28" s="252"/>
      <c r="PTV28" s="252"/>
      <c r="PTW28" s="252"/>
      <c r="PTX28" s="252"/>
      <c r="PTY28" s="252"/>
      <c r="PTZ28" s="252"/>
      <c r="PUA28" s="252"/>
      <c r="PUB28" s="252"/>
      <c r="PUC28" s="252"/>
      <c r="PUD28" s="252"/>
      <c r="PUE28" s="252"/>
      <c r="PUF28" s="252"/>
      <c r="PUG28" s="252"/>
      <c r="PUH28" s="252"/>
      <c r="PUI28" s="252"/>
      <c r="PUJ28" s="252"/>
      <c r="PUK28" s="252"/>
      <c r="PUL28" s="252"/>
      <c r="PUM28" s="252"/>
      <c r="PUN28" s="252"/>
      <c r="PUO28" s="252"/>
      <c r="PUP28" s="252"/>
      <c r="PUQ28" s="252"/>
      <c r="PUR28" s="252"/>
      <c r="PUS28" s="252"/>
      <c r="PUT28" s="252"/>
      <c r="PUU28" s="252"/>
      <c r="PUV28" s="252"/>
      <c r="PUW28" s="252"/>
      <c r="PUX28" s="252"/>
      <c r="PUY28" s="252"/>
      <c r="PUZ28" s="252"/>
      <c r="PVA28" s="252"/>
      <c r="PVB28" s="252"/>
      <c r="PVC28" s="252"/>
      <c r="PVD28" s="252"/>
      <c r="PVE28" s="252"/>
      <c r="PVF28" s="252"/>
      <c r="PVG28" s="252"/>
      <c r="PVH28" s="252"/>
      <c r="PVI28" s="252"/>
      <c r="PVJ28" s="252"/>
      <c r="PVK28" s="252"/>
      <c r="PVL28" s="252"/>
      <c r="PVM28" s="252"/>
      <c r="PVN28" s="252"/>
      <c r="PVO28" s="252"/>
      <c r="PVP28" s="252"/>
      <c r="PVQ28" s="252"/>
      <c r="PVR28" s="252"/>
      <c r="PVS28" s="252"/>
      <c r="PVT28" s="252"/>
      <c r="PVU28" s="252"/>
      <c r="PVV28" s="252"/>
      <c r="PVW28" s="252"/>
      <c r="PVX28" s="252"/>
      <c r="PVY28" s="252"/>
      <c r="PVZ28" s="252"/>
      <c r="PWA28" s="252"/>
      <c r="PWB28" s="252"/>
      <c r="PWC28" s="252"/>
      <c r="PWD28" s="252"/>
      <c r="PWE28" s="252"/>
      <c r="PWF28" s="252"/>
      <c r="PWG28" s="252"/>
      <c r="PWH28" s="252"/>
      <c r="PWI28" s="252"/>
      <c r="PWJ28" s="252"/>
      <c r="PWK28" s="252"/>
      <c r="PWL28" s="252"/>
      <c r="PWM28" s="252"/>
      <c r="PWN28" s="252"/>
      <c r="PWO28" s="252"/>
      <c r="PWP28" s="252"/>
      <c r="PWQ28" s="252"/>
      <c r="PWR28" s="252"/>
      <c r="PWS28" s="252"/>
      <c r="PWT28" s="252"/>
      <c r="PWU28" s="252"/>
      <c r="PWV28" s="252"/>
      <c r="PWW28" s="252"/>
      <c r="PWX28" s="252"/>
      <c r="PWY28" s="252"/>
      <c r="PWZ28" s="252"/>
      <c r="PXA28" s="252"/>
      <c r="PXB28" s="252"/>
      <c r="PXC28" s="252"/>
      <c r="PXD28" s="252"/>
      <c r="PXE28" s="252"/>
      <c r="PXF28" s="252"/>
      <c r="PXG28" s="252"/>
      <c r="PXH28" s="252"/>
      <c r="PXI28" s="252"/>
      <c r="PXJ28" s="252"/>
      <c r="PXK28" s="252"/>
      <c r="PXL28" s="252"/>
      <c r="PXM28" s="252"/>
      <c r="PXN28" s="252"/>
      <c r="PXO28" s="252"/>
      <c r="PXP28" s="252"/>
      <c r="PXQ28" s="252"/>
      <c r="PXR28" s="252"/>
      <c r="PXS28" s="252"/>
      <c r="PXT28" s="252"/>
      <c r="PXU28" s="252"/>
      <c r="PXV28" s="252"/>
      <c r="PXW28" s="252"/>
      <c r="PXX28" s="252"/>
      <c r="PXY28" s="252"/>
      <c r="PXZ28" s="252"/>
      <c r="PYA28" s="252"/>
      <c r="PYB28" s="252"/>
      <c r="PYC28" s="252"/>
      <c r="PYD28" s="252"/>
      <c r="PYE28" s="252"/>
      <c r="PYF28" s="252"/>
      <c r="PYG28" s="252"/>
      <c r="PYH28" s="252"/>
      <c r="PYI28" s="252"/>
      <c r="PYJ28" s="252"/>
      <c r="PYK28" s="252"/>
      <c r="PYL28" s="252"/>
      <c r="PYM28" s="252"/>
      <c r="PYN28" s="252"/>
      <c r="PYO28" s="252"/>
      <c r="PYP28" s="252"/>
      <c r="PYQ28" s="252"/>
      <c r="PYR28" s="252"/>
      <c r="PYS28" s="252"/>
      <c r="PYT28" s="252"/>
      <c r="PYU28" s="252"/>
      <c r="PYV28" s="252"/>
      <c r="PYW28" s="252"/>
      <c r="PYX28" s="252"/>
      <c r="PYY28" s="252"/>
      <c r="PYZ28" s="252"/>
      <c r="PZA28" s="252"/>
      <c r="PZB28" s="252"/>
      <c r="PZC28" s="252"/>
      <c r="PZD28" s="252"/>
      <c r="PZE28" s="252"/>
      <c r="PZF28" s="252"/>
      <c r="PZG28" s="252"/>
      <c r="PZH28" s="252"/>
      <c r="PZI28" s="252"/>
      <c r="PZJ28" s="252"/>
      <c r="PZK28" s="252"/>
      <c r="PZL28" s="252"/>
      <c r="PZM28" s="252"/>
      <c r="PZN28" s="252"/>
      <c r="PZO28" s="252"/>
      <c r="PZP28" s="252"/>
      <c r="PZQ28" s="252"/>
      <c r="PZR28" s="252"/>
      <c r="PZS28" s="252"/>
      <c r="PZT28" s="252"/>
      <c r="PZU28" s="252"/>
      <c r="PZV28" s="252"/>
      <c r="PZW28" s="252"/>
      <c r="PZX28" s="252"/>
      <c r="PZY28" s="252"/>
      <c r="PZZ28" s="252"/>
      <c r="QAA28" s="252"/>
      <c r="QAB28" s="252"/>
      <c r="QAC28" s="252"/>
      <c r="QAD28" s="252"/>
      <c r="QAE28" s="252"/>
      <c r="QAF28" s="252"/>
      <c r="QAG28" s="252"/>
      <c r="QAH28" s="252"/>
      <c r="QAI28" s="252"/>
      <c r="QAJ28" s="252"/>
      <c r="QAK28" s="252"/>
      <c r="QAL28" s="252"/>
      <c r="QAM28" s="252"/>
      <c r="QAN28" s="252"/>
      <c r="QAO28" s="252"/>
      <c r="QAP28" s="252"/>
      <c r="QAQ28" s="252"/>
      <c r="QAR28" s="252"/>
      <c r="QAS28" s="252"/>
      <c r="QAT28" s="252"/>
      <c r="QAU28" s="252"/>
      <c r="QAV28" s="252"/>
      <c r="QAW28" s="252"/>
      <c r="QAX28" s="252"/>
      <c r="QAY28" s="252"/>
      <c r="QAZ28" s="252"/>
      <c r="QBA28" s="252"/>
      <c r="QBB28" s="252"/>
      <c r="QBC28" s="252"/>
      <c r="QBD28" s="252"/>
      <c r="QBE28" s="252"/>
      <c r="QBF28" s="252"/>
      <c r="QBG28" s="252"/>
      <c r="QBH28" s="252"/>
      <c r="QBI28" s="252"/>
      <c r="QBJ28" s="252"/>
      <c r="QBK28" s="252"/>
      <c r="QBL28" s="252"/>
      <c r="QBM28" s="252"/>
      <c r="QBN28" s="252"/>
      <c r="QBO28" s="252"/>
      <c r="QBP28" s="252"/>
      <c r="QBQ28" s="252"/>
      <c r="QBR28" s="252"/>
      <c r="QBS28" s="252"/>
      <c r="QBT28" s="252"/>
      <c r="QBU28" s="252"/>
      <c r="QBV28" s="252"/>
      <c r="QBW28" s="252"/>
      <c r="QBX28" s="252"/>
      <c r="QBY28" s="252"/>
      <c r="QBZ28" s="252"/>
      <c r="QCA28" s="252"/>
      <c r="QCB28" s="252"/>
      <c r="QCC28" s="252"/>
      <c r="QCD28" s="252"/>
      <c r="QCE28" s="252"/>
      <c r="QCF28" s="252"/>
      <c r="QCG28" s="252"/>
      <c r="QCH28" s="252"/>
      <c r="QCI28" s="252"/>
      <c r="QCJ28" s="252"/>
      <c r="QCK28" s="252"/>
      <c r="QCL28" s="252"/>
      <c r="QCM28" s="252"/>
      <c r="QCN28" s="252"/>
      <c r="QCO28" s="252"/>
      <c r="QCP28" s="252"/>
      <c r="QCQ28" s="252"/>
      <c r="QCR28" s="252"/>
      <c r="QCS28" s="252"/>
      <c r="QCT28" s="252"/>
      <c r="QCU28" s="252"/>
      <c r="QCV28" s="252"/>
      <c r="QCW28" s="252"/>
      <c r="QCX28" s="252"/>
      <c r="QCY28" s="252"/>
      <c r="QCZ28" s="252"/>
      <c r="QDA28" s="252"/>
      <c r="QDB28" s="252"/>
      <c r="QDC28" s="252"/>
      <c r="QDD28" s="252"/>
      <c r="QDE28" s="252"/>
      <c r="QDF28" s="252"/>
      <c r="QDG28" s="252"/>
      <c r="QDH28" s="252"/>
      <c r="QDI28" s="252"/>
      <c r="QDJ28" s="252"/>
      <c r="QDK28" s="252"/>
      <c r="QDL28" s="252"/>
      <c r="QDM28" s="252"/>
      <c r="QDN28" s="252"/>
      <c r="QDO28" s="252"/>
      <c r="QDP28" s="252"/>
      <c r="QDQ28" s="252"/>
      <c r="QDR28" s="252"/>
      <c r="QDS28" s="252"/>
      <c r="QDT28" s="252"/>
      <c r="QDU28" s="252"/>
      <c r="QDV28" s="252"/>
      <c r="QDW28" s="252"/>
      <c r="QDX28" s="252"/>
      <c r="QDY28" s="252"/>
      <c r="QDZ28" s="252"/>
      <c r="QEA28" s="252"/>
      <c r="QEB28" s="252"/>
      <c r="QEC28" s="252"/>
      <c r="QED28" s="252"/>
      <c r="QEE28" s="252"/>
      <c r="QEF28" s="252"/>
      <c r="QEG28" s="252"/>
      <c r="QEH28" s="252"/>
      <c r="QEI28" s="252"/>
      <c r="QEJ28" s="252"/>
      <c r="QEK28" s="252"/>
      <c r="QEL28" s="252"/>
      <c r="QEM28" s="252"/>
      <c r="QEN28" s="252"/>
      <c r="QEO28" s="252"/>
      <c r="QEP28" s="252"/>
      <c r="QEQ28" s="252"/>
      <c r="QER28" s="252"/>
      <c r="QES28" s="252"/>
      <c r="QET28" s="252"/>
      <c r="QEU28" s="252"/>
      <c r="QEV28" s="252"/>
      <c r="QEW28" s="252"/>
      <c r="QEX28" s="252"/>
      <c r="QEY28" s="252"/>
      <c r="QEZ28" s="252"/>
      <c r="QFA28" s="252"/>
      <c r="QFB28" s="252"/>
      <c r="QFC28" s="252"/>
      <c r="QFD28" s="252"/>
      <c r="QFE28" s="252"/>
      <c r="QFF28" s="252"/>
      <c r="QFG28" s="252"/>
      <c r="QFH28" s="252"/>
      <c r="QFI28" s="252"/>
      <c r="QFJ28" s="252"/>
      <c r="QFK28" s="252"/>
      <c r="QFL28" s="252"/>
      <c r="QFM28" s="252"/>
      <c r="QFN28" s="252"/>
      <c r="QFO28" s="252"/>
      <c r="QFP28" s="252"/>
      <c r="QFQ28" s="252"/>
      <c r="QFR28" s="252"/>
      <c r="QFS28" s="252"/>
      <c r="QFT28" s="252"/>
      <c r="QFU28" s="252"/>
      <c r="QFV28" s="252"/>
      <c r="QFW28" s="252"/>
      <c r="QFX28" s="252"/>
      <c r="QFY28" s="252"/>
      <c r="QFZ28" s="252"/>
      <c r="QGA28" s="252"/>
      <c r="QGB28" s="252"/>
      <c r="QGC28" s="252"/>
      <c r="QGD28" s="252"/>
      <c r="QGE28" s="252"/>
      <c r="QGF28" s="252"/>
      <c r="QGG28" s="252"/>
      <c r="QGH28" s="252"/>
      <c r="QGI28" s="252"/>
      <c r="QGJ28" s="252"/>
      <c r="QGK28" s="252"/>
      <c r="QGL28" s="252"/>
      <c r="QGM28" s="252"/>
      <c r="QGN28" s="252"/>
      <c r="QGO28" s="252"/>
      <c r="QGP28" s="252"/>
      <c r="QGQ28" s="252"/>
      <c r="QGR28" s="252"/>
      <c r="QGS28" s="252"/>
      <c r="QGT28" s="252"/>
      <c r="QGU28" s="252"/>
      <c r="QGV28" s="252"/>
      <c r="QGW28" s="252"/>
      <c r="QGX28" s="252"/>
      <c r="QGY28" s="252"/>
      <c r="QGZ28" s="252"/>
      <c r="QHA28" s="252"/>
      <c r="QHB28" s="252"/>
      <c r="QHC28" s="252"/>
      <c r="QHD28" s="252"/>
      <c r="QHE28" s="252"/>
      <c r="QHF28" s="252"/>
      <c r="QHG28" s="252"/>
      <c r="QHH28" s="252"/>
      <c r="QHI28" s="252"/>
      <c r="QHJ28" s="252"/>
      <c r="QHK28" s="252"/>
      <c r="QHL28" s="252"/>
      <c r="QHM28" s="252"/>
      <c r="QHN28" s="252"/>
      <c r="QHO28" s="252"/>
      <c r="QHP28" s="252"/>
      <c r="QHQ28" s="252"/>
      <c r="QHR28" s="252"/>
      <c r="QHS28" s="252"/>
      <c r="QHT28" s="252"/>
      <c r="QHU28" s="252"/>
      <c r="QHV28" s="252"/>
      <c r="QHW28" s="252"/>
      <c r="QHX28" s="252"/>
      <c r="QHY28" s="252"/>
      <c r="QHZ28" s="252"/>
      <c r="QIA28" s="252"/>
      <c r="QIB28" s="252"/>
      <c r="QIC28" s="252"/>
      <c r="QID28" s="252"/>
      <c r="QIE28" s="252"/>
      <c r="QIF28" s="252"/>
      <c r="QIG28" s="252"/>
      <c r="QIH28" s="252"/>
      <c r="QII28" s="252"/>
      <c r="QIJ28" s="252"/>
      <c r="QIK28" s="252"/>
      <c r="QIL28" s="252"/>
      <c r="QIM28" s="252"/>
      <c r="QIN28" s="252"/>
      <c r="QIO28" s="252"/>
      <c r="QIP28" s="252"/>
      <c r="QIQ28" s="252"/>
      <c r="QIR28" s="252"/>
      <c r="QIS28" s="252"/>
      <c r="QIT28" s="252"/>
      <c r="QIU28" s="252"/>
      <c r="QIV28" s="252"/>
      <c r="QIW28" s="252"/>
      <c r="QIX28" s="252"/>
      <c r="QIY28" s="252"/>
      <c r="QIZ28" s="252"/>
      <c r="QJA28" s="252"/>
      <c r="QJB28" s="252"/>
      <c r="QJC28" s="252"/>
      <c r="QJD28" s="252"/>
      <c r="QJE28" s="252"/>
      <c r="QJF28" s="252"/>
      <c r="QJG28" s="252"/>
      <c r="QJH28" s="252"/>
      <c r="QJI28" s="252"/>
      <c r="QJJ28" s="252"/>
      <c r="QJK28" s="252"/>
      <c r="QJL28" s="252"/>
      <c r="QJM28" s="252"/>
      <c r="QJN28" s="252"/>
      <c r="QJO28" s="252"/>
      <c r="QJP28" s="252"/>
      <c r="QJQ28" s="252"/>
      <c r="QJR28" s="252"/>
      <c r="QJS28" s="252"/>
      <c r="QJT28" s="252"/>
      <c r="QJU28" s="252"/>
      <c r="QJV28" s="252"/>
      <c r="QJW28" s="252"/>
      <c r="QJX28" s="252"/>
      <c r="QJY28" s="252"/>
      <c r="QJZ28" s="252"/>
      <c r="QKA28" s="252"/>
      <c r="QKB28" s="252"/>
      <c r="QKC28" s="252"/>
      <c r="QKD28" s="252"/>
      <c r="QKE28" s="252"/>
      <c r="QKF28" s="252"/>
      <c r="QKG28" s="252"/>
      <c r="QKH28" s="252"/>
      <c r="QKI28" s="252"/>
      <c r="QKJ28" s="252"/>
      <c r="QKK28" s="252"/>
      <c r="QKL28" s="252"/>
      <c r="QKM28" s="252"/>
      <c r="QKN28" s="252"/>
      <c r="QKO28" s="252"/>
      <c r="QKP28" s="252"/>
      <c r="QKQ28" s="252"/>
      <c r="QKR28" s="252"/>
      <c r="QKS28" s="252"/>
      <c r="QKT28" s="252"/>
      <c r="QKU28" s="252"/>
      <c r="QKV28" s="252"/>
      <c r="QKW28" s="252"/>
      <c r="QKX28" s="252"/>
      <c r="QKY28" s="252"/>
      <c r="QKZ28" s="252"/>
      <c r="QLA28" s="252"/>
      <c r="QLB28" s="252"/>
      <c r="QLC28" s="252"/>
      <c r="QLD28" s="252"/>
      <c r="QLE28" s="252"/>
      <c r="QLF28" s="252"/>
      <c r="QLG28" s="252"/>
      <c r="QLH28" s="252"/>
      <c r="QLI28" s="252"/>
      <c r="QLJ28" s="252"/>
      <c r="QLK28" s="252"/>
      <c r="QLL28" s="252"/>
      <c r="QLM28" s="252"/>
      <c r="QLN28" s="252"/>
      <c r="QLO28" s="252"/>
      <c r="QLP28" s="252"/>
      <c r="QLQ28" s="252"/>
      <c r="QLR28" s="252"/>
      <c r="QLS28" s="252"/>
      <c r="QLT28" s="252"/>
      <c r="QLU28" s="252"/>
      <c r="QLV28" s="252"/>
      <c r="QLW28" s="252"/>
      <c r="QLX28" s="252"/>
      <c r="QLY28" s="252"/>
      <c r="QLZ28" s="252"/>
      <c r="QMA28" s="252"/>
      <c r="QMB28" s="252"/>
      <c r="QMC28" s="252"/>
      <c r="QMD28" s="252"/>
      <c r="QME28" s="252"/>
      <c r="QMF28" s="252"/>
      <c r="QMG28" s="252"/>
      <c r="QMH28" s="252"/>
      <c r="QMI28" s="252"/>
      <c r="QMJ28" s="252"/>
      <c r="QMK28" s="252"/>
      <c r="QML28" s="252"/>
      <c r="QMM28" s="252"/>
      <c r="QMN28" s="252"/>
      <c r="QMO28" s="252"/>
      <c r="QMP28" s="252"/>
      <c r="QMQ28" s="252"/>
      <c r="QMR28" s="252"/>
      <c r="QMS28" s="252"/>
      <c r="QMT28" s="252"/>
      <c r="QMU28" s="252"/>
      <c r="QMV28" s="252"/>
      <c r="QMW28" s="252"/>
      <c r="QMX28" s="252"/>
      <c r="QMY28" s="252"/>
      <c r="QMZ28" s="252"/>
      <c r="QNA28" s="252"/>
      <c r="QNB28" s="252"/>
      <c r="QNC28" s="252"/>
      <c r="QND28" s="252"/>
      <c r="QNE28" s="252"/>
      <c r="QNF28" s="252"/>
      <c r="QNG28" s="252"/>
      <c r="QNH28" s="252"/>
      <c r="QNI28" s="252"/>
      <c r="QNJ28" s="252"/>
      <c r="QNK28" s="252"/>
      <c r="QNL28" s="252"/>
      <c r="QNM28" s="252"/>
      <c r="QNN28" s="252"/>
      <c r="QNO28" s="252"/>
      <c r="QNP28" s="252"/>
      <c r="QNQ28" s="252"/>
      <c r="QNR28" s="252"/>
      <c r="QNS28" s="252"/>
      <c r="QNT28" s="252"/>
      <c r="QNU28" s="252"/>
      <c r="QNV28" s="252"/>
      <c r="QNW28" s="252"/>
      <c r="QNX28" s="252"/>
      <c r="QNY28" s="252"/>
      <c r="QNZ28" s="252"/>
      <c r="QOA28" s="252"/>
      <c r="QOB28" s="252"/>
      <c r="QOC28" s="252"/>
      <c r="QOD28" s="252"/>
      <c r="QOE28" s="252"/>
      <c r="QOF28" s="252"/>
      <c r="QOG28" s="252"/>
      <c r="QOH28" s="252"/>
      <c r="QOI28" s="252"/>
      <c r="QOJ28" s="252"/>
      <c r="QOK28" s="252"/>
      <c r="QOL28" s="252"/>
      <c r="QOM28" s="252"/>
      <c r="QON28" s="252"/>
      <c r="QOO28" s="252"/>
      <c r="QOP28" s="252"/>
      <c r="QOQ28" s="252"/>
      <c r="QOR28" s="252"/>
      <c r="QOS28" s="252"/>
      <c r="QOT28" s="252"/>
      <c r="QOU28" s="252"/>
      <c r="QOV28" s="252"/>
      <c r="QOW28" s="252"/>
      <c r="QOX28" s="252"/>
      <c r="QOY28" s="252"/>
      <c r="QOZ28" s="252"/>
      <c r="QPA28" s="252"/>
      <c r="QPB28" s="252"/>
      <c r="QPC28" s="252"/>
      <c r="QPD28" s="252"/>
      <c r="QPE28" s="252"/>
      <c r="QPF28" s="252"/>
      <c r="QPG28" s="252"/>
      <c r="QPH28" s="252"/>
      <c r="QPI28" s="252"/>
      <c r="QPJ28" s="252"/>
      <c r="QPK28" s="252"/>
      <c r="QPL28" s="252"/>
      <c r="QPM28" s="252"/>
      <c r="QPN28" s="252"/>
      <c r="QPO28" s="252"/>
      <c r="QPP28" s="252"/>
      <c r="QPQ28" s="252"/>
      <c r="QPR28" s="252"/>
      <c r="QPS28" s="252"/>
      <c r="QPT28" s="252"/>
      <c r="QPU28" s="252"/>
      <c r="QPV28" s="252"/>
      <c r="QPW28" s="252"/>
      <c r="QPX28" s="252"/>
      <c r="QPY28" s="252"/>
      <c r="QPZ28" s="252"/>
      <c r="QQA28" s="252"/>
      <c r="QQB28" s="252"/>
      <c r="QQC28" s="252"/>
      <c r="QQD28" s="252"/>
      <c r="QQE28" s="252"/>
      <c r="QQF28" s="252"/>
      <c r="QQG28" s="252"/>
      <c r="QQH28" s="252"/>
      <c r="QQI28" s="252"/>
      <c r="QQJ28" s="252"/>
      <c r="QQK28" s="252"/>
      <c r="QQL28" s="252"/>
      <c r="QQM28" s="252"/>
      <c r="QQN28" s="252"/>
      <c r="QQO28" s="252"/>
      <c r="QQP28" s="252"/>
      <c r="QQQ28" s="252"/>
      <c r="QQR28" s="252"/>
      <c r="QQS28" s="252"/>
      <c r="QQT28" s="252"/>
      <c r="QQU28" s="252"/>
      <c r="QQV28" s="252"/>
      <c r="QQW28" s="252"/>
      <c r="QQX28" s="252"/>
      <c r="QQY28" s="252"/>
      <c r="QQZ28" s="252"/>
      <c r="QRA28" s="252"/>
      <c r="QRB28" s="252"/>
      <c r="QRC28" s="252"/>
      <c r="QRD28" s="252"/>
      <c r="QRE28" s="252"/>
      <c r="QRF28" s="252"/>
      <c r="QRG28" s="252"/>
      <c r="QRH28" s="252"/>
      <c r="QRI28" s="252"/>
      <c r="QRJ28" s="252"/>
      <c r="QRK28" s="252"/>
      <c r="QRL28" s="252"/>
      <c r="QRM28" s="252"/>
      <c r="QRN28" s="252"/>
      <c r="QRO28" s="252"/>
      <c r="QRP28" s="252"/>
      <c r="QRQ28" s="252"/>
      <c r="QRR28" s="252"/>
      <c r="QRS28" s="252"/>
      <c r="QRT28" s="252"/>
      <c r="QRU28" s="252"/>
      <c r="QRV28" s="252"/>
      <c r="QRW28" s="252"/>
      <c r="QRX28" s="252"/>
      <c r="QRY28" s="252"/>
      <c r="QRZ28" s="252"/>
      <c r="QSA28" s="252"/>
      <c r="QSB28" s="252"/>
      <c r="QSC28" s="252"/>
      <c r="QSD28" s="252"/>
      <c r="QSE28" s="252"/>
      <c r="QSF28" s="252"/>
      <c r="QSG28" s="252"/>
      <c r="QSH28" s="252"/>
      <c r="QSI28" s="252"/>
      <c r="QSJ28" s="252"/>
      <c r="QSK28" s="252"/>
      <c r="QSL28" s="252"/>
      <c r="QSM28" s="252"/>
      <c r="QSN28" s="252"/>
      <c r="QSO28" s="252"/>
      <c r="QSP28" s="252"/>
      <c r="QSQ28" s="252"/>
      <c r="QSR28" s="252"/>
      <c r="QSS28" s="252"/>
      <c r="QST28" s="252"/>
      <c r="QSU28" s="252"/>
      <c r="QSV28" s="252"/>
      <c r="QSW28" s="252"/>
      <c r="QSX28" s="252"/>
      <c r="QSY28" s="252"/>
      <c r="QSZ28" s="252"/>
      <c r="QTA28" s="252"/>
      <c r="QTB28" s="252"/>
      <c r="QTC28" s="252"/>
      <c r="QTD28" s="252"/>
      <c r="QTE28" s="252"/>
      <c r="QTF28" s="252"/>
      <c r="QTG28" s="252"/>
      <c r="QTH28" s="252"/>
      <c r="QTI28" s="252"/>
      <c r="QTJ28" s="252"/>
      <c r="QTK28" s="252"/>
      <c r="QTL28" s="252"/>
      <c r="QTM28" s="252"/>
      <c r="QTN28" s="252"/>
      <c r="QTO28" s="252"/>
      <c r="QTP28" s="252"/>
      <c r="QTQ28" s="252"/>
      <c r="QTR28" s="252"/>
      <c r="QTS28" s="252"/>
      <c r="QTT28" s="252"/>
      <c r="QTU28" s="252"/>
      <c r="QTV28" s="252"/>
      <c r="QTW28" s="252"/>
      <c r="QTX28" s="252"/>
      <c r="QTY28" s="252"/>
      <c r="QTZ28" s="252"/>
      <c r="QUA28" s="252"/>
      <c r="QUB28" s="252"/>
      <c r="QUC28" s="252"/>
      <c r="QUD28" s="252"/>
      <c r="QUE28" s="252"/>
      <c r="QUF28" s="252"/>
      <c r="QUG28" s="252"/>
      <c r="QUH28" s="252"/>
      <c r="QUI28" s="252"/>
      <c r="QUJ28" s="252"/>
      <c r="QUK28" s="252"/>
      <c r="QUL28" s="252"/>
      <c r="QUM28" s="252"/>
      <c r="QUN28" s="252"/>
      <c r="QUO28" s="252"/>
      <c r="QUP28" s="252"/>
      <c r="QUQ28" s="252"/>
      <c r="QUR28" s="252"/>
      <c r="QUS28" s="252"/>
      <c r="QUT28" s="252"/>
      <c r="QUU28" s="252"/>
      <c r="QUV28" s="252"/>
      <c r="QUW28" s="252"/>
      <c r="QUX28" s="252"/>
      <c r="QUY28" s="252"/>
      <c r="QUZ28" s="252"/>
      <c r="QVA28" s="252"/>
      <c r="QVB28" s="252"/>
      <c r="QVC28" s="252"/>
      <c r="QVD28" s="252"/>
      <c r="QVE28" s="252"/>
      <c r="QVF28" s="252"/>
      <c r="QVG28" s="252"/>
      <c r="QVH28" s="252"/>
      <c r="QVI28" s="252"/>
      <c r="QVJ28" s="252"/>
      <c r="QVK28" s="252"/>
      <c r="QVL28" s="252"/>
      <c r="QVM28" s="252"/>
      <c r="QVN28" s="252"/>
      <c r="QVO28" s="252"/>
      <c r="QVP28" s="252"/>
      <c r="QVQ28" s="252"/>
      <c r="QVR28" s="252"/>
      <c r="QVS28" s="252"/>
      <c r="QVT28" s="252"/>
      <c r="QVU28" s="252"/>
      <c r="QVV28" s="252"/>
      <c r="QVW28" s="252"/>
      <c r="QVX28" s="252"/>
      <c r="QVY28" s="252"/>
      <c r="QVZ28" s="252"/>
      <c r="QWA28" s="252"/>
      <c r="QWB28" s="252"/>
      <c r="QWC28" s="252"/>
      <c r="QWD28" s="252"/>
      <c r="QWE28" s="252"/>
      <c r="QWF28" s="252"/>
      <c r="QWG28" s="252"/>
      <c r="QWH28" s="252"/>
      <c r="QWI28" s="252"/>
      <c r="QWJ28" s="252"/>
      <c r="QWK28" s="252"/>
      <c r="QWL28" s="252"/>
      <c r="QWM28" s="252"/>
      <c r="QWN28" s="252"/>
      <c r="QWO28" s="252"/>
      <c r="QWP28" s="252"/>
      <c r="QWQ28" s="252"/>
      <c r="QWR28" s="252"/>
      <c r="QWS28" s="252"/>
      <c r="QWT28" s="252"/>
      <c r="QWU28" s="252"/>
      <c r="QWV28" s="252"/>
      <c r="QWW28" s="252"/>
      <c r="QWX28" s="252"/>
      <c r="QWY28" s="252"/>
      <c r="QWZ28" s="252"/>
      <c r="QXA28" s="252"/>
      <c r="QXB28" s="252"/>
      <c r="QXC28" s="252"/>
      <c r="QXD28" s="252"/>
      <c r="QXE28" s="252"/>
      <c r="QXF28" s="252"/>
      <c r="QXG28" s="252"/>
      <c r="QXH28" s="252"/>
      <c r="QXI28" s="252"/>
      <c r="QXJ28" s="252"/>
      <c r="QXK28" s="252"/>
      <c r="QXL28" s="252"/>
      <c r="QXM28" s="252"/>
      <c r="QXN28" s="252"/>
      <c r="QXO28" s="252"/>
      <c r="QXP28" s="252"/>
      <c r="QXQ28" s="252"/>
      <c r="QXR28" s="252"/>
      <c r="QXS28" s="252"/>
      <c r="QXT28" s="252"/>
      <c r="QXU28" s="252"/>
      <c r="QXV28" s="252"/>
      <c r="QXW28" s="252"/>
      <c r="QXX28" s="252"/>
      <c r="QXY28" s="252"/>
      <c r="QXZ28" s="252"/>
      <c r="QYA28" s="252"/>
      <c r="QYB28" s="252"/>
      <c r="QYC28" s="252"/>
      <c r="QYD28" s="252"/>
      <c r="QYE28" s="252"/>
      <c r="QYF28" s="252"/>
      <c r="QYG28" s="252"/>
      <c r="QYH28" s="252"/>
      <c r="QYI28" s="252"/>
      <c r="QYJ28" s="252"/>
      <c r="QYK28" s="252"/>
      <c r="QYL28" s="252"/>
      <c r="QYM28" s="252"/>
      <c r="QYN28" s="252"/>
      <c r="QYO28" s="252"/>
      <c r="QYP28" s="252"/>
      <c r="QYQ28" s="252"/>
      <c r="QYR28" s="252"/>
      <c r="QYS28" s="252"/>
      <c r="QYT28" s="252"/>
      <c r="QYU28" s="252"/>
      <c r="QYV28" s="252"/>
      <c r="QYW28" s="252"/>
      <c r="QYX28" s="252"/>
      <c r="QYY28" s="252"/>
      <c r="QYZ28" s="252"/>
      <c r="QZA28" s="252"/>
      <c r="QZB28" s="252"/>
      <c r="QZC28" s="252"/>
      <c r="QZD28" s="252"/>
      <c r="QZE28" s="252"/>
      <c r="QZF28" s="252"/>
      <c r="QZG28" s="252"/>
      <c r="QZH28" s="252"/>
      <c r="QZI28" s="252"/>
      <c r="QZJ28" s="252"/>
      <c r="QZK28" s="252"/>
      <c r="QZL28" s="252"/>
      <c r="QZM28" s="252"/>
      <c r="QZN28" s="252"/>
      <c r="QZO28" s="252"/>
      <c r="QZP28" s="252"/>
      <c r="QZQ28" s="252"/>
      <c r="QZR28" s="252"/>
      <c r="QZS28" s="252"/>
      <c r="QZT28" s="252"/>
      <c r="QZU28" s="252"/>
      <c r="QZV28" s="252"/>
      <c r="QZW28" s="252"/>
      <c r="QZX28" s="252"/>
      <c r="QZY28" s="252"/>
      <c r="QZZ28" s="252"/>
      <c r="RAA28" s="252"/>
      <c r="RAB28" s="252"/>
      <c r="RAC28" s="252"/>
      <c r="RAD28" s="252"/>
      <c r="RAE28" s="252"/>
      <c r="RAF28" s="252"/>
      <c r="RAG28" s="252"/>
      <c r="RAH28" s="252"/>
      <c r="RAI28" s="252"/>
      <c r="RAJ28" s="252"/>
      <c r="RAK28" s="252"/>
      <c r="RAL28" s="252"/>
      <c r="RAM28" s="252"/>
      <c r="RAN28" s="252"/>
      <c r="RAO28" s="252"/>
      <c r="RAP28" s="252"/>
      <c r="RAQ28" s="252"/>
      <c r="RAR28" s="252"/>
      <c r="RAS28" s="252"/>
      <c r="RAT28" s="252"/>
      <c r="RAU28" s="252"/>
      <c r="RAV28" s="252"/>
      <c r="RAW28" s="252"/>
      <c r="RAX28" s="252"/>
      <c r="RAY28" s="252"/>
      <c r="RAZ28" s="252"/>
      <c r="RBA28" s="252"/>
      <c r="RBB28" s="252"/>
      <c r="RBC28" s="252"/>
      <c r="RBD28" s="252"/>
      <c r="RBE28" s="252"/>
      <c r="RBF28" s="252"/>
      <c r="RBG28" s="252"/>
      <c r="RBH28" s="252"/>
      <c r="RBI28" s="252"/>
      <c r="RBJ28" s="252"/>
      <c r="RBK28" s="252"/>
      <c r="RBL28" s="252"/>
      <c r="RBM28" s="252"/>
      <c r="RBN28" s="252"/>
      <c r="RBO28" s="252"/>
      <c r="RBP28" s="252"/>
      <c r="RBQ28" s="252"/>
      <c r="RBR28" s="252"/>
      <c r="RBS28" s="252"/>
      <c r="RBT28" s="252"/>
      <c r="RBU28" s="252"/>
      <c r="RBV28" s="252"/>
      <c r="RBW28" s="252"/>
      <c r="RBX28" s="252"/>
      <c r="RBY28" s="252"/>
      <c r="RBZ28" s="252"/>
      <c r="RCA28" s="252"/>
      <c r="RCB28" s="252"/>
      <c r="RCC28" s="252"/>
      <c r="RCD28" s="252"/>
      <c r="RCE28" s="252"/>
      <c r="RCF28" s="252"/>
      <c r="RCG28" s="252"/>
      <c r="RCH28" s="252"/>
      <c r="RCI28" s="252"/>
      <c r="RCJ28" s="252"/>
      <c r="RCK28" s="252"/>
      <c r="RCL28" s="252"/>
      <c r="RCM28" s="252"/>
      <c r="RCN28" s="252"/>
      <c r="RCO28" s="252"/>
      <c r="RCP28" s="252"/>
      <c r="RCQ28" s="252"/>
      <c r="RCR28" s="252"/>
      <c r="RCS28" s="252"/>
      <c r="RCT28" s="252"/>
      <c r="RCU28" s="252"/>
      <c r="RCV28" s="252"/>
      <c r="RCW28" s="252"/>
      <c r="RCX28" s="252"/>
      <c r="RCY28" s="252"/>
      <c r="RCZ28" s="252"/>
      <c r="RDA28" s="252"/>
      <c r="RDB28" s="252"/>
      <c r="RDC28" s="252"/>
      <c r="RDD28" s="252"/>
      <c r="RDE28" s="252"/>
      <c r="RDF28" s="252"/>
      <c r="RDG28" s="252"/>
      <c r="RDH28" s="252"/>
      <c r="RDI28" s="252"/>
      <c r="RDJ28" s="252"/>
      <c r="RDK28" s="252"/>
      <c r="RDL28" s="252"/>
      <c r="RDM28" s="252"/>
      <c r="RDN28" s="252"/>
      <c r="RDO28" s="252"/>
      <c r="RDP28" s="252"/>
      <c r="RDQ28" s="252"/>
      <c r="RDR28" s="252"/>
      <c r="RDS28" s="252"/>
      <c r="RDT28" s="252"/>
      <c r="RDU28" s="252"/>
      <c r="RDV28" s="252"/>
      <c r="RDW28" s="252"/>
      <c r="RDX28" s="252"/>
      <c r="RDY28" s="252"/>
      <c r="RDZ28" s="252"/>
      <c r="REA28" s="252"/>
      <c r="REB28" s="252"/>
      <c r="REC28" s="252"/>
      <c r="RED28" s="252"/>
      <c r="REE28" s="252"/>
      <c r="REF28" s="252"/>
      <c r="REG28" s="252"/>
      <c r="REH28" s="252"/>
      <c r="REI28" s="252"/>
      <c r="REJ28" s="252"/>
      <c r="REK28" s="252"/>
      <c r="REL28" s="252"/>
      <c r="REM28" s="252"/>
      <c r="REN28" s="252"/>
      <c r="REO28" s="252"/>
      <c r="REP28" s="252"/>
      <c r="REQ28" s="252"/>
      <c r="RER28" s="252"/>
      <c r="RES28" s="252"/>
      <c r="RET28" s="252"/>
      <c r="REU28" s="252"/>
      <c r="REV28" s="252"/>
      <c r="REW28" s="252"/>
      <c r="REX28" s="252"/>
      <c r="REY28" s="252"/>
      <c r="REZ28" s="252"/>
      <c r="RFA28" s="252"/>
      <c r="RFB28" s="252"/>
      <c r="RFC28" s="252"/>
      <c r="RFD28" s="252"/>
      <c r="RFE28" s="252"/>
      <c r="RFF28" s="252"/>
      <c r="RFG28" s="252"/>
      <c r="RFH28" s="252"/>
      <c r="RFI28" s="252"/>
      <c r="RFJ28" s="252"/>
      <c r="RFK28" s="252"/>
      <c r="RFL28" s="252"/>
      <c r="RFM28" s="252"/>
      <c r="RFN28" s="252"/>
      <c r="RFO28" s="252"/>
      <c r="RFP28" s="252"/>
      <c r="RFQ28" s="252"/>
      <c r="RFR28" s="252"/>
      <c r="RFS28" s="252"/>
      <c r="RFT28" s="252"/>
      <c r="RFU28" s="252"/>
      <c r="RFV28" s="252"/>
      <c r="RFW28" s="252"/>
      <c r="RFX28" s="252"/>
      <c r="RFY28" s="252"/>
      <c r="RFZ28" s="252"/>
      <c r="RGA28" s="252"/>
      <c r="RGB28" s="252"/>
      <c r="RGC28" s="252"/>
      <c r="RGD28" s="252"/>
      <c r="RGE28" s="252"/>
      <c r="RGF28" s="252"/>
      <c r="RGG28" s="252"/>
      <c r="RGH28" s="252"/>
      <c r="RGI28" s="252"/>
      <c r="RGJ28" s="252"/>
      <c r="RGK28" s="252"/>
      <c r="RGL28" s="252"/>
      <c r="RGM28" s="252"/>
      <c r="RGN28" s="252"/>
      <c r="RGO28" s="252"/>
      <c r="RGP28" s="252"/>
      <c r="RGQ28" s="252"/>
      <c r="RGR28" s="252"/>
      <c r="RGS28" s="252"/>
      <c r="RGT28" s="252"/>
      <c r="RGU28" s="252"/>
      <c r="RGV28" s="252"/>
      <c r="RGW28" s="252"/>
      <c r="RGX28" s="252"/>
      <c r="RGY28" s="252"/>
      <c r="RGZ28" s="252"/>
      <c r="RHA28" s="252"/>
      <c r="RHB28" s="252"/>
      <c r="RHC28" s="252"/>
      <c r="RHD28" s="252"/>
      <c r="RHE28" s="252"/>
      <c r="RHF28" s="252"/>
      <c r="RHG28" s="252"/>
      <c r="RHH28" s="252"/>
      <c r="RHI28" s="252"/>
      <c r="RHJ28" s="252"/>
      <c r="RHK28" s="252"/>
      <c r="RHL28" s="252"/>
      <c r="RHM28" s="252"/>
      <c r="RHN28" s="252"/>
      <c r="RHO28" s="252"/>
      <c r="RHP28" s="252"/>
      <c r="RHQ28" s="252"/>
      <c r="RHR28" s="252"/>
      <c r="RHS28" s="252"/>
      <c r="RHT28" s="252"/>
      <c r="RHU28" s="252"/>
      <c r="RHV28" s="252"/>
      <c r="RHW28" s="252"/>
      <c r="RHX28" s="252"/>
      <c r="RHY28" s="252"/>
      <c r="RHZ28" s="252"/>
      <c r="RIA28" s="252"/>
      <c r="RIB28" s="252"/>
      <c r="RIC28" s="252"/>
      <c r="RID28" s="252"/>
      <c r="RIE28" s="252"/>
      <c r="RIF28" s="252"/>
      <c r="RIG28" s="252"/>
      <c r="RIH28" s="252"/>
      <c r="RII28" s="252"/>
      <c r="RIJ28" s="252"/>
      <c r="RIK28" s="252"/>
      <c r="RIL28" s="252"/>
      <c r="RIM28" s="252"/>
      <c r="RIN28" s="252"/>
      <c r="RIO28" s="252"/>
      <c r="RIP28" s="252"/>
      <c r="RIQ28" s="252"/>
      <c r="RIR28" s="252"/>
      <c r="RIS28" s="252"/>
      <c r="RIT28" s="252"/>
      <c r="RIU28" s="252"/>
      <c r="RIV28" s="252"/>
      <c r="RIW28" s="252"/>
      <c r="RIX28" s="252"/>
      <c r="RIY28" s="252"/>
      <c r="RIZ28" s="252"/>
      <c r="RJA28" s="252"/>
      <c r="RJB28" s="252"/>
      <c r="RJC28" s="252"/>
      <c r="RJD28" s="252"/>
      <c r="RJE28" s="252"/>
      <c r="RJF28" s="252"/>
      <c r="RJG28" s="252"/>
      <c r="RJH28" s="252"/>
      <c r="RJI28" s="252"/>
      <c r="RJJ28" s="252"/>
      <c r="RJK28" s="252"/>
      <c r="RJL28" s="252"/>
      <c r="RJM28" s="252"/>
      <c r="RJN28" s="252"/>
      <c r="RJO28" s="252"/>
      <c r="RJP28" s="252"/>
      <c r="RJQ28" s="252"/>
      <c r="RJR28" s="252"/>
      <c r="RJS28" s="252"/>
      <c r="RJT28" s="252"/>
      <c r="RJU28" s="252"/>
      <c r="RJV28" s="252"/>
      <c r="RJW28" s="252"/>
      <c r="RJX28" s="252"/>
      <c r="RJY28" s="252"/>
      <c r="RJZ28" s="252"/>
      <c r="RKA28" s="252"/>
      <c r="RKB28" s="252"/>
      <c r="RKC28" s="252"/>
      <c r="RKD28" s="252"/>
      <c r="RKE28" s="252"/>
      <c r="RKF28" s="252"/>
      <c r="RKG28" s="252"/>
      <c r="RKH28" s="252"/>
      <c r="RKI28" s="252"/>
      <c r="RKJ28" s="252"/>
      <c r="RKK28" s="252"/>
      <c r="RKL28" s="252"/>
      <c r="RKM28" s="252"/>
      <c r="RKN28" s="252"/>
      <c r="RKO28" s="252"/>
      <c r="RKP28" s="252"/>
      <c r="RKQ28" s="252"/>
      <c r="RKR28" s="252"/>
      <c r="RKS28" s="252"/>
      <c r="RKT28" s="252"/>
      <c r="RKU28" s="252"/>
      <c r="RKV28" s="252"/>
      <c r="RKW28" s="252"/>
      <c r="RKX28" s="252"/>
      <c r="RKY28" s="252"/>
      <c r="RKZ28" s="252"/>
      <c r="RLA28" s="252"/>
      <c r="RLB28" s="252"/>
      <c r="RLC28" s="252"/>
      <c r="RLD28" s="252"/>
      <c r="RLE28" s="252"/>
      <c r="RLF28" s="252"/>
      <c r="RLG28" s="252"/>
      <c r="RLH28" s="252"/>
      <c r="RLI28" s="252"/>
      <c r="RLJ28" s="252"/>
      <c r="RLK28" s="252"/>
      <c r="RLL28" s="252"/>
      <c r="RLM28" s="252"/>
      <c r="RLN28" s="252"/>
      <c r="RLO28" s="252"/>
      <c r="RLP28" s="252"/>
      <c r="RLQ28" s="252"/>
      <c r="RLR28" s="252"/>
      <c r="RLS28" s="252"/>
      <c r="RLT28" s="252"/>
      <c r="RLU28" s="252"/>
      <c r="RLV28" s="252"/>
      <c r="RLW28" s="252"/>
      <c r="RLX28" s="252"/>
      <c r="RLY28" s="252"/>
      <c r="RLZ28" s="252"/>
      <c r="RMA28" s="252"/>
      <c r="RMB28" s="252"/>
      <c r="RMC28" s="252"/>
      <c r="RMD28" s="252"/>
      <c r="RME28" s="252"/>
      <c r="RMF28" s="252"/>
      <c r="RMG28" s="252"/>
      <c r="RMH28" s="252"/>
      <c r="RMI28" s="252"/>
      <c r="RMJ28" s="252"/>
      <c r="RMK28" s="252"/>
      <c r="RML28" s="252"/>
      <c r="RMM28" s="252"/>
      <c r="RMN28" s="252"/>
      <c r="RMO28" s="252"/>
      <c r="RMP28" s="252"/>
      <c r="RMQ28" s="252"/>
      <c r="RMR28" s="252"/>
      <c r="RMS28" s="252"/>
      <c r="RMT28" s="252"/>
      <c r="RMU28" s="252"/>
      <c r="RMV28" s="252"/>
      <c r="RMW28" s="252"/>
      <c r="RMX28" s="252"/>
      <c r="RMY28" s="252"/>
      <c r="RMZ28" s="252"/>
      <c r="RNA28" s="252"/>
      <c r="RNB28" s="252"/>
      <c r="RNC28" s="252"/>
      <c r="RND28" s="252"/>
      <c r="RNE28" s="252"/>
      <c r="RNF28" s="252"/>
      <c r="RNG28" s="252"/>
      <c r="RNH28" s="252"/>
      <c r="RNI28" s="252"/>
      <c r="RNJ28" s="252"/>
      <c r="RNK28" s="252"/>
      <c r="RNL28" s="252"/>
      <c r="RNM28" s="252"/>
      <c r="RNN28" s="252"/>
      <c r="RNO28" s="252"/>
      <c r="RNP28" s="252"/>
      <c r="RNQ28" s="252"/>
      <c r="RNR28" s="252"/>
      <c r="RNS28" s="252"/>
      <c r="RNT28" s="252"/>
      <c r="RNU28" s="252"/>
      <c r="RNV28" s="252"/>
      <c r="RNW28" s="252"/>
      <c r="RNX28" s="252"/>
      <c r="RNY28" s="252"/>
      <c r="RNZ28" s="252"/>
      <c r="ROA28" s="252"/>
      <c r="ROB28" s="252"/>
      <c r="ROC28" s="252"/>
      <c r="ROD28" s="252"/>
      <c r="ROE28" s="252"/>
      <c r="ROF28" s="252"/>
      <c r="ROG28" s="252"/>
      <c r="ROH28" s="252"/>
      <c r="ROI28" s="252"/>
      <c r="ROJ28" s="252"/>
      <c r="ROK28" s="252"/>
      <c r="ROL28" s="252"/>
      <c r="ROM28" s="252"/>
      <c r="RON28" s="252"/>
      <c r="ROO28" s="252"/>
      <c r="ROP28" s="252"/>
      <c r="ROQ28" s="252"/>
      <c r="ROR28" s="252"/>
      <c r="ROS28" s="252"/>
      <c r="ROT28" s="252"/>
      <c r="ROU28" s="252"/>
      <c r="ROV28" s="252"/>
      <c r="ROW28" s="252"/>
      <c r="ROX28" s="252"/>
      <c r="ROY28" s="252"/>
      <c r="ROZ28" s="252"/>
      <c r="RPA28" s="252"/>
      <c r="RPB28" s="252"/>
      <c r="RPC28" s="252"/>
      <c r="RPD28" s="252"/>
      <c r="RPE28" s="252"/>
      <c r="RPF28" s="252"/>
      <c r="RPG28" s="252"/>
      <c r="RPH28" s="252"/>
      <c r="RPI28" s="252"/>
      <c r="RPJ28" s="252"/>
      <c r="RPK28" s="252"/>
      <c r="RPL28" s="252"/>
      <c r="RPM28" s="252"/>
      <c r="RPN28" s="252"/>
      <c r="RPO28" s="252"/>
      <c r="RPP28" s="252"/>
      <c r="RPQ28" s="252"/>
      <c r="RPR28" s="252"/>
      <c r="RPS28" s="252"/>
      <c r="RPT28" s="252"/>
      <c r="RPU28" s="252"/>
      <c r="RPV28" s="252"/>
      <c r="RPW28" s="252"/>
      <c r="RPX28" s="252"/>
      <c r="RPY28" s="252"/>
      <c r="RPZ28" s="252"/>
      <c r="RQA28" s="252"/>
      <c r="RQB28" s="252"/>
      <c r="RQC28" s="252"/>
      <c r="RQD28" s="252"/>
      <c r="RQE28" s="252"/>
      <c r="RQF28" s="252"/>
      <c r="RQG28" s="252"/>
      <c r="RQH28" s="252"/>
      <c r="RQI28" s="252"/>
      <c r="RQJ28" s="252"/>
      <c r="RQK28" s="252"/>
      <c r="RQL28" s="252"/>
      <c r="RQM28" s="252"/>
      <c r="RQN28" s="252"/>
      <c r="RQO28" s="252"/>
      <c r="RQP28" s="252"/>
      <c r="RQQ28" s="252"/>
      <c r="RQR28" s="252"/>
      <c r="RQS28" s="252"/>
      <c r="RQT28" s="252"/>
      <c r="RQU28" s="252"/>
      <c r="RQV28" s="252"/>
      <c r="RQW28" s="252"/>
      <c r="RQX28" s="252"/>
      <c r="RQY28" s="252"/>
      <c r="RQZ28" s="252"/>
      <c r="RRA28" s="252"/>
      <c r="RRB28" s="252"/>
      <c r="RRC28" s="252"/>
      <c r="RRD28" s="252"/>
      <c r="RRE28" s="252"/>
      <c r="RRF28" s="252"/>
      <c r="RRG28" s="252"/>
      <c r="RRH28" s="252"/>
      <c r="RRI28" s="252"/>
      <c r="RRJ28" s="252"/>
      <c r="RRK28" s="252"/>
      <c r="RRL28" s="252"/>
      <c r="RRM28" s="252"/>
      <c r="RRN28" s="252"/>
      <c r="RRO28" s="252"/>
      <c r="RRP28" s="252"/>
      <c r="RRQ28" s="252"/>
      <c r="RRR28" s="252"/>
      <c r="RRS28" s="252"/>
      <c r="RRT28" s="252"/>
      <c r="RRU28" s="252"/>
      <c r="RRV28" s="252"/>
      <c r="RRW28" s="252"/>
      <c r="RRX28" s="252"/>
      <c r="RRY28" s="252"/>
      <c r="RRZ28" s="252"/>
      <c r="RSA28" s="252"/>
      <c r="RSB28" s="252"/>
      <c r="RSC28" s="252"/>
      <c r="RSD28" s="252"/>
      <c r="RSE28" s="252"/>
      <c r="RSF28" s="252"/>
      <c r="RSG28" s="252"/>
      <c r="RSH28" s="252"/>
      <c r="RSI28" s="252"/>
      <c r="RSJ28" s="252"/>
      <c r="RSK28" s="252"/>
      <c r="RSL28" s="252"/>
      <c r="RSM28" s="252"/>
      <c r="RSN28" s="252"/>
      <c r="RSO28" s="252"/>
      <c r="RSP28" s="252"/>
      <c r="RSQ28" s="252"/>
      <c r="RSR28" s="252"/>
      <c r="RSS28" s="252"/>
      <c r="RST28" s="252"/>
      <c r="RSU28" s="252"/>
      <c r="RSV28" s="252"/>
      <c r="RSW28" s="252"/>
      <c r="RSX28" s="252"/>
      <c r="RSY28" s="252"/>
      <c r="RSZ28" s="252"/>
      <c r="RTA28" s="252"/>
      <c r="RTB28" s="252"/>
      <c r="RTC28" s="252"/>
      <c r="RTD28" s="252"/>
      <c r="RTE28" s="252"/>
      <c r="RTF28" s="252"/>
      <c r="RTG28" s="252"/>
      <c r="RTH28" s="252"/>
      <c r="RTI28" s="252"/>
      <c r="RTJ28" s="252"/>
      <c r="RTK28" s="252"/>
      <c r="RTL28" s="252"/>
      <c r="RTM28" s="252"/>
      <c r="RTN28" s="252"/>
      <c r="RTO28" s="252"/>
      <c r="RTP28" s="252"/>
      <c r="RTQ28" s="252"/>
      <c r="RTR28" s="252"/>
      <c r="RTS28" s="252"/>
      <c r="RTT28" s="252"/>
      <c r="RTU28" s="252"/>
      <c r="RTV28" s="252"/>
      <c r="RTW28" s="252"/>
      <c r="RTX28" s="252"/>
      <c r="RTY28" s="252"/>
      <c r="RTZ28" s="252"/>
      <c r="RUA28" s="252"/>
      <c r="RUB28" s="252"/>
      <c r="RUC28" s="252"/>
      <c r="RUD28" s="252"/>
      <c r="RUE28" s="252"/>
      <c r="RUF28" s="252"/>
      <c r="RUG28" s="252"/>
      <c r="RUH28" s="252"/>
      <c r="RUI28" s="252"/>
      <c r="RUJ28" s="252"/>
      <c r="RUK28" s="252"/>
      <c r="RUL28" s="252"/>
      <c r="RUM28" s="252"/>
      <c r="RUN28" s="252"/>
      <c r="RUO28" s="252"/>
      <c r="RUP28" s="252"/>
      <c r="RUQ28" s="252"/>
      <c r="RUR28" s="252"/>
      <c r="RUS28" s="252"/>
      <c r="RUT28" s="252"/>
      <c r="RUU28" s="252"/>
      <c r="RUV28" s="252"/>
      <c r="RUW28" s="252"/>
      <c r="RUX28" s="252"/>
      <c r="RUY28" s="252"/>
      <c r="RUZ28" s="252"/>
      <c r="RVA28" s="252"/>
      <c r="RVB28" s="252"/>
      <c r="RVC28" s="252"/>
      <c r="RVD28" s="252"/>
      <c r="RVE28" s="252"/>
      <c r="RVF28" s="252"/>
      <c r="RVG28" s="252"/>
      <c r="RVH28" s="252"/>
      <c r="RVI28" s="252"/>
      <c r="RVJ28" s="252"/>
      <c r="RVK28" s="252"/>
      <c r="RVL28" s="252"/>
      <c r="RVM28" s="252"/>
      <c r="RVN28" s="252"/>
      <c r="RVO28" s="252"/>
      <c r="RVP28" s="252"/>
      <c r="RVQ28" s="252"/>
      <c r="RVR28" s="252"/>
      <c r="RVS28" s="252"/>
      <c r="RVT28" s="252"/>
      <c r="RVU28" s="252"/>
      <c r="RVV28" s="252"/>
      <c r="RVW28" s="252"/>
      <c r="RVX28" s="252"/>
      <c r="RVY28" s="252"/>
      <c r="RVZ28" s="252"/>
      <c r="RWA28" s="252"/>
      <c r="RWB28" s="252"/>
      <c r="RWC28" s="252"/>
      <c r="RWD28" s="252"/>
      <c r="RWE28" s="252"/>
      <c r="RWF28" s="252"/>
      <c r="RWG28" s="252"/>
      <c r="RWH28" s="252"/>
      <c r="RWI28" s="252"/>
      <c r="RWJ28" s="252"/>
      <c r="RWK28" s="252"/>
      <c r="RWL28" s="252"/>
      <c r="RWM28" s="252"/>
      <c r="RWN28" s="252"/>
      <c r="RWO28" s="252"/>
      <c r="RWP28" s="252"/>
      <c r="RWQ28" s="252"/>
      <c r="RWR28" s="252"/>
      <c r="RWS28" s="252"/>
      <c r="RWT28" s="252"/>
      <c r="RWU28" s="252"/>
      <c r="RWV28" s="252"/>
      <c r="RWW28" s="252"/>
      <c r="RWX28" s="252"/>
      <c r="RWY28" s="252"/>
      <c r="RWZ28" s="252"/>
      <c r="RXA28" s="252"/>
      <c r="RXB28" s="252"/>
      <c r="RXC28" s="252"/>
      <c r="RXD28" s="252"/>
      <c r="RXE28" s="252"/>
      <c r="RXF28" s="252"/>
      <c r="RXG28" s="252"/>
      <c r="RXH28" s="252"/>
      <c r="RXI28" s="252"/>
      <c r="RXJ28" s="252"/>
      <c r="RXK28" s="252"/>
      <c r="RXL28" s="252"/>
      <c r="RXM28" s="252"/>
      <c r="RXN28" s="252"/>
      <c r="RXO28" s="252"/>
      <c r="RXP28" s="252"/>
      <c r="RXQ28" s="252"/>
      <c r="RXR28" s="252"/>
      <c r="RXS28" s="252"/>
      <c r="RXT28" s="252"/>
      <c r="RXU28" s="252"/>
      <c r="RXV28" s="252"/>
      <c r="RXW28" s="252"/>
      <c r="RXX28" s="252"/>
      <c r="RXY28" s="252"/>
      <c r="RXZ28" s="252"/>
      <c r="RYA28" s="252"/>
      <c r="RYB28" s="252"/>
      <c r="RYC28" s="252"/>
      <c r="RYD28" s="252"/>
      <c r="RYE28" s="252"/>
      <c r="RYF28" s="252"/>
      <c r="RYG28" s="252"/>
      <c r="RYH28" s="252"/>
      <c r="RYI28" s="252"/>
      <c r="RYJ28" s="252"/>
      <c r="RYK28" s="252"/>
      <c r="RYL28" s="252"/>
      <c r="RYM28" s="252"/>
      <c r="RYN28" s="252"/>
      <c r="RYO28" s="252"/>
      <c r="RYP28" s="252"/>
      <c r="RYQ28" s="252"/>
      <c r="RYR28" s="252"/>
      <c r="RYS28" s="252"/>
      <c r="RYT28" s="252"/>
      <c r="RYU28" s="252"/>
      <c r="RYV28" s="252"/>
      <c r="RYW28" s="252"/>
      <c r="RYX28" s="252"/>
      <c r="RYY28" s="252"/>
      <c r="RYZ28" s="252"/>
      <c r="RZA28" s="252"/>
      <c r="RZB28" s="252"/>
      <c r="RZC28" s="252"/>
      <c r="RZD28" s="252"/>
      <c r="RZE28" s="252"/>
      <c r="RZF28" s="252"/>
      <c r="RZG28" s="252"/>
      <c r="RZH28" s="252"/>
      <c r="RZI28" s="252"/>
      <c r="RZJ28" s="252"/>
      <c r="RZK28" s="252"/>
      <c r="RZL28" s="252"/>
      <c r="RZM28" s="252"/>
      <c r="RZN28" s="252"/>
      <c r="RZO28" s="252"/>
      <c r="RZP28" s="252"/>
      <c r="RZQ28" s="252"/>
      <c r="RZR28" s="252"/>
      <c r="RZS28" s="252"/>
      <c r="RZT28" s="252"/>
      <c r="RZU28" s="252"/>
      <c r="RZV28" s="252"/>
      <c r="RZW28" s="252"/>
      <c r="RZX28" s="252"/>
      <c r="RZY28" s="252"/>
      <c r="RZZ28" s="252"/>
      <c r="SAA28" s="252"/>
      <c r="SAB28" s="252"/>
      <c r="SAC28" s="252"/>
      <c r="SAD28" s="252"/>
      <c r="SAE28" s="252"/>
      <c r="SAF28" s="252"/>
      <c r="SAG28" s="252"/>
      <c r="SAH28" s="252"/>
      <c r="SAI28" s="252"/>
      <c r="SAJ28" s="252"/>
      <c r="SAK28" s="252"/>
      <c r="SAL28" s="252"/>
      <c r="SAM28" s="252"/>
      <c r="SAN28" s="252"/>
      <c r="SAO28" s="252"/>
      <c r="SAP28" s="252"/>
      <c r="SAQ28" s="252"/>
      <c r="SAR28" s="252"/>
      <c r="SAS28" s="252"/>
      <c r="SAT28" s="252"/>
      <c r="SAU28" s="252"/>
      <c r="SAV28" s="252"/>
      <c r="SAW28" s="252"/>
      <c r="SAX28" s="252"/>
      <c r="SAY28" s="252"/>
      <c r="SAZ28" s="252"/>
      <c r="SBA28" s="252"/>
      <c r="SBB28" s="252"/>
      <c r="SBC28" s="252"/>
      <c r="SBD28" s="252"/>
      <c r="SBE28" s="252"/>
      <c r="SBF28" s="252"/>
      <c r="SBG28" s="252"/>
      <c r="SBH28" s="252"/>
      <c r="SBI28" s="252"/>
      <c r="SBJ28" s="252"/>
      <c r="SBK28" s="252"/>
      <c r="SBL28" s="252"/>
      <c r="SBM28" s="252"/>
      <c r="SBN28" s="252"/>
      <c r="SBO28" s="252"/>
      <c r="SBP28" s="252"/>
      <c r="SBQ28" s="252"/>
      <c r="SBR28" s="252"/>
      <c r="SBS28" s="252"/>
      <c r="SBT28" s="252"/>
      <c r="SBU28" s="252"/>
      <c r="SBV28" s="252"/>
      <c r="SBW28" s="252"/>
      <c r="SBX28" s="252"/>
      <c r="SBY28" s="252"/>
      <c r="SBZ28" s="252"/>
      <c r="SCA28" s="252"/>
      <c r="SCB28" s="252"/>
      <c r="SCC28" s="252"/>
      <c r="SCD28" s="252"/>
      <c r="SCE28" s="252"/>
      <c r="SCF28" s="252"/>
      <c r="SCG28" s="252"/>
      <c r="SCH28" s="252"/>
      <c r="SCI28" s="252"/>
      <c r="SCJ28" s="252"/>
      <c r="SCK28" s="252"/>
      <c r="SCL28" s="252"/>
      <c r="SCM28" s="252"/>
      <c r="SCN28" s="252"/>
      <c r="SCO28" s="252"/>
      <c r="SCP28" s="252"/>
      <c r="SCQ28" s="252"/>
      <c r="SCR28" s="252"/>
      <c r="SCS28" s="252"/>
      <c r="SCT28" s="252"/>
      <c r="SCU28" s="252"/>
      <c r="SCV28" s="252"/>
      <c r="SCW28" s="252"/>
      <c r="SCX28" s="252"/>
      <c r="SCY28" s="252"/>
      <c r="SCZ28" s="252"/>
      <c r="SDA28" s="252"/>
      <c r="SDB28" s="252"/>
      <c r="SDC28" s="252"/>
      <c r="SDD28" s="252"/>
      <c r="SDE28" s="252"/>
      <c r="SDF28" s="252"/>
      <c r="SDG28" s="252"/>
      <c r="SDH28" s="252"/>
      <c r="SDI28" s="252"/>
      <c r="SDJ28" s="252"/>
      <c r="SDK28" s="252"/>
      <c r="SDL28" s="252"/>
      <c r="SDM28" s="252"/>
      <c r="SDN28" s="252"/>
      <c r="SDO28" s="252"/>
      <c r="SDP28" s="252"/>
      <c r="SDQ28" s="252"/>
      <c r="SDR28" s="252"/>
      <c r="SDS28" s="252"/>
      <c r="SDT28" s="252"/>
      <c r="SDU28" s="252"/>
      <c r="SDV28" s="252"/>
      <c r="SDW28" s="252"/>
      <c r="SDX28" s="252"/>
      <c r="SDY28" s="252"/>
      <c r="SDZ28" s="252"/>
      <c r="SEA28" s="252"/>
      <c r="SEB28" s="252"/>
      <c r="SEC28" s="252"/>
      <c r="SED28" s="252"/>
      <c r="SEE28" s="252"/>
      <c r="SEF28" s="252"/>
      <c r="SEG28" s="252"/>
      <c r="SEH28" s="252"/>
      <c r="SEI28" s="252"/>
      <c r="SEJ28" s="252"/>
      <c r="SEK28" s="252"/>
      <c r="SEL28" s="252"/>
      <c r="SEM28" s="252"/>
      <c r="SEN28" s="252"/>
      <c r="SEO28" s="252"/>
      <c r="SEP28" s="252"/>
      <c r="SEQ28" s="252"/>
      <c r="SER28" s="252"/>
      <c r="SES28" s="252"/>
      <c r="SET28" s="252"/>
      <c r="SEU28" s="252"/>
      <c r="SEV28" s="252"/>
      <c r="SEW28" s="252"/>
      <c r="SEX28" s="252"/>
      <c r="SEY28" s="252"/>
      <c r="SEZ28" s="252"/>
      <c r="SFA28" s="252"/>
      <c r="SFB28" s="252"/>
      <c r="SFC28" s="252"/>
      <c r="SFD28" s="252"/>
      <c r="SFE28" s="252"/>
      <c r="SFF28" s="252"/>
      <c r="SFG28" s="252"/>
      <c r="SFH28" s="252"/>
      <c r="SFI28" s="252"/>
      <c r="SFJ28" s="252"/>
      <c r="SFK28" s="252"/>
      <c r="SFL28" s="252"/>
      <c r="SFM28" s="252"/>
      <c r="SFN28" s="252"/>
      <c r="SFO28" s="252"/>
      <c r="SFP28" s="252"/>
      <c r="SFQ28" s="252"/>
      <c r="SFR28" s="252"/>
      <c r="SFS28" s="252"/>
      <c r="SFT28" s="252"/>
      <c r="SFU28" s="252"/>
      <c r="SFV28" s="252"/>
      <c r="SFW28" s="252"/>
      <c r="SFX28" s="252"/>
      <c r="SFY28" s="252"/>
      <c r="SFZ28" s="252"/>
      <c r="SGA28" s="252"/>
      <c r="SGB28" s="252"/>
      <c r="SGC28" s="252"/>
      <c r="SGD28" s="252"/>
      <c r="SGE28" s="252"/>
      <c r="SGF28" s="252"/>
      <c r="SGG28" s="252"/>
      <c r="SGH28" s="252"/>
      <c r="SGI28" s="252"/>
      <c r="SGJ28" s="252"/>
      <c r="SGK28" s="252"/>
      <c r="SGL28" s="252"/>
      <c r="SGM28" s="252"/>
      <c r="SGN28" s="252"/>
      <c r="SGO28" s="252"/>
      <c r="SGP28" s="252"/>
      <c r="SGQ28" s="252"/>
      <c r="SGR28" s="252"/>
      <c r="SGS28" s="252"/>
      <c r="SGT28" s="252"/>
      <c r="SGU28" s="252"/>
      <c r="SGV28" s="252"/>
      <c r="SGW28" s="252"/>
      <c r="SGX28" s="252"/>
      <c r="SGY28" s="252"/>
      <c r="SGZ28" s="252"/>
      <c r="SHA28" s="252"/>
      <c r="SHB28" s="252"/>
      <c r="SHC28" s="252"/>
      <c r="SHD28" s="252"/>
      <c r="SHE28" s="252"/>
      <c r="SHF28" s="252"/>
      <c r="SHG28" s="252"/>
      <c r="SHH28" s="252"/>
      <c r="SHI28" s="252"/>
      <c r="SHJ28" s="252"/>
      <c r="SHK28" s="252"/>
      <c r="SHL28" s="252"/>
      <c r="SHM28" s="252"/>
      <c r="SHN28" s="252"/>
      <c r="SHO28" s="252"/>
      <c r="SHP28" s="252"/>
      <c r="SHQ28" s="252"/>
      <c r="SHR28" s="252"/>
      <c r="SHS28" s="252"/>
      <c r="SHT28" s="252"/>
      <c r="SHU28" s="252"/>
      <c r="SHV28" s="252"/>
      <c r="SHW28" s="252"/>
      <c r="SHX28" s="252"/>
      <c r="SHY28" s="252"/>
      <c r="SHZ28" s="252"/>
      <c r="SIA28" s="252"/>
      <c r="SIB28" s="252"/>
      <c r="SIC28" s="252"/>
      <c r="SID28" s="252"/>
      <c r="SIE28" s="252"/>
      <c r="SIF28" s="252"/>
      <c r="SIG28" s="252"/>
      <c r="SIH28" s="252"/>
      <c r="SII28" s="252"/>
      <c r="SIJ28" s="252"/>
      <c r="SIK28" s="252"/>
      <c r="SIL28" s="252"/>
      <c r="SIM28" s="252"/>
      <c r="SIN28" s="252"/>
      <c r="SIO28" s="252"/>
      <c r="SIP28" s="252"/>
      <c r="SIQ28" s="252"/>
      <c r="SIR28" s="252"/>
      <c r="SIS28" s="252"/>
      <c r="SIT28" s="252"/>
      <c r="SIU28" s="252"/>
      <c r="SIV28" s="252"/>
      <c r="SIW28" s="252"/>
      <c r="SIX28" s="252"/>
      <c r="SIY28" s="252"/>
      <c r="SIZ28" s="252"/>
      <c r="SJA28" s="252"/>
      <c r="SJB28" s="252"/>
      <c r="SJC28" s="252"/>
      <c r="SJD28" s="252"/>
      <c r="SJE28" s="252"/>
      <c r="SJF28" s="252"/>
      <c r="SJG28" s="252"/>
      <c r="SJH28" s="252"/>
      <c r="SJI28" s="252"/>
      <c r="SJJ28" s="252"/>
      <c r="SJK28" s="252"/>
      <c r="SJL28" s="252"/>
      <c r="SJM28" s="252"/>
      <c r="SJN28" s="252"/>
      <c r="SJO28" s="252"/>
      <c r="SJP28" s="252"/>
      <c r="SJQ28" s="252"/>
      <c r="SJR28" s="252"/>
      <c r="SJS28" s="252"/>
      <c r="SJT28" s="252"/>
      <c r="SJU28" s="252"/>
      <c r="SJV28" s="252"/>
      <c r="SJW28" s="252"/>
      <c r="SJX28" s="252"/>
      <c r="SJY28" s="252"/>
      <c r="SJZ28" s="252"/>
      <c r="SKA28" s="252"/>
      <c r="SKB28" s="252"/>
      <c r="SKC28" s="252"/>
      <c r="SKD28" s="252"/>
      <c r="SKE28" s="252"/>
      <c r="SKF28" s="252"/>
      <c r="SKG28" s="252"/>
      <c r="SKH28" s="252"/>
      <c r="SKI28" s="252"/>
      <c r="SKJ28" s="252"/>
      <c r="SKK28" s="252"/>
      <c r="SKL28" s="252"/>
      <c r="SKM28" s="252"/>
      <c r="SKN28" s="252"/>
      <c r="SKO28" s="252"/>
      <c r="SKP28" s="252"/>
      <c r="SKQ28" s="252"/>
      <c r="SKR28" s="252"/>
      <c r="SKS28" s="252"/>
      <c r="SKT28" s="252"/>
      <c r="SKU28" s="252"/>
      <c r="SKV28" s="252"/>
      <c r="SKW28" s="252"/>
      <c r="SKX28" s="252"/>
      <c r="SKY28" s="252"/>
      <c r="SKZ28" s="252"/>
      <c r="SLA28" s="252"/>
      <c r="SLB28" s="252"/>
      <c r="SLC28" s="252"/>
      <c r="SLD28" s="252"/>
      <c r="SLE28" s="252"/>
      <c r="SLF28" s="252"/>
      <c r="SLG28" s="252"/>
      <c r="SLH28" s="252"/>
      <c r="SLI28" s="252"/>
      <c r="SLJ28" s="252"/>
      <c r="SLK28" s="252"/>
      <c r="SLL28" s="252"/>
      <c r="SLM28" s="252"/>
      <c r="SLN28" s="252"/>
      <c r="SLO28" s="252"/>
      <c r="SLP28" s="252"/>
      <c r="SLQ28" s="252"/>
      <c r="SLR28" s="252"/>
      <c r="SLS28" s="252"/>
      <c r="SLT28" s="252"/>
      <c r="SLU28" s="252"/>
      <c r="SLV28" s="252"/>
      <c r="SLW28" s="252"/>
      <c r="SLX28" s="252"/>
      <c r="SLY28" s="252"/>
      <c r="SLZ28" s="252"/>
      <c r="SMA28" s="252"/>
      <c r="SMB28" s="252"/>
      <c r="SMC28" s="252"/>
      <c r="SMD28" s="252"/>
      <c r="SME28" s="252"/>
      <c r="SMF28" s="252"/>
      <c r="SMG28" s="252"/>
      <c r="SMH28" s="252"/>
      <c r="SMI28" s="252"/>
      <c r="SMJ28" s="252"/>
      <c r="SMK28" s="252"/>
      <c r="SML28" s="252"/>
      <c r="SMM28" s="252"/>
      <c r="SMN28" s="252"/>
      <c r="SMO28" s="252"/>
      <c r="SMP28" s="252"/>
      <c r="SMQ28" s="252"/>
      <c r="SMR28" s="252"/>
      <c r="SMS28" s="252"/>
      <c r="SMT28" s="252"/>
      <c r="SMU28" s="252"/>
      <c r="SMV28" s="252"/>
      <c r="SMW28" s="252"/>
      <c r="SMX28" s="252"/>
      <c r="SMY28" s="252"/>
      <c r="SMZ28" s="252"/>
      <c r="SNA28" s="252"/>
      <c r="SNB28" s="252"/>
      <c r="SNC28" s="252"/>
      <c r="SND28" s="252"/>
      <c r="SNE28" s="252"/>
      <c r="SNF28" s="252"/>
      <c r="SNG28" s="252"/>
      <c r="SNH28" s="252"/>
      <c r="SNI28" s="252"/>
      <c r="SNJ28" s="252"/>
      <c r="SNK28" s="252"/>
      <c r="SNL28" s="252"/>
      <c r="SNM28" s="252"/>
      <c r="SNN28" s="252"/>
      <c r="SNO28" s="252"/>
      <c r="SNP28" s="252"/>
      <c r="SNQ28" s="252"/>
      <c r="SNR28" s="252"/>
      <c r="SNS28" s="252"/>
      <c r="SNT28" s="252"/>
      <c r="SNU28" s="252"/>
      <c r="SNV28" s="252"/>
      <c r="SNW28" s="252"/>
      <c r="SNX28" s="252"/>
      <c r="SNY28" s="252"/>
      <c r="SNZ28" s="252"/>
      <c r="SOA28" s="252"/>
      <c r="SOB28" s="252"/>
      <c r="SOC28" s="252"/>
      <c r="SOD28" s="252"/>
      <c r="SOE28" s="252"/>
      <c r="SOF28" s="252"/>
      <c r="SOG28" s="252"/>
      <c r="SOH28" s="252"/>
      <c r="SOI28" s="252"/>
      <c r="SOJ28" s="252"/>
      <c r="SOK28" s="252"/>
      <c r="SOL28" s="252"/>
      <c r="SOM28" s="252"/>
      <c r="SON28" s="252"/>
      <c r="SOO28" s="252"/>
      <c r="SOP28" s="252"/>
      <c r="SOQ28" s="252"/>
      <c r="SOR28" s="252"/>
      <c r="SOS28" s="252"/>
      <c r="SOT28" s="252"/>
      <c r="SOU28" s="252"/>
      <c r="SOV28" s="252"/>
      <c r="SOW28" s="252"/>
      <c r="SOX28" s="252"/>
      <c r="SOY28" s="252"/>
      <c r="SOZ28" s="252"/>
      <c r="SPA28" s="252"/>
      <c r="SPB28" s="252"/>
      <c r="SPC28" s="252"/>
      <c r="SPD28" s="252"/>
      <c r="SPE28" s="252"/>
      <c r="SPF28" s="252"/>
      <c r="SPG28" s="252"/>
      <c r="SPH28" s="252"/>
      <c r="SPI28" s="252"/>
      <c r="SPJ28" s="252"/>
      <c r="SPK28" s="252"/>
      <c r="SPL28" s="252"/>
      <c r="SPM28" s="252"/>
      <c r="SPN28" s="252"/>
      <c r="SPO28" s="252"/>
      <c r="SPP28" s="252"/>
      <c r="SPQ28" s="252"/>
      <c r="SPR28" s="252"/>
      <c r="SPS28" s="252"/>
      <c r="SPT28" s="252"/>
      <c r="SPU28" s="252"/>
      <c r="SPV28" s="252"/>
      <c r="SPW28" s="252"/>
      <c r="SPX28" s="252"/>
      <c r="SPY28" s="252"/>
      <c r="SPZ28" s="252"/>
      <c r="SQA28" s="252"/>
      <c r="SQB28" s="252"/>
      <c r="SQC28" s="252"/>
      <c r="SQD28" s="252"/>
      <c r="SQE28" s="252"/>
      <c r="SQF28" s="252"/>
      <c r="SQG28" s="252"/>
      <c r="SQH28" s="252"/>
      <c r="SQI28" s="252"/>
      <c r="SQJ28" s="252"/>
      <c r="SQK28" s="252"/>
      <c r="SQL28" s="252"/>
      <c r="SQM28" s="252"/>
      <c r="SQN28" s="252"/>
      <c r="SQO28" s="252"/>
      <c r="SQP28" s="252"/>
      <c r="SQQ28" s="252"/>
      <c r="SQR28" s="252"/>
      <c r="SQS28" s="252"/>
      <c r="SQT28" s="252"/>
      <c r="SQU28" s="252"/>
      <c r="SQV28" s="252"/>
      <c r="SQW28" s="252"/>
      <c r="SQX28" s="252"/>
      <c r="SQY28" s="252"/>
      <c r="SQZ28" s="252"/>
      <c r="SRA28" s="252"/>
      <c r="SRB28" s="252"/>
      <c r="SRC28" s="252"/>
      <c r="SRD28" s="252"/>
      <c r="SRE28" s="252"/>
      <c r="SRF28" s="252"/>
      <c r="SRG28" s="252"/>
      <c r="SRH28" s="252"/>
      <c r="SRI28" s="252"/>
      <c r="SRJ28" s="252"/>
      <c r="SRK28" s="252"/>
      <c r="SRL28" s="252"/>
      <c r="SRM28" s="252"/>
      <c r="SRN28" s="252"/>
      <c r="SRO28" s="252"/>
      <c r="SRP28" s="252"/>
      <c r="SRQ28" s="252"/>
      <c r="SRR28" s="252"/>
      <c r="SRS28" s="252"/>
      <c r="SRT28" s="252"/>
      <c r="SRU28" s="252"/>
      <c r="SRV28" s="252"/>
      <c r="SRW28" s="252"/>
      <c r="SRX28" s="252"/>
      <c r="SRY28" s="252"/>
      <c r="SRZ28" s="252"/>
      <c r="SSA28" s="252"/>
      <c r="SSB28" s="252"/>
      <c r="SSC28" s="252"/>
      <c r="SSD28" s="252"/>
      <c r="SSE28" s="252"/>
      <c r="SSF28" s="252"/>
      <c r="SSG28" s="252"/>
      <c r="SSH28" s="252"/>
      <c r="SSI28" s="252"/>
      <c r="SSJ28" s="252"/>
      <c r="SSK28" s="252"/>
      <c r="SSL28" s="252"/>
      <c r="SSM28" s="252"/>
      <c r="SSN28" s="252"/>
      <c r="SSO28" s="252"/>
      <c r="SSP28" s="252"/>
      <c r="SSQ28" s="252"/>
      <c r="SSR28" s="252"/>
      <c r="SSS28" s="252"/>
      <c r="SST28" s="252"/>
      <c r="SSU28" s="252"/>
      <c r="SSV28" s="252"/>
      <c r="SSW28" s="252"/>
      <c r="SSX28" s="252"/>
      <c r="SSY28" s="252"/>
      <c r="SSZ28" s="252"/>
      <c r="STA28" s="252"/>
      <c r="STB28" s="252"/>
      <c r="STC28" s="252"/>
      <c r="STD28" s="252"/>
      <c r="STE28" s="252"/>
      <c r="STF28" s="252"/>
      <c r="STG28" s="252"/>
      <c r="STH28" s="252"/>
      <c r="STI28" s="252"/>
      <c r="STJ28" s="252"/>
      <c r="STK28" s="252"/>
      <c r="STL28" s="252"/>
      <c r="STM28" s="252"/>
      <c r="STN28" s="252"/>
      <c r="STO28" s="252"/>
      <c r="STP28" s="252"/>
      <c r="STQ28" s="252"/>
      <c r="STR28" s="252"/>
      <c r="STS28" s="252"/>
      <c r="STT28" s="252"/>
      <c r="STU28" s="252"/>
      <c r="STV28" s="252"/>
      <c r="STW28" s="252"/>
      <c r="STX28" s="252"/>
      <c r="STY28" s="252"/>
      <c r="STZ28" s="252"/>
      <c r="SUA28" s="252"/>
      <c r="SUB28" s="252"/>
      <c r="SUC28" s="252"/>
      <c r="SUD28" s="252"/>
      <c r="SUE28" s="252"/>
      <c r="SUF28" s="252"/>
      <c r="SUG28" s="252"/>
      <c r="SUH28" s="252"/>
      <c r="SUI28" s="252"/>
      <c r="SUJ28" s="252"/>
      <c r="SUK28" s="252"/>
      <c r="SUL28" s="252"/>
      <c r="SUM28" s="252"/>
      <c r="SUN28" s="252"/>
      <c r="SUO28" s="252"/>
      <c r="SUP28" s="252"/>
      <c r="SUQ28" s="252"/>
      <c r="SUR28" s="252"/>
      <c r="SUS28" s="252"/>
      <c r="SUT28" s="252"/>
      <c r="SUU28" s="252"/>
      <c r="SUV28" s="252"/>
      <c r="SUW28" s="252"/>
      <c r="SUX28" s="252"/>
      <c r="SUY28" s="252"/>
      <c r="SUZ28" s="252"/>
      <c r="SVA28" s="252"/>
      <c r="SVB28" s="252"/>
      <c r="SVC28" s="252"/>
      <c r="SVD28" s="252"/>
      <c r="SVE28" s="252"/>
      <c r="SVF28" s="252"/>
      <c r="SVG28" s="252"/>
      <c r="SVH28" s="252"/>
      <c r="SVI28" s="252"/>
      <c r="SVJ28" s="252"/>
      <c r="SVK28" s="252"/>
      <c r="SVL28" s="252"/>
      <c r="SVM28" s="252"/>
      <c r="SVN28" s="252"/>
      <c r="SVO28" s="252"/>
      <c r="SVP28" s="252"/>
      <c r="SVQ28" s="252"/>
      <c r="SVR28" s="252"/>
      <c r="SVS28" s="252"/>
      <c r="SVT28" s="252"/>
      <c r="SVU28" s="252"/>
      <c r="SVV28" s="252"/>
      <c r="SVW28" s="252"/>
      <c r="SVX28" s="252"/>
      <c r="SVY28" s="252"/>
      <c r="SVZ28" s="252"/>
      <c r="SWA28" s="252"/>
      <c r="SWB28" s="252"/>
      <c r="SWC28" s="252"/>
      <c r="SWD28" s="252"/>
      <c r="SWE28" s="252"/>
      <c r="SWF28" s="252"/>
      <c r="SWG28" s="252"/>
      <c r="SWH28" s="252"/>
      <c r="SWI28" s="252"/>
      <c r="SWJ28" s="252"/>
      <c r="SWK28" s="252"/>
      <c r="SWL28" s="252"/>
      <c r="SWM28" s="252"/>
      <c r="SWN28" s="252"/>
      <c r="SWO28" s="252"/>
      <c r="SWP28" s="252"/>
      <c r="SWQ28" s="252"/>
      <c r="SWR28" s="252"/>
      <c r="SWS28" s="252"/>
      <c r="SWT28" s="252"/>
      <c r="SWU28" s="252"/>
      <c r="SWV28" s="252"/>
      <c r="SWW28" s="252"/>
      <c r="SWX28" s="252"/>
      <c r="SWY28" s="252"/>
      <c r="SWZ28" s="252"/>
      <c r="SXA28" s="252"/>
      <c r="SXB28" s="252"/>
      <c r="SXC28" s="252"/>
      <c r="SXD28" s="252"/>
      <c r="SXE28" s="252"/>
      <c r="SXF28" s="252"/>
      <c r="SXG28" s="252"/>
      <c r="SXH28" s="252"/>
      <c r="SXI28" s="252"/>
      <c r="SXJ28" s="252"/>
      <c r="SXK28" s="252"/>
      <c r="SXL28" s="252"/>
      <c r="SXM28" s="252"/>
      <c r="SXN28" s="252"/>
      <c r="SXO28" s="252"/>
      <c r="SXP28" s="252"/>
      <c r="SXQ28" s="252"/>
      <c r="SXR28" s="252"/>
      <c r="SXS28" s="252"/>
      <c r="SXT28" s="252"/>
      <c r="SXU28" s="252"/>
      <c r="SXV28" s="252"/>
      <c r="SXW28" s="252"/>
      <c r="SXX28" s="252"/>
      <c r="SXY28" s="252"/>
      <c r="SXZ28" s="252"/>
      <c r="SYA28" s="252"/>
      <c r="SYB28" s="252"/>
      <c r="SYC28" s="252"/>
      <c r="SYD28" s="252"/>
      <c r="SYE28" s="252"/>
      <c r="SYF28" s="252"/>
      <c r="SYG28" s="252"/>
      <c r="SYH28" s="252"/>
      <c r="SYI28" s="252"/>
      <c r="SYJ28" s="252"/>
      <c r="SYK28" s="252"/>
      <c r="SYL28" s="252"/>
      <c r="SYM28" s="252"/>
      <c r="SYN28" s="252"/>
      <c r="SYO28" s="252"/>
      <c r="SYP28" s="252"/>
      <c r="SYQ28" s="252"/>
      <c r="SYR28" s="252"/>
      <c r="SYS28" s="252"/>
      <c r="SYT28" s="252"/>
      <c r="SYU28" s="252"/>
      <c r="SYV28" s="252"/>
      <c r="SYW28" s="252"/>
      <c r="SYX28" s="252"/>
      <c r="SYY28" s="252"/>
      <c r="SYZ28" s="252"/>
      <c r="SZA28" s="252"/>
      <c r="SZB28" s="252"/>
      <c r="SZC28" s="252"/>
      <c r="SZD28" s="252"/>
      <c r="SZE28" s="252"/>
      <c r="SZF28" s="252"/>
      <c r="SZG28" s="252"/>
      <c r="SZH28" s="252"/>
      <c r="SZI28" s="252"/>
      <c r="SZJ28" s="252"/>
      <c r="SZK28" s="252"/>
      <c r="SZL28" s="252"/>
      <c r="SZM28" s="252"/>
      <c r="SZN28" s="252"/>
      <c r="SZO28" s="252"/>
      <c r="SZP28" s="252"/>
      <c r="SZQ28" s="252"/>
      <c r="SZR28" s="252"/>
      <c r="SZS28" s="252"/>
      <c r="SZT28" s="252"/>
      <c r="SZU28" s="252"/>
      <c r="SZV28" s="252"/>
      <c r="SZW28" s="252"/>
      <c r="SZX28" s="252"/>
      <c r="SZY28" s="252"/>
      <c r="SZZ28" s="252"/>
      <c r="TAA28" s="252"/>
      <c r="TAB28" s="252"/>
      <c r="TAC28" s="252"/>
      <c r="TAD28" s="252"/>
      <c r="TAE28" s="252"/>
      <c r="TAF28" s="252"/>
      <c r="TAG28" s="252"/>
      <c r="TAH28" s="252"/>
      <c r="TAI28" s="252"/>
      <c r="TAJ28" s="252"/>
      <c r="TAK28" s="252"/>
      <c r="TAL28" s="252"/>
      <c r="TAM28" s="252"/>
      <c r="TAN28" s="252"/>
      <c r="TAO28" s="252"/>
      <c r="TAP28" s="252"/>
      <c r="TAQ28" s="252"/>
      <c r="TAR28" s="252"/>
      <c r="TAS28" s="252"/>
      <c r="TAT28" s="252"/>
      <c r="TAU28" s="252"/>
      <c r="TAV28" s="252"/>
      <c r="TAW28" s="252"/>
      <c r="TAX28" s="252"/>
      <c r="TAY28" s="252"/>
      <c r="TAZ28" s="252"/>
      <c r="TBA28" s="252"/>
      <c r="TBB28" s="252"/>
      <c r="TBC28" s="252"/>
      <c r="TBD28" s="252"/>
      <c r="TBE28" s="252"/>
      <c r="TBF28" s="252"/>
      <c r="TBG28" s="252"/>
      <c r="TBH28" s="252"/>
      <c r="TBI28" s="252"/>
      <c r="TBJ28" s="252"/>
      <c r="TBK28" s="252"/>
      <c r="TBL28" s="252"/>
      <c r="TBM28" s="252"/>
      <c r="TBN28" s="252"/>
      <c r="TBO28" s="252"/>
      <c r="TBP28" s="252"/>
      <c r="TBQ28" s="252"/>
      <c r="TBR28" s="252"/>
      <c r="TBS28" s="252"/>
      <c r="TBT28" s="252"/>
      <c r="TBU28" s="252"/>
      <c r="TBV28" s="252"/>
      <c r="TBW28" s="252"/>
      <c r="TBX28" s="252"/>
      <c r="TBY28" s="252"/>
      <c r="TBZ28" s="252"/>
      <c r="TCA28" s="252"/>
      <c r="TCB28" s="252"/>
      <c r="TCC28" s="252"/>
      <c r="TCD28" s="252"/>
      <c r="TCE28" s="252"/>
      <c r="TCF28" s="252"/>
      <c r="TCG28" s="252"/>
      <c r="TCH28" s="252"/>
      <c r="TCI28" s="252"/>
      <c r="TCJ28" s="252"/>
      <c r="TCK28" s="252"/>
      <c r="TCL28" s="252"/>
      <c r="TCM28" s="252"/>
      <c r="TCN28" s="252"/>
      <c r="TCO28" s="252"/>
      <c r="TCP28" s="252"/>
      <c r="TCQ28" s="252"/>
      <c r="TCR28" s="252"/>
      <c r="TCS28" s="252"/>
      <c r="TCT28" s="252"/>
      <c r="TCU28" s="252"/>
      <c r="TCV28" s="252"/>
      <c r="TCW28" s="252"/>
      <c r="TCX28" s="252"/>
      <c r="TCY28" s="252"/>
      <c r="TCZ28" s="252"/>
      <c r="TDA28" s="252"/>
      <c r="TDB28" s="252"/>
      <c r="TDC28" s="252"/>
      <c r="TDD28" s="252"/>
      <c r="TDE28" s="252"/>
      <c r="TDF28" s="252"/>
      <c r="TDG28" s="252"/>
      <c r="TDH28" s="252"/>
      <c r="TDI28" s="252"/>
      <c r="TDJ28" s="252"/>
      <c r="TDK28" s="252"/>
      <c r="TDL28" s="252"/>
      <c r="TDM28" s="252"/>
      <c r="TDN28" s="252"/>
      <c r="TDO28" s="252"/>
      <c r="TDP28" s="252"/>
      <c r="TDQ28" s="252"/>
      <c r="TDR28" s="252"/>
      <c r="TDS28" s="252"/>
      <c r="TDT28" s="252"/>
      <c r="TDU28" s="252"/>
      <c r="TDV28" s="252"/>
      <c r="TDW28" s="252"/>
      <c r="TDX28" s="252"/>
      <c r="TDY28" s="252"/>
      <c r="TDZ28" s="252"/>
      <c r="TEA28" s="252"/>
      <c r="TEB28" s="252"/>
      <c r="TEC28" s="252"/>
      <c r="TED28" s="252"/>
      <c r="TEE28" s="252"/>
      <c r="TEF28" s="252"/>
      <c r="TEG28" s="252"/>
      <c r="TEH28" s="252"/>
      <c r="TEI28" s="252"/>
      <c r="TEJ28" s="252"/>
      <c r="TEK28" s="252"/>
      <c r="TEL28" s="252"/>
      <c r="TEM28" s="252"/>
      <c r="TEN28" s="252"/>
      <c r="TEO28" s="252"/>
      <c r="TEP28" s="252"/>
      <c r="TEQ28" s="252"/>
      <c r="TER28" s="252"/>
      <c r="TES28" s="252"/>
      <c r="TET28" s="252"/>
      <c r="TEU28" s="252"/>
      <c r="TEV28" s="252"/>
      <c r="TEW28" s="252"/>
      <c r="TEX28" s="252"/>
      <c r="TEY28" s="252"/>
      <c r="TEZ28" s="252"/>
      <c r="TFA28" s="252"/>
      <c r="TFB28" s="252"/>
      <c r="TFC28" s="252"/>
      <c r="TFD28" s="252"/>
      <c r="TFE28" s="252"/>
      <c r="TFF28" s="252"/>
      <c r="TFG28" s="252"/>
      <c r="TFH28" s="252"/>
      <c r="TFI28" s="252"/>
      <c r="TFJ28" s="252"/>
      <c r="TFK28" s="252"/>
      <c r="TFL28" s="252"/>
      <c r="TFM28" s="252"/>
      <c r="TFN28" s="252"/>
      <c r="TFO28" s="252"/>
      <c r="TFP28" s="252"/>
      <c r="TFQ28" s="252"/>
      <c r="TFR28" s="252"/>
      <c r="TFS28" s="252"/>
      <c r="TFT28" s="252"/>
      <c r="TFU28" s="252"/>
      <c r="TFV28" s="252"/>
      <c r="TFW28" s="252"/>
      <c r="TFX28" s="252"/>
      <c r="TFY28" s="252"/>
      <c r="TFZ28" s="252"/>
      <c r="TGA28" s="252"/>
      <c r="TGB28" s="252"/>
      <c r="TGC28" s="252"/>
      <c r="TGD28" s="252"/>
      <c r="TGE28" s="252"/>
      <c r="TGF28" s="252"/>
      <c r="TGG28" s="252"/>
      <c r="TGH28" s="252"/>
      <c r="TGI28" s="252"/>
      <c r="TGJ28" s="252"/>
      <c r="TGK28" s="252"/>
      <c r="TGL28" s="252"/>
      <c r="TGM28" s="252"/>
      <c r="TGN28" s="252"/>
      <c r="TGO28" s="252"/>
      <c r="TGP28" s="252"/>
      <c r="TGQ28" s="252"/>
      <c r="TGR28" s="252"/>
      <c r="TGS28" s="252"/>
      <c r="TGT28" s="252"/>
      <c r="TGU28" s="252"/>
      <c r="TGV28" s="252"/>
      <c r="TGW28" s="252"/>
      <c r="TGX28" s="252"/>
      <c r="TGY28" s="252"/>
      <c r="TGZ28" s="252"/>
      <c r="THA28" s="252"/>
      <c r="THB28" s="252"/>
      <c r="THC28" s="252"/>
      <c r="THD28" s="252"/>
      <c r="THE28" s="252"/>
      <c r="THF28" s="252"/>
      <c r="THG28" s="252"/>
      <c r="THH28" s="252"/>
      <c r="THI28" s="252"/>
      <c r="THJ28" s="252"/>
      <c r="THK28" s="252"/>
      <c r="THL28" s="252"/>
      <c r="THM28" s="252"/>
      <c r="THN28" s="252"/>
      <c r="THO28" s="252"/>
      <c r="THP28" s="252"/>
      <c r="THQ28" s="252"/>
      <c r="THR28" s="252"/>
      <c r="THS28" s="252"/>
      <c r="THT28" s="252"/>
      <c r="THU28" s="252"/>
      <c r="THV28" s="252"/>
      <c r="THW28" s="252"/>
      <c r="THX28" s="252"/>
      <c r="THY28" s="252"/>
      <c r="THZ28" s="252"/>
      <c r="TIA28" s="252"/>
      <c r="TIB28" s="252"/>
      <c r="TIC28" s="252"/>
      <c r="TID28" s="252"/>
      <c r="TIE28" s="252"/>
      <c r="TIF28" s="252"/>
      <c r="TIG28" s="252"/>
      <c r="TIH28" s="252"/>
      <c r="TII28" s="252"/>
      <c r="TIJ28" s="252"/>
      <c r="TIK28" s="252"/>
      <c r="TIL28" s="252"/>
      <c r="TIM28" s="252"/>
      <c r="TIN28" s="252"/>
      <c r="TIO28" s="252"/>
      <c r="TIP28" s="252"/>
      <c r="TIQ28" s="252"/>
      <c r="TIR28" s="252"/>
      <c r="TIS28" s="252"/>
      <c r="TIT28" s="252"/>
      <c r="TIU28" s="252"/>
      <c r="TIV28" s="252"/>
      <c r="TIW28" s="252"/>
      <c r="TIX28" s="252"/>
      <c r="TIY28" s="252"/>
      <c r="TIZ28" s="252"/>
      <c r="TJA28" s="252"/>
      <c r="TJB28" s="252"/>
      <c r="TJC28" s="252"/>
      <c r="TJD28" s="252"/>
      <c r="TJE28" s="252"/>
      <c r="TJF28" s="252"/>
      <c r="TJG28" s="252"/>
      <c r="TJH28" s="252"/>
      <c r="TJI28" s="252"/>
      <c r="TJJ28" s="252"/>
      <c r="TJK28" s="252"/>
      <c r="TJL28" s="252"/>
      <c r="TJM28" s="252"/>
      <c r="TJN28" s="252"/>
      <c r="TJO28" s="252"/>
      <c r="TJP28" s="252"/>
      <c r="TJQ28" s="252"/>
      <c r="TJR28" s="252"/>
      <c r="TJS28" s="252"/>
      <c r="TJT28" s="252"/>
      <c r="TJU28" s="252"/>
      <c r="TJV28" s="252"/>
      <c r="TJW28" s="252"/>
      <c r="TJX28" s="252"/>
      <c r="TJY28" s="252"/>
      <c r="TJZ28" s="252"/>
      <c r="TKA28" s="252"/>
      <c r="TKB28" s="252"/>
      <c r="TKC28" s="252"/>
      <c r="TKD28" s="252"/>
      <c r="TKE28" s="252"/>
      <c r="TKF28" s="252"/>
      <c r="TKG28" s="252"/>
      <c r="TKH28" s="252"/>
      <c r="TKI28" s="252"/>
      <c r="TKJ28" s="252"/>
      <c r="TKK28" s="252"/>
      <c r="TKL28" s="252"/>
      <c r="TKM28" s="252"/>
      <c r="TKN28" s="252"/>
      <c r="TKO28" s="252"/>
      <c r="TKP28" s="252"/>
      <c r="TKQ28" s="252"/>
      <c r="TKR28" s="252"/>
      <c r="TKS28" s="252"/>
      <c r="TKT28" s="252"/>
      <c r="TKU28" s="252"/>
      <c r="TKV28" s="252"/>
      <c r="TKW28" s="252"/>
      <c r="TKX28" s="252"/>
      <c r="TKY28" s="252"/>
      <c r="TKZ28" s="252"/>
      <c r="TLA28" s="252"/>
      <c r="TLB28" s="252"/>
      <c r="TLC28" s="252"/>
      <c r="TLD28" s="252"/>
      <c r="TLE28" s="252"/>
      <c r="TLF28" s="252"/>
      <c r="TLG28" s="252"/>
      <c r="TLH28" s="252"/>
      <c r="TLI28" s="252"/>
      <c r="TLJ28" s="252"/>
      <c r="TLK28" s="252"/>
      <c r="TLL28" s="252"/>
      <c r="TLM28" s="252"/>
      <c r="TLN28" s="252"/>
      <c r="TLO28" s="252"/>
      <c r="TLP28" s="252"/>
      <c r="TLQ28" s="252"/>
      <c r="TLR28" s="252"/>
      <c r="TLS28" s="252"/>
      <c r="TLT28" s="252"/>
      <c r="TLU28" s="252"/>
      <c r="TLV28" s="252"/>
      <c r="TLW28" s="252"/>
      <c r="TLX28" s="252"/>
      <c r="TLY28" s="252"/>
      <c r="TLZ28" s="252"/>
      <c r="TMA28" s="252"/>
      <c r="TMB28" s="252"/>
      <c r="TMC28" s="252"/>
      <c r="TMD28" s="252"/>
      <c r="TME28" s="252"/>
      <c r="TMF28" s="252"/>
      <c r="TMG28" s="252"/>
      <c r="TMH28" s="252"/>
      <c r="TMI28" s="252"/>
      <c r="TMJ28" s="252"/>
      <c r="TMK28" s="252"/>
      <c r="TML28" s="252"/>
      <c r="TMM28" s="252"/>
      <c r="TMN28" s="252"/>
      <c r="TMO28" s="252"/>
      <c r="TMP28" s="252"/>
      <c r="TMQ28" s="252"/>
      <c r="TMR28" s="252"/>
      <c r="TMS28" s="252"/>
      <c r="TMT28" s="252"/>
      <c r="TMU28" s="252"/>
      <c r="TMV28" s="252"/>
      <c r="TMW28" s="252"/>
      <c r="TMX28" s="252"/>
      <c r="TMY28" s="252"/>
      <c r="TMZ28" s="252"/>
      <c r="TNA28" s="252"/>
      <c r="TNB28" s="252"/>
      <c r="TNC28" s="252"/>
      <c r="TND28" s="252"/>
      <c r="TNE28" s="252"/>
      <c r="TNF28" s="252"/>
      <c r="TNG28" s="252"/>
      <c r="TNH28" s="252"/>
      <c r="TNI28" s="252"/>
      <c r="TNJ28" s="252"/>
      <c r="TNK28" s="252"/>
      <c r="TNL28" s="252"/>
      <c r="TNM28" s="252"/>
      <c r="TNN28" s="252"/>
      <c r="TNO28" s="252"/>
      <c r="TNP28" s="252"/>
      <c r="TNQ28" s="252"/>
      <c r="TNR28" s="252"/>
      <c r="TNS28" s="252"/>
      <c r="TNT28" s="252"/>
      <c r="TNU28" s="252"/>
      <c r="TNV28" s="252"/>
      <c r="TNW28" s="252"/>
      <c r="TNX28" s="252"/>
      <c r="TNY28" s="252"/>
      <c r="TNZ28" s="252"/>
      <c r="TOA28" s="252"/>
      <c r="TOB28" s="252"/>
      <c r="TOC28" s="252"/>
      <c r="TOD28" s="252"/>
      <c r="TOE28" s="252"/>
      <c r="TOF28" s="252"/>
      <c r="TOG28" s="252"/>
      <c r="TOH28" s="252"/>
      <c r="TOI28" s="252"/>
      <c r="TOJ28" s="252"/>
      <c r="TOK28" s="252"/>
      <c r="TOL28" s="252"/>
      <c r="TOM28" s="252"/>
      <c r="TON28" s="252"/>
      <c r="TOO28" s="252"/>
      <c r="TOP28" s="252"/>
      <c r="TOQ28" s="252"/>
      <c r="TOR28" s="252"/>
      <c r="TOS28" s="252"/>
      <c r="TOT28" s="252"/>
      <c r="TOU28" s="252"/>
      <c r="TOV28" s="252"/>
      <c r="TOW28" s="252"/>
      <c r="TOX28" s="252"/>
      <c r="TOY28" s="252"/>
      <c r="TOZ28" s="252"/>
      <c r="TPA28" s="252"/>
      <c r="TPB28" s="252"/>
      <c r="TPC28" s="252"/>
      <c r="TPD28" s="252"/>
      <c r="TPE28" s="252"/>
      <c r="TPF28" s="252"/>
      <c r="TPG28" s="252"/>
      <c r="TPH28" s="252"/>
      <c r="TPI28" s="252"/>
      <c r="TPJ28" s="252"/>
      <c r="TPK28" s="252"/>
      <c r="TPL28" s="252"/>
      <c r="TPM28" s="252"/>
      <c r="TPN28" s="252"/>
      <c r="TPO28" s="252"/>
      <c r="TPP28" s="252"/>
      <c r="TPQ28" s="252"/>
      <c r="TPR28" s="252"/>
      <c r="TPS28" s="252"/>
      <c r="TPT28" s="252"/>
      <c r="TPU28" s="252"/>
      <c r="TPV28" s="252"/>
      <c r="TPW28" s="252"/>
      <c r="TPX28" s="252"/>
      <c r="TPY28" s="252"/>
      <c r="TPZ28" s="252"/>
      <c r="TQA28" s="252"/>
      <c r="TQB28" s="252"/>
      <c r="TQC28" s="252"/>
      <c r="TQD28" s="252"/>
      <c r="TQE28" s="252"/>
      <c r="TQF28" s="252"/>
      <c r="TQG28" s="252"/>
      <c r="TQH28" s="252"/>
      <c r="TQI28" s="252"/>
      <c r="TQJ28" s="252"/>
      <c r="TQK28" s="252"/>
      <c r="TQL28" s="252"/>
      <c r="TQM28" s="252"/>
      <c r="TQN28" s="252"/>
      <c r="TQO28" s="252"/>
      <c r="TQP28" s="252"/>
      <c r="TQQ28" s="252"/>
      <c r="TQR28" s="252"/>
      <c r="TQS28" s="252"/>
      <c r="TQT28" s="252"/>
      <c r="TQU28" s="252"/>
      <c r="TQV28" s="252"/>
      <c r="TQW28" s="252"/>
      <c r="TQX28" s="252"/>
      <c r="TQY28" s="252"/>
      <c r="TQZ28" s="252"/>
      <c r="TRA28" s="252"/>
      <c r="TRB28" s="252"/>
      <c r="TRC28" s="252"/>
      <c r="TRD28" s="252"/>
      <c r="TRE28" s="252"/>
      <c r="TRF28" s="252"/>
      <c r="TRG28" s="252"/>
      <c r="TRH28" s="252"/>
      <c r="TRI28" s="252"/>
      <c r="TRJ28" s="252"/>
      <c r="TRK28" s="252"/>
      <c r="TRL28" s="252"/>
      <c r="TRM28" s="252"/>
      <c r="TRN28" s="252"/>
      <c r="TRO28" s="252"/>
      <c r="TRP28" s="252"/>
      <c r="TRQ28" s="252"/>
      <c r="TRR28" s="252"/>
      <c r="TRS28" s="252"/>
      <c r="TRT28" s="252"/>
      <c r="TRU28" s="252"/>
      <c r="TRV28" s="252"/>
      <c r="TRW28" s="252"/>
      <c r="TRX28" s="252"/>
      <c r="TRY28" s="252"/>
      <c r="TRZ28" s="252"/>
      <c r="TSA28" s="252"/>
      <c r="TSB28" s="252"/>
      <c r="TSC28" s="252"/>
      <c r="TSD28" s="252"/>
      <c r="TSE28" s="252"/>
      <c r="TSF28" s="252"/>
      <c r="TSG28" s="252"/>
      <c r="TSH28" s="252"/>
      <c r="TSI28" s="252"/>
      <c r="TSJ28" s="252"/>
      <c r="TSK28" s="252"/>
      <c r="TSL28" s="252"/>
      <c r="TSM28" s="252"/>
      <c r="TSN28" s="252"/>
      <c r="TSO28" s="252"/>
      <c r="TSP28" s="252"/>
      <c r="TSQ28" s="252"/>
      <c r="TSR28" s="252"/>
      <c r="TSS28" s="252"/>
      <c r="TST28" s="252"/>
      <c r="TSU28" s="252"/>
      <c r="TSV28" s="252"/>
      <c r="TSW28" s="252"/>
      <c r="TSX28" s="252"/>
      <c r="TSY28" s="252"/>
      <c r="TSZ28" s="252"/>
      <c r="TTA28" s="252"/>
      <c r="TTB28" s="252"/>
      <c r="TTC28" s="252"/>
      <c r="TTD28" s="252"/>
      <c r="TTE28" s="252"/>
      <c r="TTF28" s="252"/>
      <c r="TTG28" s="252"/>
      <c r="TTH28" s="252"/>
      <c r="TTI28" s="252"/>
      <c r="TTJ28" s="252"/>
      <c r="TTK28" s="252"/>
      <c r="TTL28" s="252"/>
      <c r="TTM28" s="252"/>
      <c r="TTN28" s="252"/>
      <c r="TTO28" s="252"/>
      <c r="TTP28" s="252"/>
      <c r="TTQ28" s="252"/>
      <c r="TTR28" s="252"/>
      <c r="TTS28" s="252"/>
      <c r="TTT28" s="252"/>
      <c r="TTU28" s="252"/>
      <c r="TTV28" s="252"/>
      <c r="TTW28" s="252"/>
      <c r="TTX28" s="252"/>
      <c r="TTY28" s="252"/>
      <c r="TTZ28" s="252"/>
      <c r="TUA28" s="252"/>
      <c r="TUB28" s="252"/>
      <c r="TUC28" s="252"/>
      <c r="TUD28" s="252"/>
      <c r="TUE28" s="252"/>
      <c r="TUF28" s="252"/>
      <c r="TUG28" s="252"/>
      <c r="TUH28" s="252"/>
      <c r="TUI28" s="252"/>
      <c r="TUJ28" s="252"/>
      <c r="TUK28" s="252"/>
      <c r="TUL28" s="252"/>
      <c r="TUM28" s="252"/>
      <c r="TUN28" s="252"/>
      <c r="TUO28" s="252"/>
      <c r="TUP28" s="252"/>
      <c r="TUQ28" s="252"/>
      <c r="TUR28" s="252"/>
      <c r="TUS28" s="252"/>
      <c r="TUT28" s="252"/>
      <c r="TUU28" s="252"/>
      <c r="TUV28" s="252"/>
      <c r="TUW28" s="252"/>
      <c r="TUX28" s="252"/>
      <c r="TUY28" s="252"/>
      <c r="TUZ28" s="252"/>
      <c r="TVA28" s="252"/>
      <c r="TVB28" s="252"/>
      <c r="TVC28" s="252"/>
      <c r="TVD28" s="252"/>
      <c r="TVE28" s="252"/>
      <c r="TVF28" s="252"/>
      <c r="TVG28" s="252"/>
      <c r="TVH28" s="252"/>
      <c r="TVI28" s="252"/>
      <c r="TVJ28" s="252"/>
      <c r="TVK28" s="252"/>
      <c r="TVL28" s="252"/>
      <c r="TVM28" s="252"/>
      <c r="TVN28" s="252"/>
      <c r="TVO28" s="252"/>
      <c r="TVP28" s="252"/>
      <c r="TVQ28" s="252"/>
      <c r="TVR28" s="252"/>
      <c r="TVS28" s="252"/>
      <c r="TVT28" s="252"/>
      <c r="TVU28" s="252"/>
      <c r="TVV28" s="252"/>
      <c r="TVW28" s="252"/>
      <c r="TVX28" s="252"/>
      <c r="TVY28" s="252"/>
      <c r="TVZ28" s="252"/>
      <c r="TWA28" s="252"/>
      <c r="TWB28" s="252"/>
      <c r="TWC28" s="252"/>
      <c r="TWD28" s="252"/>
      <c r="TWE28" s="252"/>
      <c r="TWF28" s="252"/>
      <c r="TWG28" s="252"/>
      <c r="TWH28" s="252"/>
      <c r="TWI28" s="252"/>
      <c r="TWJ28" s="252"/>
      <c r="TWK28" s="252"/>
      <c r="TWL28" s="252"/>
      <c r="TWM28" s="252"/>
      <c r="TWN28" s="252"/>
      <c r="TWO28" s="252"/>
      <c r="TWP28" s="252"/>
      <c r="TWQ28" s="252"/>
      <c r="TWR28" s="252"/>
      <c r="TWS28" s="252"/>
      <c r="TWT28" s="252"/>
      <c r="TWU28" s="252"/>
      <c r="TWV28" s="252"/>
      <c r="TWW28" s="252"/>
      <c r="TWX28" s="252"/>
      <c r="TWY28" s="252"/>
      <c r="TWZ28" s="252"/>
      <c r="TXA28" s="252"/>
      <c r="TXB28" s="252"/>
      <c r="TXC28" s="252"/>
      <c r="TXD28" s="252"/>
      <c r="TXE28" s="252"/>
      <c r="TXF28" s="252"/>
      <c r="TXG28" s="252"/>
      <c r="TXH28" s="252"/>
      <c r="TXI28" s="252"/>
      <c r="TXJ28" s="252"/>
      <c r="TXK28" s="252"/>
      <c r="TXL28" s="252"/>
      <c r="TXM28" s="252"/>
      <c r="TXN28" s="252"/>
      <c r="TXO28" s="252"/>
      <c r="TXP28" s="252"/>
      <c r="TXQ28" s="252"/>
      <c r="TXR28" s="252"/>
      <c r="TXS28" s="252"/>
      <c r="TXT28" s="252"/>
      <c r="TXU28" s="252"/>
      <c r="TXV28" s="252"/>
      <c r="TXW28" s="252"/>
      <c r="TXX28" s="252"/>
      <c r="TXY28" s="252"/>
      <c r="TXZ28" s="252"/>
      <c r="TYA28" s="252"/>
      <c r="TYB28" s="252"/>
      <c r="TYC28" s="252"/>
      <c r="TYD28" s="252"/>
      <c r="TYE28" s="252"/>
      <c r="TYF28" s="252"/>
      <c r="TYG28" s="252"/>
      <c r="TYH28" s="252"/>
      <c r="TYI28" s="252"/>
      <c r="TYJ28" s="252"/>
      <c r="TYK28" s="252"/>
      <c r="TYL28" s="252"/>
      <c r="TYM28" s="252"/>
      <c r="TYN28" s="252"/>
      <c r="TYO28" s="252"/>
      <c r="TYP28" s="252"/>
      <c r="TYQ28" s="252"/>
      <c r="TYR28" s="252"/>
      <c r="TYS28" s="252"/>
      <c r="TYT28" s="252"/>
      <c r="TYU28" s="252"/>
      <c r="TYV28" s="252"/>
      <c r="TYW28" s="252"/>
      <c r="TYX28" s="252"/>
      <c r="TYY28" s="252"/>
      <c r="TYZ28" s="252"/>
      <c r="TZA28" s="252"/>
      <c r="TZB28" s="252"/>
      <c r="TZC28" s="252"/>
      <c r="TZD28" s="252"/>
      <c r="TZE28" s="252"/>
      <c r="TZF28" s="252"/>
      <c r="TZG28" s="252"/>
      <c r="TZH28" s="252"/>
      <c r="TZI28" s="252"/>
      <c r="TZJ28" s="252"/>
      <c r="TZK28" s="252"/>
      <c r="TZL28" s="252"/>
      <c r="TZM28" s="252"/>
      <c r="TZN28" s="252"/>
      <c r="TZO28" s="252"/>
      <c r="TZP28" s="252"/>
      <c r="TZQ28" s="252"/>
      <c r="TZR28" s="252"/>
      <c r="TZS28" s="252"/>
      <c r="TZT28" s="252"/>
      <c r="TZU28" s="252"/>
      <c r="TZV28" s="252"/>
      <c r="TZW28" s="252"/>
      <c r="TZX28" s="252"/>
      <c r="TZY28" s="252"/>
      <c r="TZZ28" s="252"/>
      <c r="UAA28" s="252"/>
      <c r="UAB28" s="252"/>
      <c r="UAC28" s="252"/>
      <c r="UAD28" s="252"/>
      <c r="UAE28" s="252"/>
      <c r="UAF28" s="252"/>
      <c r="UAG28" s="252"/>
      <c r="UAH28" s="252"/>
      <c r="UAI28" s="252"/>
      <c r="UAJ28" s="252"/>
      <c r="UAK28" s="252"/>
      <c r="UAL28" s="252"/>
      <c r="UAM28" s="252"/>
      <c r="UAN28" s="252"/>
      <c r="UAO28" s="252"/>
      <c r="UAP28" s="252"/>
      <c r="UAQ28" s="252"/>
      <c r="UAR28" s="252"/>
      <c r="UAS28" s="252"/>
      <c r="UAT28" s="252"/>
      <c r="UAU28" s="252"/>
      <c r="UAV28" s="252"/>
      <c r="UAW28" s="252"/>
      <c r="UAX28" s="252"/>
      <c r="UAY28" s="252"/>
      <c r="UAZ28" s="252"/>
      <c r="UBA28" s="252"/>
      <c r="UBB28" s="252"/>
      <c r="UBC28" s="252"/>
      <c r="UBD28" s="252"/>
      <c r="UBE28" s="252"/>
      <c r="UBF28" s="252"/>
      <c r="UBG28" s="252"/>
      <c r="UBH28" s="252"/>
      <c r="UBI28" s="252"/>
      <c r="UBJ28" s="252"/>
      <c r="UBK28" s="252"/>
      <c r="UBL28" s="252"/>
      <c r="UBM28" s="252"/>
      <c r="UBN28" s="252"/>
      <c r="UBO28" s="252"/>
      <c r="UBP28" s="252"/>
      <c r="UBQ28" s="252"/>
      <c r="UBR28" s="252"/>
      <c r="UBS28" s="252"/>
      <c r="UBT28" s="252"/>
      <c r="UBU28" s="252"/>
      <c r="UBV28" s="252"/>
      <c r="UBW28" s="252"/>
      <c r="UBX28" s="252"/>
      <c r="UBY28" s="252"/>
      <c r="UBZ28" s="252"/>
      <c r="UCA28" s="252"/>
      <c r="UCB28" s="252"/>
      <c r="UCC28" s="252"/>
      <c r="UCD28" s="252"/>
      <c r="UCE28" s="252"/>
      <c r="UCF28" s="252"/>
      <c r="UCG28" s="252"/>
      <c r="UCH28" s="252"/>
      <c r="UCI28" s="252"/>
      <c r="UCJ28" s="252"/>
      <c r="UCK28" s="252"/>
      <c r="UCL28" s="252"/>
      <c r="UCM28" s="252"/>
      <c r="UCN28" s="252"/>
      <c r="UCO28" s="252"/>
      <c r="UCP28" s="252"/>
      <c r="UCQ28" s="252"/>
      <c r="UCR28" s="252"/>
      <c r="UCS28" s="252"/>
      <c r="UCT28" s="252"/>
      <c r="UCU28" s="252"/>
      <c r="UCV28" s="252"/>
      <c r="UCW28" s="252"/>
      <c r="UCX28" s="252"/>
      <c r="UCY28" s="252"/>
      <c r="UCZ28" s="252"/>
      <c r="UDA28" s="252"/>
      <c r="UDB28" s="252"/>
      <c r="UDC28" s="252"/>
      <c r="UDD28" s="252"/>
      <c r="UDE28" s="252"/>
      <c r="UDF28" s="252"/>
      <c r="UDG28" s="252"/>
      <c r="UDH28" s="252"/>
      <c r="UDI28" s="252"/>
      <c r="UDJ28" s="252"/>
      <c r="UDK28" s="252"/>
      <c r="UDL28" s="252"/>
      <c r="UDM28" s="252"/>
      <c r="UDN28" s="252"/>
      <c r="UDO28" s="252"/>
      <c r="UDP28" s="252"/>
      <c r="UDQ28" s="252"/>
      <c r="UDR28" s="252"/>
      <c r="UDS28" s="252"/>
      <c r="UDT28" s="252"/>
      <c r="UDU28" s="252"/>
      <c r="UDV28" s="252"/>
      <c r="UDW28" s="252"/>
      <c r="UDX28" s="252"/>
      <c r="UDY28" s="252"/>
      <c r="UDZ28" s="252"/>
      <c r="UEA28" s="252"/>
      <c r="UEB28" s="252"/>
      <c r="UEC28" s="252"/>
      <c r="UED28" s="252"/>
      <c r="UEE28" s="252"/>
      <c r="UEF28" s="252"/>
      <c r="UEG28" s="252"/>
      <c r="UEH28" s="252"/>
      <c r="UEI28" s="252"/>
      <c r="UEJ28" s="252"/>
      <c r="UEK28" s="252"/>
      <c r="UEL28" s="252"/>
      <c r="UEM28" s="252"/>
      <c r="UEN28" s="252"/>
      <c r="UEO28" s="252"/>
      <c r="UEP28" s="252"/>
      <c r="UEQ28" s="252"/>
      <c r="UER28" s="252"/>
      <c r="UES28" s="252"/>
      <c r="UET28" s="252"/>
      <c r="UEU28" s="252"/>
      <c r="UEV28" s="252"/>
      <c r="UEW28" s="252"/>
      <c r="UEX28" s="252"/>
      <c r="UEY28" s="252"/>
      <c r="UEZ28" s="252"/>
      <c r="UFA28" s="252"/>
      <c r="UFB28" s="252"/>
      <c r="UFC28" s="252"/>
      <c r="UFD28" s="252"/>
      <c r="UFE28" s="252"/>
      <c r="UFF28" s="252"/>
      <c r="UFG28" s="252"/>
      <c r="UFH28" s="252"/>
      <c r="UFI28" s="252"/>
      <c r="UFJ28" s="252"/>
      <c r="UFK28" s="252"/>
      <c r="UFL28" s="252"/>
      <c r="UFM28" s="252"/>
      <c r="UFN28" s="252"/>
      <c r="UFO28" s="252"/>
      <c r="UFP28" s="252"/>
      <c r="UFQ28" s="252"/>
      <c r="UFR28" s="252"/>
      <c r="UFS28" s="252"/>
      <c r="UFT28" s="252"/>
      <c r="UFU28" s="252"/>
      <c r="UFV28" s="252"/>
      <c r="UFW28" s="252"/>
      <c r="UFX28" s="252"/>
      <c r="UFY28" s="252"/>
      <c r="UFZ28" s="252"/>
      <c r="UGA28" s="252"/>
      <c r="UGB28" s="252"/>
      <c r="UGC28" s="252"/>
      <c r="UGD28" s="252"/>
      <c r="UGE28" s="252"/>
      <c r="UGF28" s="252"/>
      <c r="UGG28" s="252"/>
      <c r="UGH28" s="252"/>
      <c r="UGI28" s="252"/>
      <c r="UGJ28" s="252"/>
      <c r="UGK28" s="252"/>
      <c r="UGL28" s="252"/>
      <c r="UGM28" s="252"/>
      <c r="UGN28" s="252"/>
      <c r="UGO28" s="252"/>
      <c r="UGP28" s="252"/>
      <c r="UGQ28" s="252"/>
      <c r="UGR28" s="252"/>
      <c r="UGS28" s="252"/>
      <c r="UGT28" s="252"/>
      <c r="UGU28" s="252"/>
      <c r="UGV28" s="252"/>
      <c r="UGW28" s="252"/>
      <c r="UGX28" s="252"/>
      <c r="UGY28" s="252"/>
      <c r="UGZ28" s="252"/>
      <c r="UHA28" s="252"/>
      <c r="UHB28" s="252"/>
      <c r="UHC28" s="252"/>
      <c r="UHD28" s="252"/>
      <c r="UHE28" s="252"/>
      <c r="UHF28" s="252"/>
      <c r="UHG28" s="252"/>
      <c r="UHH28" s="252"/>
      <c r="UHI28" s="252"/>
      <c r="UHJ28" s="252"/>
      <c r="UHK28" s="252"/>
      <c r="UHL28" s="252"/>
      <c r="UHM28" s="252"/>
      <c r="UHN28" s="252"/>
      <c r="UHO28" s="252"/>
      <c r="UHP28" s="252"/>
      <c r="UHQ28" s="252"/>
      <c r="UHR28" s="252"/>
      <c r="UHS28" s="252"/>
      <c r="UHT28" s="252"/>
      <c r="UHU28" s="252"/>
      <c r="UHV28" s="252"/>
      <c r="UHW28" s="252"/>
      <c r="UHX28" s="252"/>
      <c r="UHY28" s="252"/>
      <c r="UHZ28" s="252"/>
      <c r="UIA28" s="252"/>
      <c r="UIB28" s="252"/>
      <c r="UIC28" s="252"/>
      <c r="UID28" s="252"/>
      <c r="UIE28" s="252"/>
      <c r="UIF28" s="252"/>
      <c r="UIG28" s="252"/>
      <c r="UIH28" s="252"/>
      <c r="UII28" s="252"/>
      <c r="UIJ28" s="252"/>
      <c r="UIK28" s="252"/>
      <c r="UIL28" s="252"/>
      <c r="UIM28" s="252"/>
      <c r="UIN28" s="252"/>
      <c r="UIO28" s="252"/>
      <c r="UIP28" s="252"/>
      <c r="UIQ28" s="252"/>
      <c r="UIR28" s="252"/>
      <c r="UIS28" s="252"/>
      <c r="UIT28" s="252"/>
      <c r="UIU28" s="252"/>
      <c r="UIV28" s="252"/>
      <c r="UIW28" s="252"/>
      <c r="UIX28" s="252"/>
      <c r="UIY28" s="252"/>
      <c r="UIZ28" s="252"/>
      <c r="UJA28" s="252"/>
      <c r="UJB28" s="252"/>
      <c r="UJC28" s="252"/>
      <c r="UJD28" s="252"/>
      <c r="UJE28" s="252"/>
      <c r="UJF28" s="252"/>
      <c r="UJG28" s="252"/>
      <c r="UJH28" s="252"/>
      <c r="UJI28" s="252"/>
      <c r="UJJ28" s="252"/>
      <c r="UJK28" s="252"/>
      <c r="UJL28" s="252"/>
      <c r="UJM28" s="252"/>
      <c r="UJN28" s="252"/>
      <c r="UJO28" s="252"/>
      <c r="UJP28" s="252"/>
      <c r="UJQ28" s="252"/>
      <c r="UJR28" s="252"/>
      <c r="UJS28" s="252"/>
      <c r="UJT28" s="252"/>
      <c r="UJU28" s="252"/>
      <c r="UJV28" s="252"/>
      <c r="UJW28" s="252"/>
      <c r="UJX28" s="252"/>
      <c r="UJY28" s="252"/>
      <c r="UJZ28" s="252"/>
      <c r="UKA28" s="252"/>
      <c r="UKB28" s="252"/>
      <c r="UKC28" s="252"/>
      <c r="UKD28" s="252"/>
      <c r="UKE28" s="252"/>
      <c r="UKF28" s="252"/>
      <c r="UKG28" s="252"/>
      <c r="UKH28" s="252"/>
      <c r="UKI28" s="252"/>
      <c r="UKJ28" s="252"/>
      <c r="UKK28" s="252"/>
      <c r="UKL28" s="252"/>
      <c r="UKM28" s="252"/>
      <c r="UKN28" s="252"/>
      <c r="UKO28" s="252"/>
      <c r="UKP28" s="252"/>
      <c r="UKQ28" s="252"/>
      <c r="UKR28" s="252"/>
      <c r="UKS28" s="252"/>
      <c r="UKT28" s="252"/>
      <c r="UKU28" s="252"/>
      <c r="UKV28" s="252"/>
      <c r="UKW28" s="252"/>
      <c r="UKX28" s="252"/>
      <c r="UKY28" s="252"/>
      <c r="UKZ28" s="252"/>
      <c r="ULA28" s="252"/>
      <c r="ULB28" s="252"/>
      <c r="ULC28" s="252"/>
      <c r="ULD28" s="252"/>
      <c r="ULE28" s="252"/>
      <c r="ULF28" s="252"/>
      <c r="ULG28" s="252"/>
      <c r="ULH28" s="252"/>
      <c r="ULI28" s="252"/>
      <c r="ULJ28" s="252"/>
      <c r="ULK28" s="252"/>
      <c r="ULL28" s="252"/>
      <c r="ULM28" s="252"/>
      <c r="ULN28" s="252"/>
      <c r="ULO28" s="252"/>
      <c r="ULP28" s="252"/>
      <c r="ULQ28" s="252"/>
      <c r="ULR28" s="252"/>
      <c r="ULS28" s="252"/>
      <c r="ULT28" s="252"/>
      <c r="ULU28" s="252"/>
      <c r="ULV28" s="252"/>
      <c r="ULW28" s="252"/>
      <c r="ULX28" s="252"/>
      <c r="ULY28" s="252"/>
      <c r="ULZ28" s="252"/>
      <c r="UMA28" s="252"/>
      <c r="UMB28" s="252"/>
      <c r="UMC28" s="252"/>
      <c r="UMD28" s="252"/>
      <c r="UME28" s="252"/>
      <c r="UMF28" s="252"/>
      <c r="UMG28" s="252"/>
      <c r="UMH28" s="252"/>
      <c r="UMI28" s="252"/>
      <c r="UMJ28" s="252"/>
      <c r="UMK28" s="252"/>
      <c r="UML28" s="252"/>
      <c r="UMM28" s="252"/>
      <c r="UMN28" s="252"/>
      <c r="UMO28" s="252"/>
      <c r="UMP28" s="252"/>
      <c r="UMQ28" s="252"/>
      <c r="UMR28" s="252"/>
      <c r="UMS28" s="252"/>
      <c r="UMT28" s="252"/>
      <c r="UMU28" s="252"/>
      <c r="UMV28" s="252"/>
      <c r="UMW28" s="252"/>
      <c r="UMX28" s="252"/>
      <c r="UMY28" s="252"/>
      <c r="UMZ28" s="252"/>
      <c r="UNA28" s="252"/>
      <c r="UNB28" s="252"/>
      <c r="UNC28" s="252"/>
      <c r="UND28" s="252"/>
      <c r="UNE28" s="252"/>
      <c r="UNF28" s="252"/>
      <c r="UNG28" s="252"/>
      <c r="UNH28" s="252"/>
      <c r="UNI28" s="252"/>
      <c r="UNJ28" s="252"/>
      <c r="UNK28" s="252"/>
      <c r="UNL28" s="252"/>
      <c r="UNM28" s="252"/>
      <c r="UNN28" s="252"/>
      <c r="UNO28" s="252"/>
      <c r="UNP28" s="252"/>
      <c r="UNQ28" s="252"/>
      <c r="UNR28" s="252"/>
      <c r="UNS28" s="252"/>
      <c r="UNT28" s="252"/>
      <c r="UNU28" s="252"/>
      <c r="UNV28" s="252"/>
      <c r="UNW28" s="252"/>
      <c r="UNX28" s="252"/>
      <c r="UNY28" s="252"/>
      <c r="UNZ28" s="252"/>
      <c r="UOA28" s="252"/>
      <c r="UOB28" s="252"/>
      <c r="UOC28" s="252"/>
      <c r="UOD28" s="252"/>
      <c r="UOE28" s="252"/>
      <c r="UOF28" s="252"/>
      <c r="UOG28" s="252"/>
      <c r="UOH28" s="252"/>
      <c r="UOI28" s="252"/>
      <c r="UOJ28" s="252"/>
      <c r="UOK28" s="252"/>
      <c r="UOL28" s="252"/>
      <c r="UOM28" s="252"/>
      <c r="UON28" s="252"/>
      <c r="UOO28" s="252"/>
      <c r="UOP28" s="252"/>
      <c r="UOQ28" s="252"/>
      <c r="UOR28" s="252"/>
      <c r="UOS28" s="252"/>
      <c r="UOT28" s="252"/>
      <c r="UOU28" s="252"/>
      <c r="UOV28" s="252"/>
      <c r="UOW28" s="252"/>
      <c r="UOX28" s="252"/>
      <c r="UOY28" s="252"/>
      <c r="UOZ28" s="252"/>
      <c r="UPA28" s="252"/>
      <c r="UPB28" s="252"/>
      <c r="UPC28" s="252"/>
      <c r="UPD28" s="252"/>
      <c r="UPE28" s="252"/>
      <c r="UPF28" s="252"/>
      <c r="UPG28" s="252"/>
      <c r="UPH28" s="252"/>
      <c r="UPI28" s="252"/>
      <c r="UPJ28" s="252"/>
      <c r="UPK28" s="252"/>
      <c r="UPL28" s="252"/>
      <c r="UPM28" s="252"/>
      <c r="UPN28" s="252"/>
      <c r="UPO28" s="252"/>
      <c r="UPP28" s="252"/>
      <c r="UPQ28" s="252"/>
      <c r="UPR28" s="252"/>
      <c r="UPS28" s="252"/>
      <c r="UPT28" s="252"/>
      <c r="UPU28" s="252"/>
      <c r="UPV28" s="252"/>
      <c r="UPW28" s="252"/>
      <c r="UPX28" s="252"/>
      <c r="UPY28" s="252"/>
      <c r="UPZ28" s="252"/>
      <c r="UQA28" s="252"/>
      <c r="UQB28" s="252"/>
      <c r="UQC28" s="252"/>
      <c r="UQD28" s="252"/>
      <c r="UQE28" s="252"/>
      <c r="UQF28" s="252"/>
      <c r="UQG28" s="252"/>
      <c r="UQH28" s="252"/>
      <c r="UQI28" s="252"/>
      <c r="UQJ28" s="252"/>
      <c r="UQK28" s="252"/>
      <c r="UQL28" s="252"/>
      <c r="UQM28" s="252"/>
      <c r="UQN28" s="252"/>
      <c r="UQO28" s="252"/>
      <c r="UQP28" s="252"/>
      <c r="UQQ28" s="252"/>
      <c r="UQR28" s="252"/>
      <c r="UQS28" s="252"/>
      <c r="UQT28" s="252"/>
      <c r="UQU28" s="252"/>
      <c r="UQV28" s="252"/>
      <c r="UQW28" s="252"/>
      <c r="UQX28" s="252"/>
      <c r="UQY28" s="252"/>
      <c r="UQZ28" s="252"/>
      <c r="URA28" s="252"/>
      <c r="URB28" s="252"/>
      <c r="URC28" s="252"/>
      <c r="URD28" s="252"/>
      <c r="URE28" s="252"/>
      <c r="URF28" s="252"/>
      <c r="URG28" s="252"/>
      <c r="URH28" s="252"/>
      <c r="URI28" s="252"/>
      <c r="URJ28" s="252"/>
      <c r="URK28" s="252"/>
      <c r="URL28" s="252"/>
      <c r="URM28" s="252"/>
      <c r="URN28" s="252"/>
      <c r="URO28" s="252"/>
      <c r="URP28" s="252"/>
      <c r="URQ28" s="252"/>
      <c r="URR28" s="252"/>
      <c r="URS28" s="252"/>
      <c r="URT28" s="252"/>
      <c r="URU28" s="252"/>
      <c r="URV28" s="252"/>
      <c r="URW28" s="252"/>
      <c r="URX28" s="252"/>
      <c r="URY28" s="252"/>
      <c r="URZ28" s="252"/>
      <c r="USA28" s="252"/>
      <c r="USB28" s="252"/>
      <c r="USC28" s="252"/>
      <c r="USD28" s="252"/>
      <c r="USE28" s="252"/>
      <c r="USF28" s="252"/>
      <c r="USG28" s="252"/>
      <c r="USH28" s="252"/>
      <c r="USI28" s="252"/>
      <c r="USJ28" s="252"/>
      <c r="USK28" s="252"/>
      <c r="USL28" s="252"/>
      <c r="USM28" s="252"/>
      <c r="USN28" s="252"/>
      <c r="USO28" s="252"/>
      <c r="USP28" s="252"/>
      <c r="USQ28" s="252"/>
      <c r="USR28" s="252"/>
      <c r="USS28" s="252"/>
      <c r="UST28" s="252"/>
      <c r="USU28" s="252"/>
      <c r="USV28" s="252"/>
      <c r="USW28" s="252"/>
      <c r="USX28" s="252"/>
      <c r="USY28" s="252"/>
      <c r="USZ28" s="252"/>
      <c r="UTA28" s="252"/>
      <c r="UTB28" s="252"/>
      <c r="UTC28" s="252"/>
      <c r="UTD28" s="252"/>
      <c r="UTE28" s="252"/>
      <c r="UTF28" s="252"/>
      <c r="UTG28" s="252"/>
      <c r="UTH28" s="252"/>
      <c r="UTI28" s="252"/>
      <c r="UTJ28" s="252"/>
      <c r="UTK28" s="252"/>
      <c r="UTL28" s="252"/>
      <c r="UTM28" s="252"/>
      <c r="UTN28" s="252"/>
      <c r="UTO28" s="252"/>
      <c r="UTP28" s="252"/>
      <c r="UTQ28" s="252"/>
      <c r="UTR28" s="252"/>
      <c r="UTS28" s="252"/>
      <c r="UTT28" s="252"/>
      <c r="UTU28" s="252"/>
      <c r="UTV28" s="252"/>
      <c r="UTW28" s="252"/>
      <c r="UTX28" s="252"/>
      <c r="UTY28" s="252"/>
      <c r="UTZ28" s="252"/>
      <c r="UUA28" s="252"/>
      <c r="UUB28" s="252"/>
      <c r="UUC28" s="252"/>
      <c r="UUD28" s="252"/>
      <c r="UUE28" s="252"/>
      <c r="UUF28" s="252"/>
      <c r="UUG28" s="252"/>
      <c r="UUH28" s="252"/>
      <c r="UUI28" s="252"/>
      <c r="UUJ28" s="252"/>
      <c r="UUK28" s="252"/>
      <c r="UUL28" s="252"/>
      <c r="UUM28" s="252"/>
      <c r="UUN28" s="252"/>
      <c r="UUO28" s="252"/>
      <c r="UUP28" s="252"/>
      <c r="UUQ28" s="252"/>
      <c r="UUR28" s="252"/>
      <c r="UUS28" s="252"/>
      <c r="UUT28" s="252"/>
      <c r="UUU28" s="252"/>
      <c r="UUV28" s="252"/>
      <c r="UUW28" s="252"/>
      <c r="UUX28" s="252"/>
      <c r="UUY28" s="252"/>
      <c r="UUZ28" s="252"/>
      <c r="UVA28" s="252"/>
      <c r="UVB28" s="252"/>
      <c r="UVC28" s="252"/>
      <c r="UVD28" s="252"/>
      <c r="UVE28" s="252"/>
      <c r="UVF28" s="252"/>
      <c r="UVG28" s="252"/>
      <c r="UVH28" s="252"/>
      <c r="UVI28" s="252"/>
      <c r="UVJ28" s="252"/>
      <c r="UVK28" s="252"/>
      <c r="UVL28" s="252"/>
      <c r="UVM28" s="252"/>
      <c r="UVN28" s="252"/>
      <c r="UVO28" s="252"/>
      <c r="UVP28" s="252"/>
      <c r="UVQ28" s="252"/>
      <c r="UVR28" s="252"/>
      <c r="UVS28" s="252"/>
      <c r="UVT28" s="252"/>
      <c r="UVU28" s="252"/>
      <c r="UVV28" s="252"/>
      <c r="UVW28" s="252"/>
      <c r="UVX28" s="252"/>
      <c r="UVY28" s="252"/>
      <c r="UVZ28" s="252"/>
      <c r="UWA28" s="252"/>
      <c r="UWB28" s="252"/>
      <c r="UWC28" s="252"/>
      <c r="UWD28" s="252"/>
      <c r="UWE28" s="252"/>
      <c r="UWF28" s="252"/>
      <c r="UWG28" s="252"/>
      <c r="UWH28" s="252"/>
      <c r="UWI28" s="252"/>
      <c r="UWJ28" s="252"/>
      <c r="UWK28" s="252"/>
      <c r="UWL28" s="252"/>
      <c r="UWM28" s="252"/>
      <c r="UWN28" s="252"/>
      <c r="UWO28" s="252"/>
      <c r="UWP28" s="252"/>
      <c r="UWQ28" s="252"/>
      <c r="UWR28" s="252"/>
      <c r="UWS28" s="252"/>
      <c r="UWT28" s="252"/>
      <c r="UWU28" s="252"/>
      <c r="UWV28" s="252"/>
      <c r="UWW28" s="252"/>
      <c r="UWX28" s="252"/>
      <c r="UWY28" s="252"/>
      <c r="UWZ28" s="252"/>
      <c r="UXA28" s="252"/>
      <c r="UXB28" s="252"/>
      <c r="UXC28" s="252"/>
      <c r="UXD28" s="252"/>
      <c r="UXE28" s="252"/>
      <c r="UXF28" s="252"/>
      <c r="UXG28" s="252"/>
      <c r="UXH28" s="252"/>
      <c r="UXI28" s="252"/>
      <c r="UXJ28" s="252"/>
      <c r="UXK28" s="252"/>
      <c r="UXL28" s="252"/>
      <c r="UXM28" s="252"/>
      <c r="UXN28" s="252"/>
      <c r="UXO28" s="252"/>
      <c r="UXP28" s="252"/>
      <c r="UXQ28" s="252"/>
      <c r="UXR28" s="252"/>
      <c r="UXS28" s="252"/>
      <c r="UXT28" s="252"/>
      <c r="UXU28" s="252"/>
      <c r="UXV28" s="252"/>
      <c r="UXW28" s="252"/>
      <c r="UXX28" s="252"/>
      <c r="UXY28" s="252"/>
      <c r="UXZ28" s="252"/>
      <c r="UYA28" s="252"/>
      <c r="UYB28" s="252"/>
      <c r="UYC28" s="252"/>
      <c r="UYD28" s="252"/>
      <c r="UYE28" s="252"/>
      <c r="UYF28" s="252"/>
      <c r="UYG28" s="252"/>
      <c r="UYH28" s="252"/>
      <c r="UYI28" s="252"/>
      <c r="UYJ28" s="252"/>
      <c r="UYK28" s="252"/>
      <c r="UYL28" s="252"/>
      <c r="UYM28" s="252"/>
      <c r="UYN28" s="252"/>
      <c r="UYO28" s="252"/>
      <c r="UYP28" s="252"/>
      <c r="UYQ28" s="252"/>
      <c r="UYR28" s="252"/>
      <c r="UYS28" s="252"/>
      <c r="UYT28" s="252"/>
      <c r="UYU28" s="252"/>
      <c r="UYV28" s="252"/>
      <c r="UYW28" s="252"/>
      <c r="UYX28" s="252"/>
      <c r="UYY28" s="252"/>
      <c r="UYZ28" s="252"/>
      <c r="UZA28" s="252"/>
      <c r="UZB28" s="252"/>
      <c r="UZC28" s="252"/>
      <c r="UZD28" s="252"/>
      <c r="UZE28" s="252"/>
      <c r="UZF28" s="252"/>
      <c r="UZG28" s="252"/>
      <c r="UZH28" s="252"/>
      <c r="UZI28" s="252"/>
      <c r="UZJ28" s="252"/>
      <c r="UZK28" s="252"/>
      <c r="UZL28" s="252"/>
      <c r="UZM28" s="252"/>
      <c r="UZN28" s="252"/>
      <c r="UZO28" s="252"/>
      <c r="UZP28" s="252"/>
      <c r="UZQ28" s="252"/>
      <c r="UZR28" s="252"/>
      <c r="UZS28" s="252"/>
      <c r="UZT28" s="252"/>
      <c r="UZU28" s="252"/>
      <c r="UZV28" s="252"/>
      <c r="UZW28" s="252"/>
      <c r="UZX28" s="252"/>
      <c r="UZY28" s="252"/>
      <c r="UZZ28" s="252"/>
      <c r="VAA28" s="252"/>
      <c r="VAB28" s="252"/>
      <c r="VAC28" s="252"/>
      <c r="VAD28" s="252"/>
      <c r="VAE28" s="252"/>
      <c r="VAF28" s="252"/>
      <c r="VAG28" s="252"/>
      <c r="VAH28" s="252"/>
      <c r="VAI28" s="252"/>
      <c r="VAJ28" s="252"/>
      <c r="VAK28" s="252"/>
      <c r="VAL28" s="252"/>
      <c r="VAM28" s="252"/>
      <c r="VAN28" s="252"/>
      <c r="VAO28" s="252"/>
      <c r="VAP28" s="252"/>
      <c r="VAQ28" s="252"/>
      <c r="VAR28" s="252"/>
      <c r="VAS28" s="252"/>
      <c r="VAT28" s="252"/>
      <c r="VAU28" s="252"/>
      <c r="VAV28" s="252"/>
      <c r="VAW28" s="252"/>
      <c r="VAX28" s="252"/>
      <c r="VAY28" s="252"/>
      <c r="VAZ28" s="252"/>
      <c r="VBA28" s="252"/>
      <c r="VBB28" s="252"/>
      <c r="VBC28" s="252"/>
      <c r="VBD28" s="252"/>
      <c r="VBE28" s="252"/>
      <c r="VBF28" s="252"/>
      <c r="VBG28" s="252"/>
      <c r="VBH28" s="252"/>
      <c r="VBI28" s="252"/>
      <c r="VBJ28" s="252"/>
      <c r="VBK28" s="252"/>
      <c r="VBL28" s="252"/>
      <c r="VBM28" s="252"/>
      <c r="VBN28" s="252"/>
      <c r="VBO28" s="252"/>
      <c r="VBP28" s="252"/>
      <c r="VBQ28" s="252"/>
      <c r="VBR28" s="252"/>
      <c r="VBS28" s="252"/>
      <c r="VBT28" s="252"/>
      <c r="VBU28" s="252"/>
      <c r="VBV28" s="252"/>
      <c r="VBW28" s="252"/>
      <c r="VBX28" s="252"/>
      <c r="VBY28" s="252"/>
      <c r="VBZ28" s="252"/>
      <c r="VCA28" s="252"/>
      <c r="VCB28" s="252"/>
      <c r="VCC28" s="252"/>
      <c r="VCD28" s="252"/>
      <c r="VCE28" s="252"/>
      <c r="VCF28" s="252"/>
      <c r="VCG28" s="252"/>
      <c r="VCH28" s="252"/>
      <c r="VCI28" s="252"/>
      <c r="VCJ28" s="252"/>
      <c r="VCK28" s="252"/>
      <c r="VCL28" s="252"/>
      <c r="VCM28" s="252"/>
      <c r="VCN28" s="252"/>
      <c r="VCO28" s="252"/>
      <c r="VCP28" s="252"/>
      <c r="VCQ28" s="252"/>
      <c r="VCR28" s="252"/>
      <c r="VCS28" s="252"/>
      <c r="VCT28" s="252"/>
      <c r="VCU28" s="252"/>
      <c r="VCV28" s="252"/>
      <c r="VCW28" s="252"/>
      <c r="VCX28" s="252"/>
      <c r="VCY28" s="252"/>
      <c r="VCZ28" s="252"/>
      <c r="VDA28" s="252"/>
      <c r="VDB28" s="252"/>
      <c r="VDC28" s="252"/>
      <c r="VDD28" s="252"/>
      <c r="VDE28" s="252"/>
      <c r="VDF28" s="252"/>
      <c r="VDG28" s="252"/>
      <c r="VDH28" s="252"/>
      <c r="VDI28" s="252"/>
      <c r="VDJ28" s="252"/>
      <c r="VDK28" s="252"/>
      <c r="VDL28" s="252"/>
      <c r="VDM28" s="252"/>
      <c r="VDN28" s="252"/>
      <c r="VDO28" s="252"/>
      <c r="VDP28" s="252"/>
      <c r="VDQ28" s="252"/>
      <c r="VDR28" s="252"/>
      <c r="VDS28" s="252"/>
      <c r="VDT28" s="252"/>
      <c r="VDU28" s="252"/>
      <c r="VDV28" s="252"/>
      <c r="VDW28" s="252"/>
      <c r="VDX28" s="252"/>
      <c r="VDY28" s="252"/>
      <c r="VDZ28" s="252"/>
      <c r="VEA28" s="252"/>
      <c r="VEB28" s="252"/>
      <c r="VEC28" s="252"/>
      <c r="VED28" s="252"/>
      <c r="VEE28" s="252"/>
      <c r="VEF28" s="252"/>
      <c r="VEG28" s="252"/>
      <c r="VEH28" s="252"/>
      <c r="VEI28" s="252"/>
      <c r="VEJ28" s="252"/>
      <c r="VEK28" s="252"/>
      <c r="VEL28" s="252"/>
      <c r="VEM28" s="252"/>
      <c r="VEN28" s="252"/>
      <c r="VEO28" s="252"/>
      <c r="VEP28" s="252"/>
      <c r="VEQ28" s="252"/>
      <c r="VER28" s="252"/>
      <c r="VES28" s="252"/>
      <c r="VET28" s="252"/>
      <c r="VEU28" s="252"/>
      <c r="VEV28" s="252"/>
      <c r="VEW28" s="252"/>
      <c r="VEX28" s="252"/>
      <c r="VEY28" s="252"/>
      <c r="VEZ28" s="252"/>
      <c r="VFA28" s="252"/>
      <c r="VFB28" s="252"/>
      <c r="VFC28" s="252"/>
      <c r="VFD28" s="252"/>
      <c r="VFE28" s="252"/>
      <c r="VFF28" s="252"/>
      <c r="VFG28" s="252"/>
      <c r="VFH28" s="252"/>
      <c r="VFI28" s="252"/>
      <c r="VFJ28" s="252"/>
      <c r="VFK28" s="252"/>
      <c r="VFL28" s="252"/>
      <c r="VFM28" s="252"/>
      <c r="VFN28" s="252"/>
      <c r="VFO28" s="252"/>
      <c r="VFP28" s="252"/>
      <c r="VFQ28" s="252"/>
      <c r="VFR28" s="252"/>
      <c r="VFS28" s="252"/>
      <c r="VFT28" s="252"/>
      <c r="VFU28" s="252"/>
      <c r="VFV28" s="252"/>
      <c r="VFW28" s="252"/>
      <c r="VFX28" s="252"/>
      <c r="VFY28" s="252"/>
      <c r="VFZ28" s="252"/>
      <c r="VGA28" s="252"/>
      <c r="VGB28" s="252"/>
      <c r="VGC28" s="252"/>
      <c r="VGD28" s="252"/>
      <c r="VGE28" s="252"/>
      <c r="VGF28" s="252"/>
      <c r="VGG28" s="252"/>
      <c r="VGH28" s="252"/>
      <c r="VGI28" s="252"/>
      <c r="VGJ28" s="252"/>
      <c r="VGK28" s="252"/>
      <c r="VGL28" s="252"/>
      <c r="VGM28" s="252"/>
      <c r="VGN28" s="252"/>
      <c r="VGO28" s="252"/>
      <c r="VGP28" s="252"/>
      <c r="VGQ28" s="252"/>
      <c r="VGR28" s="252"/>
      <c r="VGS28" s="252"/>
      <c r="VGT28" s="252"/>
      <c r="VGU28" s="252"/>
      <c r="VGV28" s="252"/>
      <c r="VGW28" s="252"/>
      <c r="VGX28" s="252"/>
      <c r="VGY28" s="252"/>
      <c r="VGZ28" s="252"/>
      <c r="VHA28" s="252"/>
      <c r="VHB28" s="252"/>
      <c r="VHC28" s="252"/>
      <c r="VHD28" s="252"/>
      <c r="VHE28" s="252"/>
      <c r="VHF28" s="252"/>
      <c r="VHG28" s="252"/>
      <c r="VHH28" s="252"/>
      <c r="VHI28" s="252"/>
      <c r="VHJ28" s="252"/>
      <c r="VHK28" s="252"/>
      <c r="VHL28" s="252"/>
      <c r="VHM28" s="252"/>
      <c r="VHN28" s="252"/>
      <c r="VHO28" s="252"/>
      <c r="VHP28" s="252"/>
      <c r="VHQ28" s="252"/>
      <c r="VHR28" s="252"/>
      <c r="VHS28" s="252"/>
      <c r="VHT28" s="252"/>
      <c r="VHU28" s="252"/>
      <c r="VHV28" s="252"/>
      <c r="VHW28" s="252"/>
      <c r="VHX28" s="252"/>
      <c r="VHY28" s="252"/>
      <c r="VHZ28" s="252"/>
      <c r="VIA28" s="252"/>
      <c r="VIB28" s="252"/>
      <c r="VIC28" s="252"/>
      <c r="VID28" s="252"/>
      <c r="VIE28" s="252"/>
      <c r="VIF28" s="252"/>
      <c r="VIG28" s="252"/>
      <c r="VIH28" s="252"/>
      <c r="VII28" s="252"/>
      <c r="VIJ28" s="252"/>
      <c r="VIK28" s="252"/>
      <c r="VIL28" s="252"/>
      <c r="VIM28" s="252"/>
      <c r="VIN28" s="252"/>
      <c r="VIO28" s="252"/>
      <c r="VIP28" s="252"/>
      <c r="VIQ28" s="252"/>
      <c r="VIR28" s="252"/>
      <c r="VIS28" s="252"/>
      <c r="VIT28" s="252"/>
      <c r="VIU28" s="252"/>
      <c r="VIV28" s="252"/>
      <c r="VIW28" s="252"/>
      <c r="VIX28" s="252"/>
      <c r="VIY28" s="252"/>
      <c r="VIZ28" s="252"/>
      <c r="VJA28" s="252"/>
      <c r="VJB28" s="252"/>
      <c r="VJC28" s="252"/>
      <c r="VJD28" s="252"/>
      <c r="VJE28" s="252"/>
      <c r="VJF28" s="252"/>
      <c r="VJG28" s="252"/>
      <c r="VJH28" s="252"/>
      <c r="VJI28" s="252"/>
      <c r="VJJ28" s="252"/>
      <c r="VJK28" s="252"/>
      <c r="VJL28" s="252"/>
      <c r="VJM28" s="252"/>
      <c r="VJN28" s="252"/>
      <c r="VJO28" s="252"/>
      <c r="VJP28" s="252"/>
      <c r="VJQ28" s="252"/>
      <c r="VJR28" s="252"/>
      <c r="VJS28" s="252"/>
      <c r="VJT28" s="252"/>
      <c r="VJU28" s="252"/>
      <c r="VJV28" s="252"/>
      <c r="VJW28" s="252"/>
      <c r="VJX28" s="252"/>
      <c r="VJY28" s="252"/>
      <c r="VJZ28" s="252"/>
      <c r="VKA28" s="252"/>
      <c r="VKB28" s="252"/>
      <c r="VKC28" s="252"/>
      <c r="VKD28" s="252"/>
      <c r="VKE28" s="252"/>
      <c r="VKF28" s="252"/>
      <c r="VKG28" s="252"/>
      <c r="VKH28" s="252"/>
      <c r="VKI28" s="252"/>
      <c r="VKJ28" s="252"/>
      <c r="VKK28" s="252"/>
      <c r="VKL28" s="252"/>
      <c r="VKM28" s="252"/>
      <c r="VKN28" s="252"/>
      <c r="VKO28" s="252"/>
      <c r="VKP28" s="252"/>
      <c r="VKQ28" s="252"/>
      <c r="VKR28" s="252"/>
      <c r="VKS28" s="252"/>
      <c r="VKT28" s="252"/>
      <c r="VKU28" s="252"/>
      <c r="VKV28" s="252"/>
      <c r="VKW28" s="252"/>
      <c r="VKX28" s="252"/>
      <c r="VKY28" s="252"/>
      <c r="VKZ28" s="252"/>
      <c r="VLA28" s="252"/>
      <c r="VLB28" s="252"/>
      <c r="VLC28" s="252"/>
      <c r="VLD28" s="252"/>
      <c r="VLE28" s="252"/>
      <c r="VLF28" s="252"/>
      <c r="VLG28" s="252"/>
      <c r="VLH28" s="252"/>
      <c r="VLI28" s="252"/>
      <c r="VLJ28" s="252"/>
      <c r="VLK28" s="252"/>
      <c r="VLL28" s="252"/>
      <c r="VLM28" s="252"/>
      <c r="VLN28" s="252"/>
      <c r="VLO28" s="252"/>
      <c r="VLP28" s="252"/>
      <c r="VLQ28" s="252"/>
      <c r="VLR28" s="252"/>
      <c r="VLS28" s="252"/>
      <c r="VLT28" s="252"/>
      <c r="VLU28" s="252"/>
      <c r="VLV28" s="252"/>
      <c r="VLW28" s="252"/>
      <c r="VLX28" s="252"/>
      <c r="VLY28" s="252"/>
      <c r="VLZ28" s="252"/>
      <c r="VMA28" s="252"/>
      <c r="VMB28" s="252"/>
      <c r="VMC28" s="252"/>
      <c r="VMD28" s="252"/>
      <c r="VME28" s="252"/>
      <c r="VMF28" s="252"/>
      <c r="VMG28" s="252"/>
      <c r="VMH28" s="252"/>
      <c r="VMI28" s="252"/>
      <c r="VMJ28" s="252"/>
      <c r="VMK28" s="252"/>
      <c r="VML28" s="252"/>
      <c r="VMM28" s="252"/>
      <c r="VMN28" s="252"/>
      <c r="VMO28" s="252"/>
      <c r="VMP28" s="252"/>
      <c r="VMQ28" s="252"/>
      <c r="VMR28" s="252"/>
      <c r="VMS28" s="252"/>
      <c r="VMT28" s="252"/>
      <c r="VMU28" s="252"/>
      <c r="VMV28" s="252"/>
      <c r="VMW28" s="252"/>
      <c r="VMX28" s="252"/>
      <c r="VMY28" s="252"/>
      <c r="VMZ28" s="252"/>
      <c r="VNA28" s="252"/>
      <c r="VNB28" s="252"/>
      <c r="VNC28" s="252"/>
      <c r="VND28" s="252"/>
      <c r="VNE28" s="252"/>
      <c r="VNF28" s="252"/>
      <c r="VNG28" s="252"/>
      <c r="VNH28" s="252"/>
      <c r="VNI28" s="252"/>
      <c r="VNJ28" s="252"/>
      <c r="VNK28" s="252"/>
      <c r="VNL28" s="252"/>
      <c r="VNM28" s="252"/>
      <c r="VNN28" s="252"/>
      <c r="VNO28" s="252"/>
      <c r="VNP28" s="252"/>
      <c r="VNQ28" s="252"/>
      <c r="VNR28" s="252"/>
      <c r="VNS28" s="252"/>
      <c r="VNT28" s="252"/>
      <c r="VNU28" s="252"/>
      <c r="VNV28" s="252"/>
      <c r="VNW28" s="252"/>
      <c r="VNX28" s="252"/>
      <c r="VNY28" s="252"/>
      <c r="VNZ28" s="252"/>
      <c r="VOA28" s="252"/>
      <c r="VOB28" s="252"/>
      <c r="VOC28" s="252"/>
      <c r="VOD28" s="252"/>
      <c r="VOE28" s="252"/>
      <c r="VOF28" s="252"/>
      <c r="VOG28" s="252"/>
      <c r="VOH28" s="252"/>
      <c r="VOI28" s="252"/>
      <c r="VOJ28" s="252"/>
      <c r="VOK28" s="252"/>
      <c r="VOL28" s="252"/>
      <c r="VOM28" s="252"/>
      <c r="VON28" s="252"/>
      <c r="VOO28" s="252"/>
      <c r="VOP28" s="252"/>
      <c r="VOQ28" s="252"/>
      <c r="VOR28" s="252"/>
      <c r="VOS28" s="252"/>
      <c r="VOT28" s="252"/>
      <c r="VOU28" s="252"/>
      <c r="VOV28" s="252"/>
      <c r="VOW28" s="252"/>
      <c r="VOX28" s="252"/>
      <c r="VOY28" s="252"/>
      <c r="VOZ28" s="252"/>
      <c r="VPA28" s="252"/>
      <c r="VPB28" s="252"/>
      <c r="VPC28" s="252"/>
      <c r="VPD28" s="252"/>
      <c r="VPE28" s="252"/>
      <c r="VPF28" s="252"/>
      <c r="VPG28" s="252"/>
      <c r="VPH28" s="252"/>
      <c r="VPI28" s="252"/>
      <c r="VPJ28" s="252"/>
      <c r="VPK28" s="252"/>
      <c r="VPL28" s="252"/>
      <c r="VPM28" s="252"/>
      <c r="VPN28" s="252"/>
      <c r="VPO28" s="252"/>
      <c r="VPP28" s="252"/>
      <c r="VPQ28" s="252"/>
      <c r="VPR28" s="252"/>
      <c r="VPS28" s="252"/>
      <c r="VPT28" s="252"/>
      <c r="VPU28" s="252"/>
      <c r="VPV28" s="252"/>
      <c r="VPW28" s="252"/>
      <c r="VPX28" s="252"/>
      <c r="VPY28" s="252"/>
      <c r="VPZ28" s="252"/>
      <c r="VQA28" s="252"/>
      <c r="VQB28" s="252"/>
      <c r="VQC28" s="252"/>
      <c r="VQD28" s="252"/>
      <c r="VQE28" s="252"/>
      <c r="VQF28" s="252"/>
      <c r="VQG28" s="252"/>
      <c r="VQH28" s="252"/>
      <c r="VQI28" s="252"/>
      <c r="VQJ28" s="252"/>
      <c r="VQK28" s="252"/>
      <c r="VQL28" s="252"/>
      <c r="VQM28" s="252"/>
      <c r="VQN28" s="252"/>
      <c r="VQO28" s="252"/>
      <c r="VQP28" s="252"/>
      <c r="VQQ28" s="252"/>
      <c r="VQR28" s="252"/>
      <c r="VQS28" s="252"/>
      <c r="VQT28" s="252"/>
      <c r="VQU28" s="252"/>
      <c r="VQV28" s="252"/>
      <c r="VQW28" s="252"/>
      <c r="VQX28" s="252"/>
      <c r="VQY28" s="252"/>
      <c r="VQZ28" s="252"/>
      <c r="VRA28" s="252"/>
      <c r="VRB28" s="252"/>
      <c r="VRC28" s="252"/>
      <c r="VRD28" s="252"/>
      <c r="VRE28" s="252"/>
      <c r="VRF28" s="252"/>
      <c r="VRG28" s="252"/>
      <c r="VRH28" s="252"/>
      <c r="VRI28" s="252"/>
      <c r="VRJ28" s="252"/>
      <c r="VRK28" s="252"/>
      <c r="VRL28" s="252"/>
      <c r="VRM28" s="252"/>
      <c r="VRN28" s="252"/>
      <c r="VRO28" s="252"/>
      <c r="VRP28" s="252"/>
      <c r="VRQ28" s="252"/>
      <c r="VRR28" s="252"/>
      <c r="VRS28" s="252"/>
      <c r="VRT28" s="252"/>
      <c r="VRU28" s="252"/>
      <c r="VRV28" s="252"/>
      <c r="VRW28" s="252"/>
      <c r="VRX28" s="252"/>
      <c r="VRY28" s="252"/>
      <c r="VRZ28" s="252"/>
      <c r="VSA28" s="252"/>
      <c r="VSB28" s="252"/>
      <c r="VSC28" s="252"/>
      <c r="VSD28" s="252"/>
      <c r="VSE28" s="252"/>
      <c r="VSF28" s="252"/>
      <c r="VSG28" s="252"/>
      <c r="VSH28" s="252"/>
      <c r="VSI28" s="252"/>
      <c r="VSJ28" s="252"/>
      <c r="VSK28" s="252"/>
      <c r="VSL28" s="252"/>
      <c r="VSM28" s="252"/>
      <c r="VSN28" s="252"/>
      <c r="VSO28" s="252"/>
      <c r="VSP28" s="252"/>
      <c r="VSQ28" s="252"/>
      <c r="VSR28" s="252"/>
      <c r="VSS28" s="252"/>
      <c r="VST28" s="252"/>
      <c r="VSU28" s="252"/>
      <c r="VSV28" s="252"/>
      <c r="VSW28" s="252"/>
      <c r="VSX28" s="252"/>
      <c r="VSY28" s="252"/>
      <c r="VSZ28" s="252"/>
      <c r="VTA28" s="252"/>
      <c r="VTB28" s="252"/>
      <c r="VTC28" s="252"/>
      <c r="VTD28" s="252"/>
      <c r="VTE28" s="252"/>
      <c r="VTF28" s="252"/>
      <c r="VTG28" s="252"/>
      <c r="VTH28" s="252"/>
      <c r="VTI28" s="252"/>
      <c r="VTJ28" s="252"/>
      <c r="VTK28" s="252"/>
      <c r="VTL28" s="252"/>
      <c r="VTM28" s="252"/>
      <c r="VTN28" s="252"/>
      <c r="VTO28" s="252"/>
      <c r="VTP28" s="252"/>
      <c r="VTQ28" s="252"/>
      <c r="VTR28" s="252"/>
      <c r="VTS28" s="252"/>
      <c r="VTT28" s="252"/>
      <c r="VTU28" s="252"/>
      <c r="VTV28" s="252"/>
      <c r="VTW28" s="252"/>
      <c r="VTX28" s="252"/>
      <c r="VTY28" s="252"/>
      <c r="VTZ28" s="252"/>
      <c r="VUA28" s="252"/>
      <c r="VUB28" s="252"/>
      <c r="VUC28" s="252"/>
      <c r="VUD28" s="252"/>
      <c r="VUE28" s="252"/>
      <c r="VUF28" s="252"/>
      <c r="VUG28" s="252"/>
      <c r="VUH28" s="252"/>
      <c r="VUI28" s="252"/>
      <c r="VUJ28" s="252"/>
      <c r="VUK28" s="252"/>
      <c r="VUL28" s="252"/>
      <c r="VUM28" s="252"/>
      <c r="VUN28" s="252"/>
      <c r="VUO28" s="252"/>
      <c r="VUP28" s="252"/>
      <c r="VUQ28" s="252"/>
      <c r="VUR28" s="252"/>
      <c r="VUS28" s="252"/>
      <c r="VUT28" s="252"/>
      <c r="VUU28" s="252"/>
      <c r="VUV28" s="252"/>
      <c r="VUW28" s="252"/>
      <c r="VUX28" s="252"/>
      <c r="VUY28" s="252"/>
      <c r="VUZ28" s="252"/>
      <c r="VVA28" s="252"/>
      <c r="VVB28" s="252"/>
      <c r="VVC28" s="252"/>
      <c r="VVD28" s="252"/>
      <c r="VVE28" s="252"/>
      <c r="VVF28" s="252"/>
      <c r="VVG28" s="252"/>
      <c r="VVH28" s="252"/>
      <c r="VVI28" s="252"/>
      <c r="VVJ28" s="252"/>
      <c r="VVK28" s="252"/>
      <c r="VVL28" s="252"/>
      <c r="VVM28" s="252"/>
      <c r="VVN28" s="252"/>
      <c r="VVO28" s="252"/>
      <c r="VVP28" s="252"/>
      <c r="VVQ28" s="252"/>
      <c r="VVR28" s="252"/>
      <c r="VVS28" s="252"/>
      <c r="VVT28" s="252"/>
      <c r="VVU28" s="252"/>
      <c r="VVV28" s="252"/>
      <c r="VVW28" s="252"/>
      <c r="VVX28" s="252"/>
      <c r="VVY28" s="252"/>
      <c r="VVZ28" s="252"/>
      <c r="VWA28" s="252"/>
      <c r="VWB28" s="252"/>
      <c r="VWC28" s="252"/>
      <c r="VWD28" s="252"/>
      <c r="VWE28" s="252"/>
      <c r="VWF28" s="252"/>
      <c r="VWG28" s="252"/>
      <c r="VWH28" s="252"/>
      <c r="VWI28" s="252"/>
      <c r="VWJ28" s="252"/>
      <c r="VWK28" s="252"/>
      <c r="VWL28" s="252"/>
      <c r="VWM28" s="252"/>
      <c r="VWN28" s="252"/>
      <c r="VWO28" s="252"/>
      <c r="VWP28" s="252"/>
      <c r="VWQ28" s="252"/>
      <c r="VWR28" s="252"/>
      <c r="VWS28" s="252"/>
      <c r="VWT28" s="252"/>
      <c r="VWU28" s="252"/>
      <c r="VWV28" s="252"/>
      <c r="VWW28" s="252"/>
      <c r="VWX28" s="252"/>
      <c r="VWY28" s="252"/>
      <c r="VWZ28" s="252"/>
      <c r="VXA28" s="252"/>
      <c r="VXB28" s="252"/>
      <c r="VXC28" s="252"/>
      <c r="VXD28" s="252"/>
      <c r="VXE28" s="252"/>
      <c r="VXF28" s="252"/>
      <c r="VXG28" s="252"/>
      <c r="VXH28" s="252"/>
      <c r="VXI28" s="252"/>
      <c r="VXJ28" s="252"/>
      <c r="VXK28" s="252"/>
      <c r="VXL28" s="252"/>
      <c r="VXM28" s="252"/>
      <c r="VXN28" s="252"/>
      <c r="VXO28" s="252"/>
      <c r="VXP28" s="252"/>
      <c r="VXQ28" s="252"/>
      <c r="VXR28" s="252"/>
      <c r="VXS28" s="252"/>
      <c r="VXT28" s="252"/>
      <c r="VXU28" s="252"/>
      <c r="VXV28" s="252"/>
      <c r="VXW28" s="252"/>
      <c r="VXX28" s="252"/>
      <c r="VXY28" s="252"/>
      <c r="VXZ28" s="252"/>
      <c r="VYA28" s="252"/>
      <c r="VYB28" s="252"/>
      <c r="VYC28" s="252"/>
      <c r="VYD28" s="252"/>
      <c r="VYE28" s="252"/>
      <c r="VYF28" s="252"/>
      <c r="VYG28" s="252"/>
      <c r="VYH28" s="252"/>
      <c r="VYI28" s="252"/>
      <c r="VYJ28" s="252"/>
      <c r="VYK28" s="252"/>
      <c r="VYL28" s="252"/>
      <c r="VYM28" s="252"/>
      <c r="VYN28" s="252"/>
      <c r="VYO28" s="252"/>
      <c r="VYP28" s="252"/>
      <c r="VYQ28" s="252"/>
      <c r="VYR28" s="252"/>
      <c r="VYS28" s="252"/>
      <c r="VYT28" s="252"/>
      <c r="VYU28" s="252"/>
      <c r="VYV28" s="252"/>
      <c r="VYW28" s="252"/>
      <c r="VYX28" s="252"/>
      <c r="VYY28" s="252"/>
      <c r="VYZ28" s="252"/>
      <c r="VZA28" s="252"/>
      <c r="VZB28" s="252"/>
      <c r="VZC28" s="252"/>
      <c r="VZD28" s="252"/>
      <c r="VZE28" s="252"/>
      <c r="VZF28" s="252"/>
      <c r="VZG28" s="252"/>
      <c r="VZH28" s="252"/>
      <c r="VZI28" s="252"/>
      <c r="VZJ28" s="252"/>
      <c r="VZK28" s="252"/>
      <c r="VZL28" s="252"/>
      <c r="VZM28" s="252"/>
      <c r="VZN28" s="252"/>
      <c r="VZO28" s="252"/>
      <c r="VZP28" s="252"/>
      <c r="VZQ28" s="252"/>
      <c r="VZR28" s="252"/>
      <c r="VZS28" s="252"/>
      <c r="VZT28" s="252"/>
      <c r="VZU28" s="252"/>
      <c r="VZV28" s="252"/>
      <c r="VZW28" s="252"/>
      <c r="VZX28" s="252"/>
      <c r="VZY28" s="252"/>
      <c r="VZZ28" s="252"/>
      <c r="WAA28" s="252"/>
      <c r="WAB28" s="252"/>
      <c r="WAC28" s="252"/>
      <c r="WAD28" s="252"/>
      <c r="WAE28" s="252"/>
      <c r="WAF28" s="252"/>
      <c r="WAG28" s="252"/>
      <c r="WAH28" s="252"/>
      <c r="WAI28" s="252"/>
      <c r="WAJ28" s="252"/>
      <c r="WAK28" s="252"/>
      <c r="WAL28" s="252"/>
      <c r="WAM28" s="252"/>
      <c r="WAN28" s="252"/>
      <c r="WAO28" s="252"/>
      <c r="WAP28" s="252"/>
      <c r="WAQ28" s="252"/>
      <c r="WAR28" s="252"/>
      <c r="WAS28" s="252"/>
      <c r="WAT28" s="252"/>
      <c r="WAU28" s="252"/>
      <c r="WAV28" s="252"/>
      <c r="WAW28" s="252"/>
      <c r="WAX28" s="252"/>
      <c r="WAY28" s="252"/>
      <c r="WAZ28" s="252"/>
      <c r="WBA28" s="252"/>
      <c r="WBB28" s="252"/>
      <c r="WBC28" s="252"/>
      <c r="WBD28" s="252"/>
      <c r="WBE28" s="252"/>
      <c r="WBF28" s="252"/>
      <c r="WBG28" s="252"/>
      <c r="WBH28" s="252"/>
      <c r="WBI28" s="252"/>
      <c r="WBJ28" s="252"/>
      <c r="WBK28" s="252"/>
      <c r="WBL28" s="252"/>
      <c r="WBM28" s="252"/>
      <c r="WBN28" s="252"/>
      <c r="WBO28" s="252"/>
      <c r="WBP28" s="252"/>
      <c r="WBQ28" s="252"/>
      <c r="WBR28" s="252"/>
      <c r="WBS28" s="252"/>
      <c r="WBT28" s="252"/>
      <c r="WBU28" s="252"/>
      <c r="WBV28" s="252"/>
      <c r="WBW28" s="252"/>
      <c r="WBX28" s="252"/>
      <c r="WBY28" s="252"/>
      <c r="WBZ28" s="252"/>
      <c r="WCA28" s="252"/>
      <c r="WCB28" s="252"/>
      <c r="WCC28" s="252"/>
      <c r="WCD28" s="252"/>
      <c r="WCE28" s="252"/>
      <c r="WCF28" s="252"/>
      <c r="WCG28" s="252"/>
      <c r="WCH28" s="252"/>
      <c r="WCI28" s="252"/>
      <c r="WCJ28" s="252"/>
      <c r="WCK28" s="252"/>
      <c r="WCL28" s="252"/>
      <c r="WCM28" s="252"/>
      <c r="WCN28" s="252"/>
      <c r="WCO28" s="252"/>
      <c r="WCP28" s="252"/>
      <c r="WCQ28" s="252"/>
      <c r="WCR28" s="252"/>
      <c r="WCS28" s="252"/>
      <c r="WCT28" s="252"/>
      <c r="WCU28" s="252"/>
      <c r="WCV28" s="252"/>
      <c r="WCW28" s="252"/>
      <c r="WCX28" s="252"/>
      <c r="WCY28" s="252"/>
      <c r="WCZ28" s="252"/>
      <c r="WDA28" s="252"/>
      <c r="WDB28" s="252"/>
      <c r="WDC28" s="252"/>
      <c r="WDD28" s="252"/>
      <c r="WDE28" s="252"/>
      <c r="WDF28" s="252"/>
      <c r="WDG28" s="252"/>
      <c r="WDH28" s="252"/>
      <c r="WDI28" s="252"/>
      <c r="WDJ28" s="252"/>
      <c r="WDK28" s="252"/>
      <c r="WDL28" s="252"/>
      <c r="WDM28" s="252"/>
      <c r="WDN28" s="252"/>
      <c r="WDO28" s="252"/>
      <c r="WDP28" s="252"/>
      <c r="WDQ28" s="252"/>
      <c r="WDR28" s="252"/>
      <c r="WDS28" s="252"/>
      <c r="WDT28" s="252"/>
      <c r="WDU28" s="252"/>
      <c r="WDV28" s="252"/>
      <c r="WDW28" s="252"/>
      <c r="WDX28" s="252"/>
      <c r="WDY28" s="252"/>
      <c r="WDZ28" s="252"/>
      <c r="WEA28" s="252"/>
      <c r="WEB28" s="252"/>
      <c r="WEC28" s="252"/>
      <c r="WED28" s="252"/>
      <c r="WEE28" s="252"/>
      <c r="WEF28" s="252"/>
      <c r="WEG28" s="252"/>
      <c r="WEH28" s="252"/>
      <c r="WEI28" s="252"/>
      <c r="WEJ28" s="252"/>
      <c r="WEK28" s="252"/>
      <c r="WEL28" s="252"/>
      <c r="WEM28" s="252"/>
      <c r="WEN28" s="252"/>
      <c r="WEO28" s="252"/>
      <c r="WEP28" s="252"/>
      <c r="WEQ28" s="252"/>
      <c r="WER28" s="252"/>
      <c r="WES28" s="252"/>
      <c r="WET28" s="252"/>
      <c r="WEU28" s="252"/>
      <c r="WEV28" s="252"/>
      <c r="WEW28" s="252"/>
      <c r="WEX28" s="252"/>
      <c r="WEY28" s="252"/>
      <c r="WEZ28" s="252"/>
      <c r="WFA28" s="252"/>
      <c r="WFB28" s="252"/>
      <c r="WFC28" s="252"/>
      <c r="WFD28" s="252"/>
      <c r="WFE28" s="252"/>
      <c r="WFF28" s="252"/>
      <c r="WFG28" s="252"/>
      <c r="WFH28" s="252"/>
      <c r="WFI28" s="252"/>
      <c r="WFJ28" s="252"/>
      <c r="WFK28" s="252"/>
      <c r="WFL28" s="252"/>
      <c r="WFM28" s="252"/>
      <c r="WFN28" s="252"/>
      <c r="WFO28" s="252"/>
      <c r="WFP28" s="252"/>
      <c r="WFQ28" s="252"/>
      <c r="WFR28" s="252"/>
      <c r="WFS28" s="252"/>
      <c r="WFT28" s="252"/>
      <c r="WFU28" s="252"/>
      <c r="WFV28" s="252"/>
      <c r="WFW28" s="252"/>
      <c r="WFX28" s="252"/>
      <c r="WFY28" s="252"/>
      <c r="WFZ28" s="252"/>
      <c r="WGA28" s="252"/>
      <c r="WGB28" s="252"/>
      <c r="WGC28" s="252"/>
      <c r="WGD28" s="252"/>
      <c r="WGE28" s="252"/>
      <c r="WGF28" s="252"/>
      <c r="WGG28" s="252"/>
      <c r="WGH28" s="252"/>
      <c r="WGI28" s="252"/>
      <c r="WGJ28" s="252"/>
      <c r="WGK28" s="252"/>
      <c r="WGL28" s="252"/>
      <c r="WGM28" s="252"/>
      <c r="WGN28" s="252"/>
      <c r="WGO28" s="252"/>
      <c r="WGP28" s="252"/>
      <c r="WGQ28" s="252"/>
      <c r="WGR28" s="252"/>
      <c r="WGS28" s="252"/>
      <c r="WGT28" s="252"/>
      <c r="WGU28" s="252"/>
      <c r="WGV28" s="252"/>
      <c r="WGW28" s="252"/>
      <c r="WGX28" s="252"/>
      <c r="WGY28" s="252"/>
      <c r="WGZ28" s="252"/>
      <c r="WHA28" s="252"/>
      <c r="WHB28" s="252"/>
      <c r="WHC28" s="252"/>
      <c r="WHD28" s="252"/>
      <c r="WHE28" s="252"/>
      <c r="WHF28" s="252"/>
      <c r="WHG28" s="252"/>
      <c r="WHH28" s="252"/>
      <c r="WHI28" s="252"/>
      <c r="WHJ28" s="252"/>
      <c r="WHK28" s="252"/>
      <c r="WHL28" s="252"/>
      <c r="WHM28" s="252"/>
      <c r="WHN28" s="252"/>
      <c r="WHO28" s="252"/>
      <c r="WHP28" s="252"/>
      <c r="WHQ28" s="252"/>
      <c r="WHR28" s="252"/>
      <c r="WHS28" s="252"/>
      <c r="WHT28" s="252"/>
      <c r="WHU28" s="252"/>
      <c r="WHV28" s="252"/>
      <c r="WHW28" s="252"/>
      <c r="WHX28" s="252"/>
      <c r="WHY28" s="252"/>
      <c r="WHZ28" s="252"/>
      <c r="WIA28" s="252"/>
      <c r="WIB28" s="252"/>
      <c r="WIC28" s="252"/>
      <c r="WID28" s="252"/>
      <c r="WIE28" s="252"/>
      <c r="WIF28" s="252"/>
      <c r="WIG28" s="252"/>
      <c r="WIH28" s="252"/>
      <c r="WII28" s="252"/>
      <c r="WIJ28" s="252"/>
      <c r="WIK28" s="252"/>
      <c r="WIL28" s="252"/>
      <c r="WIM28" s="252"/>
      <c r="WIN28" s="252"/>
      <c r="WIO28" s="252"/>
      <c r="WIP28" s="252"/>
      <c r="WIQ28" s="252"/>
      <c r="WIR28" s="252"/>
      <c r="WIS28" s="252"/>
      <c r="WIT28" s="252"/>
      <c r="WIU28" s="252"/>
      <c r="WIV28" s="252"/>
      <c r="WIW28" s="252"/>
      <c r="WIX28" s="252"/>
      <c r="WIY28" s="252"/>
      <c r="WIZ28" s="252"/>
      <c r="WJA28" s="252"/>
      <c r="WJB28" s="252"/>
      <c r="WJC28" s="252"/>
      <c r="WJD28" s="252"/>
      <c r="WJE28" s="252"/>
      <c r="WJF28" s="252"/>
      <c r="WJG28" s="252"/>
      <c r="WJH28" s="252"/>
      <c r="WJI28" s="252"/>
      <c r="WJJ28" s="252"/>
      <c r="WJK28" s="252"/>
      <c r="WJL28" s="252"/>
      <c r="WJM28" s="252"/>
      <c r="WJN28" s="252"/>
      <c r="WJO28" s="252"/>
      <c r="WJP28" s="252"/>
      <c r="WJQ28" s="252"/>
      <c r="WJR28" s="252"/>
      <c r="WJS28" s="252"/>
      <c r="WJT28" s="252"/>
      <c r="WJU28" s="252"/>
      <c r="WJV28" s="252"/>
      <c r="WJW28" s="252"/>
      <c r="WJX28" s="252"/>
      <c r="WJY28" s="252"/>
      <c r="WJZ28" s="252"/>
      <c r="WKA28" s="252"/>
      <c r="WKB28" s="252"/>
      <c r="WKC28" s="252"/>
      <c r="WKD28" s="252"/>
      <c r="WKE28" s="252"/>
      <c r="WKF28" s="252"/>
      <c r="WKG28" s="252"/>
      <c r="WKH28" s="252"/>
      <c r="WKI28" s="252"/>
      <c r="WKJ28" s="252"/>
      <c r="WKK28" s="252"/>
      <c r="WKL28" s="252"/>
      <c r="WKM28" s="252"/>
      <c r="WKN28" s="252"/>
      <c r="WKO28" s="252"/>
      <c r="WKP28" s="252"/>
      <c r="WKQ28" s="252"/>
      <c r="WKR28" s="252"/>
      <c r="WKS28" s="252"/>
      <c r="WKT28" s="252"/>
      <c r="WKU28" s="252"/>
      <c r="WKV28" s="252"/>
      <c r="WKW28" s="252"/>
      <c r="WKX28" s="252"/>
      <c r="WKY28" s="252"/>
      <c r="WKZ28" s="252"/>
      <c r="WLA28" s="252"/>
      <c r="WLB28" s="252"/>
      <c r="WLC28" s="252"/>
      <c r="WLD28" s="252"/>
      <c r="WLE28" s="252"/>
      <c r="WLF28" s="252"/>
      <c r="WLG28" s="252"/>
      <c r="WLH28" s="252"/>
      <c r="WLI28" s="252"/>
      <c r="WLJ28" s="252"/>
      <c r="WLK28" s="252"/>
      <c r="WLL28" s="252"/>
      <c r="WLM28" s="252"/>
      <c r="WLN28" s="252"/>
      <c r="WLO28" s="252"/>
      <c r="WLP28" s="252"/>
      <c r="WLQ28" s="252"/>
      <c r="WLR28" s="252"/>
      <c r="WLS28" s="252"/>
      <c r="WLT28" s="252"/>
      <c r="WLU28" s="252"/>
      <c r="WLV28" s="252"/>
      <c r="WLW28" s="252"/>
      <c r="WLX28" s="252"/>
      <c r="WLY28" s="252"/>
      <c r="WLZ28" s="252"/>
      <c r="WMA28" s="252"/>
      <c r="WMB28" s="252"/>
      <c r="WMC28" s="252"/>
      <c r="WMD28" s="252"/>
      <c r="WME28" s="252"/>
      <c r="WMF28" s="252"/>
      <c r="WMG28" s="252"/>
      <c r="WMH28" s="252"/>
      <c r="WMI28" s="252"/>
      <c r="WMJ28" s="252"/>
      <c r="WMK28" s="252"/>
      <c r="WML28" s="252"/>
      <c r="WMM28" s="252"/>
      <c r="WMN28" s="252"/>
      <c r="WMO28" s="252"/>
      <c r="WMP28" s="252"/>
      <c r="WMQ28" s="252"/>
      <c r="WMR28" s="252"/>
      <c r="WMS28" s="252"/>
      <c r="WMT28" s="252"/>
      <c r="WMU28" s="252"/>
      <c r="WMV28" s="252"/>
      <c r="WMW28" s="252"/>
      <c r="WMX28" s="252"/>
      <c r="WMY28" s="252"/>
      <c r="WMZ28" s="252"/>
      <c r="WNA28" s="252"/>
      <c r="WNB28" s="252"/>
      <c r="WNC28" s="252"/>
      <c r="WND28" s="252"/>
      <c r="WNE28" s="252"/>
      <c r="WNF28" s="252"/>
      <c r="WNG28" s="252"/>
      <c r="WNH28" s="252"/>
      <c r="WNI28" s="252"/>
      <c r="WNJ28" s="252"/>
      <c r="WNK28" s="252"/>
      <c r="WNL28" s="252"/>
      <c r="WNM28" s="252"/>
      <c r="WNN28" s="252"/>
      <c r="WNO28" s="252"/>
      <c r="WNP28" s="252"/>
      <c r="WNQ28" s="252"/>
      <c r="WNR28" s="252"/>
      <c r="WNS28" s="252"/>
      <c r="WNT28" s="252"/>
      <c r="WNU28" s="252"/>
      <c r="WNV28" s="252"/>
      <c r="WNW28" s="252"/>
      <c r="WNX28" s="252"/>
      <c r="WNY28" s="252"/>
      <c r="WNZ28" s="252"/>
      <c r="WOA28" s="252"/>
      <c r="WOB28" s="252"/>
      <c r="WOC28" s="252"/>
      <c r="WOD28" s="252"/>
      <c r="WOE28" s="252"/>
      <c r="WOF28" s="252"/>
      <c r="WOG28" s="252"/>
      <c r="WOH28" s="252"/>
      <c r="WOI28" s="252"/>
      <c r="WOJ28" s="252"/>
      <c r="WOK28" s="252"/>
      <c r="WOL28" s="252"/>
      <c r="WOM28" s="252"/>
      <c r="WON28" s="252"/>
      <c r="WOO28" s="252"/>
      <c r="WOP28" s="252"/>
      <c r="WOQ28" s="252"/>
      <c r="WOR28" s="252"/>
      <c r="WOS28" s="252"/>
      <c r="WOT28" s="252"/>
      <c r="WOU28" s="252"/>
      <c r="WOV28" s="252"/>
      <c r="WOW28" s="252"/>
      <c r="WOX28" s="252"/>
      <c r="WOY28" s="252"/>
      <c r="WOZ28" s="252"/>
      <c r="WPA28" s="252"/>
      <c r="WPB28" s="252"/>
      <c r="WPC28" s="252"/>
      <c r="WPD28" s="252"/>
      <c r="WPE28" s="252"/>
      <c r="WPF28" s="252"/>
      <c r="WPG28" s="252"/>
      <c r="WPH28" s="252"/>
      <c r="WPI28" s="252"/>
      <c r="WPJ28" s="252"/>
      <c r="WPK28" s="252"/>
      <c r="WPL28" s="252"/>
      <c r="WPM28" s="252"/>
      <c r="WPN28" s="252"/>
      <c r="WPO28" s="252"/>
      <c r="WPP28" s="252"/>
      <c r="WPQ28" s="252"/>
      <c r="WPR28" s="252"/>
      <c r="WPS28" s="252"/>
      <c r="WPT28" s="252"/>
      <c r="WPU28" s="252"/>
      <c r="WPV28" s="252"/>
      <c r="WPW28" s="252"/>
      <c r="WPX28" s="252"/>
      <c r="WPY28" s="252"/>
      <c r="WPZ28" s="252"/>
      <c r="WQA28" s="252"/>
      <c r="WQB28" s="252"/>
      <c r="WQC28" s="252"/>
      <c r="WQD28" s="252"/>
      <c r="WQE28" s="252"/>
      <c r="WQF28" s="252"/>
      <c r="WQG28" s="252"/>
      <c r="WQH28" s="252"/>
      <c r="WQI28" s="252"/>
      <c r="WQJ28" s="252"/>
      <c r="WQK28" s="252"/>
      <c r="WQL28" s="252"/>
      <c r="WQM28" s="252"/>
      <c r="WQN28" s="252"/>
      <c r="WQO28" s="252"/>
      <c r="WQP28" s="252"/>
      <c r="WQQ28" s="252"/>
      <c r="WQR28" s="252"/>
      <c r="WQS28" s="252"/>
      <c r="WQT28" s="252"/>
      <c r="WQU28" s="252"/>
      <c r="WQV28" s="252"/>
      <c r="WQW28" s="252"/>
      <c r="WQX28" s="252"/>
      <c r="WQY28" s="252"/>
      <c r="WQZ28" s="252"/>
      <c r="WRA28" s="252"/>
      <c r="WRB28" s="252"/>
      <c r="WRC28" s="252"/>
      <c r="WRD28" s="252"/>
      <c r="WRE28" s="252"/>
      <c r="WRF28" s="252"/>
      <c r="WRG28" s="252"/>
      <c r="WRH28" s="252"/>
      <c r="WRI28" s="252"/>
      <c r="WRJ28" s="252"/>
      <c r="WRK28" s="252"/>
      <c r="WRL28" s="252"/>
      <c r="WRM28" s="252"/>
      <c r="WRN28" s="252"/>
      <c r="WRO28" s="252"/>
      <c r="WRP28" s="252"/>
      <c r="WRQ28" s="252"/>
      <c r="WRR28" s="252"/>
      <c r="WRS28" s="252"/>
      <c r="WRT28" s="252"/>
      <c r="WRU28" s="252"/>
      <c r="WRV28" s="252"/>
      <c r="WRW28" s="252"/>
      <c r="WRX28" s="252"/>
      <c r="WRY28" s="252"/>
      <c r="WRZ28" s="252"/>
      <c r="WSA28" s="252"/>
      <c r="WSB28" s="252"/>
      <c r="WSC28" s="252"/>
      <c r="WSD28" s="252"/>
      <c r="WSE28" s="252"/>
      <c r="WSF28" s="252"/>
      <c r="WSG28" s="252"/>
      <c r="WSH28" s="252"/>
      <c r="WSI28" s="252"/>
      <c r="WSJ28" s="252"/>
      <c r="WSK28" s="252"/>
      <c r="WSL28" s="252"/>
      <c r="WSM28" s="252"/>
      <c r="WSN28" s="252"/>
      <c r="WSO28" s="252"/>
      <c r="WSP28" s="252"/>
      <c r="WSQ28" s="252"/>
      <c r="WSR28" s="252"/>
      <c r="WSS28" s="252"/>
      <c r="WST28" s="252"/>
      <c r="WSU28" s="252"/>
      <c r="WSV28" s="252"/>
      <c r="WSW28" s="252"/>
      <c r="WSX28" s="252"/>
      <c r="WSY28" s="252"/>
      <c r="WSZ28" s="252"/>
      <c r="WTA28" s="252"/>
      <c r="WTB28" s="252"/>
      <c r="WTC28" s="252"/>
      <c r="WTD28" s="252"/>
      <c r="WTE28" s="252"/>
      <c r="WTF28" s="252"/>
      <c r="WTG28" s="252"/>
      <c r="WTH28" s="252"/>
      <c r="WTI28" s="252"/>
      <c r="WTJ28" s="252"/>
      <c r="WTK28" s="252"/>
      <c r="WTL28" s="252"/>
      <c r="WTM28" s="252"/>
      <c r="WTN28" s="252"/>
      <c r="WTO28" s="252"/>
      <c r="WTP28" s="252"/>
      <c r="WTQ28" s="252"/>
      <c r="WTR28" s="252"/>
      <c r="WTS28" s="252"/>
      <c r="WTT28" s="252"/>
      <c r="WTU28" s="252"/>
      <c r="WTV28" s="252"/>
      <c r="WTW28" s="252"/>
      <c r="WTX28" s="252"/>
      <c r="WTY28" s="252"/>
      <c r="WTZ28" s="252"/>
      <c r="WUA28" s="252"/>
      <c r="WUB28" s="252"/>
      <c r="WUC28" s="252"/>
      <c r="WUD28" s="252"/>
      <c r="WUE28" s="252"/>
      <c r="WUF28" s="252"/>
      <c r="WUG28" s="252"/>
      <c r="WUH28" s="252"/>
      <c r="WUI28" s="252"/>
      <c r="WUJ28" s="252"/>
      <c r="WUK28" s="252"/>
      <c r="WUL28" s="252"/>
      <c r="WUM28" s="252"/>
      <c r="WUN28" s="252"/>
      <c r="WUO28" s="252"/>
      <c r="WUP28" s="252"/>
      <c r="WUQ28" s="252"/>
      <c r="WUR28" s="252"/>
      <c r="WUS28" s="252"/>
      <c r="WUT28" s="252"/>
      <c r="WUU28" s="252"/>
      <c r="WUV28" s="252"/>
      <c r="WUW28" s="252"/>
      <c r="WUX28" s="252"/>
      <c r="WUY28" s="252"/>
      <c r="WUZ28" s="252"/>
      <c r="WVA28" s="252"/>
      <c r="WVB28" s="252"/>
      <c r="WVC28" s="252"/>
      <c r="WVD28" s="252"/>
      <c r="WVE28" s="252"/>
      <c r="WVF28" s="252"/>
      <c r="WVG28" s="252"/>
      <c r="WVH28" s="252"/>
      <c r="WVI28" s="252"/>
      <c r="WVJ28" s="252"/>
      <c r="WVK28" s="252"/>
      <c r="WVL28" s="252"/>
      <c r="WVM28" s="252"/>
      <c r="WVN28" s="252"/>
      <c r="WVO28" s="252"/>
      <c r="WVP28" s="252"/>
      <c r="WVQ28" s="252"/>
      <c r="WVR28" s="252"/>
      <c r="WVS28" s="252"/>
      <c r="WVT28" s="252"/>
      <c r="WVU28" s="252"/>
      <c r="WVV28" s="252"/>
      <c r="WVW28" s="252"/>
      <c r="WVX28" s="252"/>
      <c r="WVY28" s="252"/>
      <c r="WVZ28" s="252"/>
      <c r="WWA28" s="252"/>
      <c r="WWB28" s="252"/>
      <c r="WWC28" s="252"/>
      <c r="WWD28" s="252"/>
      <c r="WWE28" s="252"/>
      <c r="WWF28" s="252"/>
      <c r="WWG28" s="252"/>
      <c r="WWH28" s="252"/>
      <c r="WWI28" s="252"/>
      <c r="WWJ28" s="252"/>
      <c r="WWK28" s="252"/>
      <c r="WWL28" s="252"/>
      <c r="WWM28" s="252"/>
      <c r="WWN28" s="252"/>
      <c r="WWO28" s="252"/>
      <c r="WWP28" s="252"/>
      <c r="WWQ28" s="252"/>
      <c r="WWR28" s="252"/>
      <c r="WWS28" s="252"/>
      <c r="WWT28" s="252"/>
      <c r="WWU28" s="252"/>
      <c r="WWV28" s="252"/>
      <c r="WWW28" s="252"/>
      <c r="WWX28" s="252"/>
      <c r="WWY28" s="252"/>
      <c r="WWZ28" s="252"/>
      <c r="WXA28" s="252"/>
      <c r="WXB28" s="252"/>
      <c r="WXC28" s="252"/>
      <c r="WXD28" s="252"/>
      <c r="WXE28" s="252"/>
      <c r="WXF28" s="252"/>
      <c r="WXG28" s="252"/>
      <c r="WXH28" s="252"/>
      <c r="WXI28" s="252"/>
      <c r="WXJ28" s="252"/>
      <c r="WXK28" s="252"/>
      <c r="WXL28" s="252"/>
      <c r="WXM28" s="252"/>
      <c r="WXN28" s="252"/>
      <c r="WXO28" s="252"/>
      <c r="WXP28" s="252"/>
      <c r="WXQ28" s="252"/>
      <c r="WXR28" s="252"/>
      <c r="WXS28" s="252"/>
      <c r="WXT28" s="252"/>
      <c r="WXU28" s="252"/>
      <c r="WXV28" s="252"/>
      <c r="WXW28" s="252"/>
      <c r="WXX28" s="252"/>
      <c r="WXY28" s="252"/>
      <c r="WXZ28" s="252"/>
      <c r="WYA28" s="252"/>
      <c r="WYB28" s="252"/>
      <c r="WYC28" s="252"/>
      <c r="WYD28" s="252"/>
      <c r="WYE28" s="252"/>
      <c r="WYF28" s="252"/>
      <c r="WYG28" s="252"/>
      <c r="WYH28" s="252"/>
      <c r="WYI28" s="252"/>
      <c r="WYJ28" s="252"/>
      <c r="WYK28" s="252"/>
      <c r="WYL28" s="252"/>
      <c r="WYM28" s="252"/>
      <c r="WYN28" s="252"/>
      <c r="WYO28" s="252"/>
      <c r="WYP28" s="252"/>
      <c r="WYQ28" s="252"/>
      <c r="WYR28" s="252"/>
      <c r="WYS28" s="252"/>
      <c r="WYT28" s="252"/>
      <c r="WYU28" s="252"/>
      <c r="WYV28" s="252"/>
      <c r="WYW28" s="252"/>
      <c r="WYX28" s="252"/>
      <c r="WYY28" s="252"/>
      <c r="WYZ28" s="252"/>
      <c r="WZA28" s="252"/>
      <c r="WZB28" s="252"/>
      <c r="WZC28" s="252"/>
      <c r="WZD28" s="252"/>
      <c r="WZE28" s="252"/>
      <c r="WZF28" s="252"/>
      <c r="WZG28" s="252"/>
      <c r="WZH28" s="252"/>
      <c r="WZI28" s="252"/>
      <c r="WZJ28" s="252"/>
      <c r="WZK28" s="252"/>
      <c r="WZL28" s="252"/>
      <c r="WZM28" s="252"/>
      <c r="WZN28" s="252"/>
      <c r="WZO28" s="252"/>
      <c r="WZP28" s="252"/>
      <c r="WZQ28" s="252"/>
      <c r="WZR28" s="252"/>
      <c r="WZS28" s="252"/>
      <c r="WZT28" s="252"/>
      <c r="WZU28" s="252"/>
      <c r="WZV28" s="252"/>
      <c r="WZW28" s="252"/>
      <c r="WZX28" s="252"/>
      <c r="WZY28" s="252"/>
      <c r="WZZ28" s="252"/>
      <c r="XAA28" s="252"/>
      <c r="XAB28" s="252"/>
      <c r="XAC28" s="252"/>
      <c r="XAD28" s="252"/>
      <c r="XAE28" s="252"/>
      <c r="XAF28" s="252"/>
      <c r="XAG28" s="252"/>
      <c r="XAH28" s="252"/>
      <c r="XAI28" s="252"/>
      <c r="XAJ28" s="252"/>
      <c r="XAK28" s="252"/>
      <c r="XAL28" s="252"/>
      <c r="XAM28" s="252"/>
      <c r="XAN28" s="252"/>
      <c r="XAO28" s="252"/>
      <c r="XAP28" s="252"/>
      <c r="XAQ28" s="252"/>
      <c r="XAR28" s="252"/>
      <c r="XAS28" s="252"/>
      <c r="XAT28" s="252"/>
      <c r="XAU28" s="252"/>
      <c r="XAV28" s="252"/>
      <c r="XAW28" s="252"/>
      <c r="XAX28" s="252"/>
      <c r="XAY28" s="252"/>
      <c r="XAZ28" s="252"/>
      <c r="XBA28" s="252"/>
      <c r="XBB28" s="252"/>
      <c r="XBC28" s="252"/>
      <c r="XBD28" s="252"/>
      <c r="XBE28" s="252"/>
      <c r="XBF28" s="252"/>
      <c r="XBG28" s="252"/>
      <c r="XBH28" s="252"/>
      <c r="XBI28" s="252"/>
      <c r="XBJ28" s="252"/>
      <c r="XBK28" s="252"/>
      <c r="XBL28" s="252"/>
      <c r="XBM28" s="252"/>
      <c r="XBN28" s="252"/>
      <c r="XBO28" s="252"/>
      <c r="XBP28" s="252"/>
      <c r="XBQ28" s="252"/>
      <c r="XBR28" s="252"/>
      <c r="XBS28" s="252"/>
      <c r="XBT28" s="252"/>
      <c r="XBU28" s="252"/>
      <c r="XBV28" s="252"/>
      <c r="XBW28" s="252"/>
      <c r="XBX28" s="252"/>
      <c r="XBY28" s="252"/>
      <c r="XBZ28" s="252"/>
      <c r="XCA28" s="252"/>
      <c r="XCB28" s="252"/>
      <c r="XCC28" s="252"/>
      <c r="XCD28" s="252"/>
      <c r="XCE28" s="252"/>
      <c r="XCF28" s="252"/>
      <c r="XCG28" s="252"/>
      <c r="XCH28" s="252"/>
      <c r="XCI28" s="252"/>
      <c r="XCJ28" s="252"/>
      <c r="XCK28" s="252"/>
      <c r="XCL28" s="252"/>
      <c r="XCM28" s="252"/>
      <c r="XCN28" s="252"/>
      <c r="XCO28" s="252"/>
      <c r="XCP28" s="252"/>
      <c r="XCQ28" s="252"/>
      <c r="XCR28" s="252"/>
      <c r="XCS28" s="252"/>
      <c r="XCT28" s="252"/>
      <c r="XCU28" s="252"/>
      <c r="XCV28" s="252"/>
      <c r="XCW28" s="252"/>
      <c r="XCX28" s="252"/>
      <c r="XCY28" s="252"/>
      <c r="XCZ28" s="252"/>
      <c r="XDA28" s="252"/>
      <c r="XDB28" s="252"/>
      <c r="XDC28" s="252"/>
      <c r="XDD28" s="252"/>
      <c r="XDE28" s="252"/>
      <c r="XDF28" s="252"/>
      <c r="XDG28" s="252"/>
      <c r="XDH28" s="252"/>
      <c r="XDI28" s="252"/>
      <c r="XDJ28" s="252"/>
      <c r="XDK28" s="252"/>
      <c r="XDL28" s="252"/>
      <c r="XDM28" s="252"/>
      <c r="XDN28" s="252"/>
      <c r="XDO28" s="252"/>
      <c r="XDP28" s="252"/>
      <c r="XDQ28" s="252"/>
      <c r="XDR28" s="252"/>
      <c r="XDS28" s="252"/>
      <c r="XDT28" s="252"/>
      <c r="XDU28" s="252"/>
      <c r="XDV28" s="252"/>
      <c r="XDW28" s="252"/>
      <c r="XDX28" s="252"/>
      <c r="XDY28" s="252"/>
      <c r="XDZ28" s="252"/>
      <c r="XEA28" s="252"/>
      <c r="XEB28" s="252"/>
      <c r="XEC28" s="252"/>
      <c r="XED28" s="252"/>
      <c r="XEE28" s="252"/>
      <c r="XEF28" s="252"/>
      <c r="XEG28" s="252"/>
      <c r="XEH28" s="252"/>
      <c r="XEI28" s="252"/>
      <c r="XEJ28" s="252"/>
      <c r="XEK28" s="252"/>
      <c r="XEL28" s="252"/>
      <c r="XEM28" s="252"/>
      <c r="XEN28" s="252"/>
      <c r="XEO28" s="252"/>
      <c r="XEP28" s="252"/>
      <c r="XEQ28" s="252"/>
      <c r="XER28" s="252"/>
      <c r="XES28" s="252"/>
      <c r="XET28" s="252"/>
      <c r="XEU28" s="252"/>
      <c r="XEV28" s="252"/>
      <c r="XEW28" s="252"/>
      <c r="XEX28" s="252"/>
      <c r="XEY28" s="252"/>
      <c r="XEZ28" s="252"/>
      <c r="XFA28" s="252"/>
      <c r="XFB28" s="252"/>
    </row>
    <row r="29" spans="1:16382" s="12" customFormat="1" ht="49.5" customHeight="1">
      <c r="A29" s="13" t="s">
        <v>0</v>
      </c>
      <c r="B29" s="14" t="s">
        <v>1</v>
      </c>
      <c r="C29" s="34" t="s">
        <v>2</v>
      </c>
      <c r="D29" s="23" t="s">
        <v>746</v>
      </c>
      <c r="E29" s="23" t="s">
        <v>464</v>
      </c>
      <c r="F29" s="35" t="s">
        <v>716</v>
      </c>
      <c r="G29" s="33"/>
      <c r="H29" s="29"/>
      <c r="I29"/>
      <c r="J29"/>
      <c r="K29" s="125"/>
      <c r="L29"/>
      <c r="M29"/>
      <c r="N29"/>
    </row>
    <row r="30" spans="1:16382" s="11" customFormat="1" ht="49.5" customHeight="1">
      <c r="A30" s="15">
        <v>1</v>
      </c>
      <c r="B30" s="16" t="s">
        <v>4</v>
      </c>
      <c r="C30" s="36" t="s">
        <v>5</v>
      </c>
      <c r="D30" s="24">
        <v>344000000</v>
      </c>
      <c r="E30" s="24">
        <f>ROUND(((100%+$H$27)*D30)*(100%+$H$28),-6)</f>
        <v>413000000</v>
      </c>
      <c r="F30" s="37" t="str">
        <f>LEFT(B30,8)&amp;"00"</f>
        <v>2160010300</v>
      </c>
      <c r="G30" s="33"/>
      <c r="H30" s="29"/>
      <c r="I30" s="80">
        <v>21</v>
      </c>
      <c r="J30"/>
      <c r="K30" s="125"/>
      <c r="L30"/>
      <c r="M30"/>
      <c r="N30"/>
    </row>
    <row r="31" spans="1:16382" s="11" customFormat="1" ht="49.5" customHeight="1">
      <c r="A31" s="15">
        <v>2</v>
      </c>
      <c r="B31" s="16" t="s">
        <v>261</v>
      </c>
      <c r="C31" s="36" t="s">
        <v>259</v>
      </c>
      <c r="D31" s="24" t="s">
        <v>260</v>
      </c>
      <c r="E31" s="24" t="s">
        <v>260</v>
      </c>
      <c r="F31" s="38"/>
      <c r="G31" s="33"/>
      <c r="H31" s="29"/>
      <c r="I31" s="80">
        <v>22</v>
      </c>
      <c r="J31"/>
      <c r="K31" s="125"/>
      <c r="L31"/>
      <c r="M31"/>
      <c r="N31"/>
    </row>
    <row r="32" spans="1:16382" s="11" customFormat="1" ht="49.5" customHeight="1">
      <c r="A32" s="253" t="s">
        <v>158</v>
      </c>
      <c r="B32" s="253"/>
      <c r="C32" s="253"/>
      <c r="D32" s="253"/>
      <c r="E32" s="31"/>
      <c r="F32" s="32"/>
      <c r="G32" s="33"/>
      <c r="H32" s="29"/>
      <c r="I32"/>
      <c r="J32"/>
      <c r="K32" s="125"/>
      <c r="L32"/>
      <c r="M32"/>
      <c r="N32"/>
    </row>
    <row r="33" spans="1:14" s="12" customFormat="1" ht="49.5" customHeight="1">
      <c r="A33" s="13" t="s">
        <v>0</v>
      </c>
      <c r="B33" s="14" t="s">
        <v>1</v>
      </c>
      <c r="C33" s="34" t="s">
        <v>2</v>
      </c>
      <c r="D33" s="23" t="s">
        <v>746</v>
      </c>
      <c r="E33" s="23" t="s">
        <v>464</v>
      </c>
      <c r="F33" s="35" t="s">
        <v>716</v>
      </c>
      <c r="G33" s="33"/>
      <c r="H33" s="29"/>
      <c r="I33"/>
      <c r="J33"/>
      <c r="K33" s="125"/>
      <c r="L33"/>
      <c r="M33"/>
      <c r="N33"/>
    </row>
    <row r="34" spans="1:14" s="11" customFormat="1" ht="49.5" customHeight="1">
      <c r="A34" s="15">
        <v>1</v>
      </c>
      <c r="B34" s="16" t="s">
        <v>159</v>
      </c>
      <c r="C34" s="36" t="s">
        <v>719</v>
      </c>
      <c r="D34" s="24">
        <v>951400000</v>
      </c>
      <c r="E34" s="24">
        <f>E44+(11.5*$H$41)</f>
        <v>1123000000</v>
      </c>
      <c r="F34" s="37" t="str">
        <f>LEFT(B34,8)&amp;"00"</f>
        <v>2110030300</v>
      </c>
      <c r="G34" s="33"/>
      <c r="H34" s="29"/>
      <c r="I34" s="81">
        <v>23</v>
      </c>
      <c r="J34"/>
      <c r="K34" s="125"/>
      <c r="L34"/>
      <c r="M34"/>
      <c r="N34"/>
    </row>
    <row r="35" spans="1:14" s="11" customFormat="1" ht="49.5" customHeight="1">
      <c r="A35" s="15">
        <f>A34+1</f>
        <v>2</v>
      </c>
      <c r="B35" s="16" t="s">
        <v>257</v>
      </c>
      <c r="C35" s="36" t="s">
        <v>720</v>
      </c>
      <c r="D35" s="24">
        <v>727400000</v>
      </c>
      <c r="E35" s="24">
        <f>E45+(9.5*$H$41)</f>
        <v>858000000</v>
      </c>
      <c r="F35" s="37" t="str">
        <f t="shared" ref="F35:F38" si="4">LEFT(B35,8)&amp;"00"</f>
        <v>2110030200</v>
      </c>
      <c r="G35" s="33"/>
      <c r="H35" s="29"/>
      <c r="I35" s="81">
        <v>24</v>
      </c>
      <c r="J35"/>
      <c r="K35" s="125"/>
      <c r="L35"/>
      <c r="M35"/>
      <c r="N35"/>
    </row>
    <row r="36" spans="1:14" s="12" customFormat="1" ht="49.5" customHeight="1">
      <c r="A36" s="15">
        <f t="shared" ref="A36:A41" si="5">A35+1</f>
        <v>3</v>
      </c>
      <c r="B36" s="16" t="s">
        <v>160</v>
      </c>
      <c r="C36" s="36" t="s">
        <v>721</v>
      </c>
      <c r="D36" s="24">
        <v>429600000</v>
      </c>
      <c r="E36" s="24">
        <f>E46+(3.8*$H$41)</f>
        <v>509000000</v>
      </c>
      <c r="F36" s="37" t="str">
        <f t="shared" si="4"/>
        <v>2110030100</v>
      </c>
      <c r="G36" s="33"/>
      <c r="H36" s="29"/>
      <c r="I36" s="81">
        <v>25</v>
      </c>
      <c r="J36"/>
      <c r="K36" s="125"/>
      <c r="L36"/>
      <c r="M36"/>
      <c r="N36"/>
    </row>
    <row r="37" spans="1:14" s="11" customFormat="1" ht="49.5" customHeight="1">
      <c r="A37" s="15">
        <f t="shared" si="5"/>
        <v>4</v>
      </c>
      <c r="B37" s="16" t="s">
        <v>161</v>
      </c>
      <c r="C37" s="36" t="s">
        <v>162</v>
      </c>
      <c r="D37" s="24">
        <v>480000000</v>
      </c>
      <c r="E37" s="24">
        <f>ROUND(((100%+$H$42)*D37)*(100%+$H$43),-6)</f>
        <v>576000000</v>
      </c>
      <c r="F37" s="37" t="str">
        <f t="shared" si="4"/>
        <v>2110030500</v>
      </c>
      <c r="G37" s="33"/>
      <c r="H37" s="29"/>
      <c r="I37" s="81">
        <v>26</v>
      </c>
      <c r="J37"/>
      <c r="K37" s="125"/>
      <c r="L37"/>
      <c r="M37"/>
      <c r="N37"/>
    </row>
    <row r="38" spans="1:14" s="11" customFormat="1" ht="49.5" customHeight="1">
      <c r="A38" s="15">
        <f t="shared" si="5"/>
        <v>5</v>
      </c>
      <c r="B38" s="16" t="s">
        <v>163</v>
      </c>
      <c r="C38" s="36" t="s">
        <v>164</v>
      </c>
      <c r="D38" s="24">
        <v>366700000</v>
      </c>
      <c r="E38" s="24">
        <f>ROUND(((100%+$H$42)*D38)*(100%+$H$43),-6)</f>
        <v>440000000</v>
      </c>
      <c r="F38" s="37" t="str">
        <f t="shared" si="4"/>
        <v>2110030600</v>
      </c>
      <c r="G38" s="33"/>
      <c r="H38" s="29"/>
      <c r="I38" s="81">
        <v>27</v>
      </c>
      <c r="J38"/>
      <c r="K38" s="125"/>
      <c r="L38"/>
      <c r="M38"/>
      <c r="N38"/>
    </row>
    <row r="39" spans="1:14" s="11" customFormat="1" ht="49.5" customHeight="1">
      <c r="A39" s="15">
        <f t="shared" si="5"/>
        <v>6</v>
      </c>
      <c r="B39" s="16"/>
      <c r="C39" s="36" t="s">
        <v>265</v>
      </c>
      <c r="D39" s="24" t="s">
        <v>262</v>
      </c>
      <c r="E39" s="24" t="s">
        <v>262</v>
      </c>
      <c r="F39" s="38"/>
      <c r="G39" s="33"/>
      <c r="H39" s="29"/>
      <c r="I39" s="81">
        <v>28</v>
      </c>
      <c r="J39"/>
      <c r="K39" s="125"/>
      <c r="L39"/>
      <c r="M39"/>
      <c r="N39"/>
    </row>
    <row r="40" spans="1:14" s="11" customFormat="1" ht="49.5" customHeight="1">
      <c r="A40" s="15">
        <f t="shared" si="5"/>
        <v>7</v>
      </c>
      <c r="B40" s="16"/>
      <c r="C40" s="36" t="s">
        <v>266</v>
      </c>
      <c r="D40" s="24" t="s">
        <v>263</v>
      </c>
      <c r="E40" s="24" t="s">
        <v>263</v>
      </c>
      <c r="F40" s="38"/>
      <c r="G40" s="33"/>
      <c r="H40" s="29"/>
      <c r="I40" s="81">
        <v>29</v>
      </c>
      <c r="J40"/>
      <c r="K40" s="125"/>
      <c r="L40"/>
      <c r="M40"/>
      <c r="N40"/>
    </row>
    <row r="41" spans="1:14" s="11" customFormat="1" ht="49.5" customHeight="1">
      <c r="A41" s="15">
        <f t="shared" si="5"/>
        <v>8</v>
      </c>
      <c r="B41" s="16"/>
      <c r="C41" s="36" t="s">
        <v>267</v>
      </c>
      <c r="D41" s="24" t="s">
        <v>264</v>
      </c>
      <c r="E41" s="24" t="s">
        <v>264</v>
      </c>
      <c r="F41" s="38"/>
      <c r="G41" s="112" t="s">
        <v>698</v>
      </c>
      <c r="H41" s="113">
        <v>20000000</v>
      </c>
      <c r="I41" s="81">
        <v>30</v>
      </c>
      <c r="J41"/>
      <c r="K41" s="125"/>
      <c r="L41"/>
      <c r="M41"/>
      <c r="N41"/>
    </row>
    <row r="42" spans="1:14" s="11" customFormat="1" ht="49.5" customHeight="1">
      <c r="A42" s="253" t="s">
        <v>165</v>
      </c>
      <c r="B42" s="253"/>
      <c r="C42" s="253"/>
      <c r="D42" s="253"/>
      <c r="E42" s="31"/>
      <c r="F42" s="32"/>
      <c r="G42" s="112" t="s">
        <v>696</v>
      </c>
      <c r="H42" s="114">
        <v>0.2</v>
      </c>
      <c r="I42"/>
      <c r="J42"/>
      <c r="K42" s="125"/>
      <c r="L42"/>
      <c r="M42"/>
      <c r="N42"/>
    </row>
    <row r="43" spans="1:14" s="11" customFormat="1" ht="49.5" customHeight="1">
      <c r="A43" s="13" t="s">
        <v>0</v>
      </c>
      <c r="B43" s="14" t="s">
        <v>1</v>
      </c>
      <c r="C43" s="34" t="s">
        <v>2</v>
      </c>
      <c r="D43" s="23" t="s">
        <v>746</v>
      </c>
      <c r="E43" s="23" t="s">
        <v>464</v>
      </c>
      <c r="F43" s="35" t="s">
        <v>716</v>
      </c>
      <c r="G43" s="112" t="s">
        <v>697</v>
      </c>
      <c r="H43" s="114">
        <v>0</v>
      </c>
      <c r="I43"/>
      <c r="J43"/>
      <c r="K43" s="125"/>
      <c r="L43"/>
      <c r="M43"/>
      <c r="N43"/>
    </row>
    <row r="44" spans="1:14" s="11" customFormat="1" ht="49.5" customHeight="1">
      <c r="A44" s="15">
        <v>1</v>
      </c>
      <c r="B44" s="16" t="s">
        <v>159</v>
      </c>
      <c r="C44" s="36" t="s">
        <v>719</v>
      </c>
      <c r="D44" s="24">
        <v>744400000</v>
      </c>
      <c r="E44" s="24">
        <f>ROUND(((100%+$H$42)*D44)*(100%+$H$43),-6)</f>
        <v>893000000</v>
      </c>
      <c r="F44" s="37" t="str">
        <f>LEFT(B44,8)&amp;"00"</f>
        <v>2110030300</v>
      </c>
      <c r="G44" s="33"/>
      <c r="H44" s="29"/>
      <c r="I44" s="81">
        <v>31</v>
      </c>
      <c r="J44"/>
      <c r="K44" s="125"/>
      <c r="L44"/>
      <c r="M44"/>
      <c r="N44"/>
    </row>
    <row r="45" spans="1:14" s="11" customFormat="1" ht="49.5" customHeight="1">
      <c r="A45" s="15">
        <f>A44+1</f>
        <v>2</v>
      </c>
      <c r="B45" s="16" t="s">
        <v>257</v>
      </c>
      <c r="C45" s="36" t="s">
        <v>720</v>
      </c>
      <c r="D45" s="24">
        <v>556400000</v>
      </c>
      <c r="E45" s="24">
        <f>ROUND(((100%+$H$42)*D45)*(100%+$H$43),-6)</f>
        <v>668000000</v>
      </c>
      <c r="F45" s="37" t="str">
        <f t="shared" ref="F45:F47" si="6">LEFT(B45,8)&amp;"00"</f>
        <v>2110030200</v>
      </c>
      <c r="G45" s="33"/>
      <c r="H45" s="29"/>
      <c r="I45" s="81">
        <v>32</v>
      </c>
      <c r="J45"/>
      <c r="K45" s="125"/>
      <c r="L45"/>
      <c r="M45"/>
      <c r="N45"/>
    </row>
    <row r="46" spans="1:14" s="11" customFormat="1" ht="49.5" customHeight="1">
      <c r="A46" s="15">
        <f t="shared" ref="A46:A51" si="7">A45+1</f>
        <v>3</v>
      </c>
      <c r="B46" s="16" t="s">
        <v>160</v>
      </c>
      <c r="C46" s="36" t="s">
        <v>721</v>
      </c>
      <c r="D46" s="24">
        <v>361200000</v>
      </c>
      <c r="E46" s="24">
        <f>ROUND(((100%+$H$42)*D46)*(100%+$H$43),-6)</f>
        <v>433000000</v>
      </c>
      <c r="F46" s="37" t="str">
        <f t="shared" si="6"/>
        <v>2110030100</v>
      </c>
      <c r="G46" s="33"/>
      <c r="H46" s="29"/>
      <c r="I46" s="81">
        <v>33</v>
      </c>
      <c r="J46"/>
      <c r="K46" s="125"/>
      <c r="L46"/>
      <c r="M46"/>
      <c r="N46"/>
    </row>
    <row r="47" spans="1:14" s="11" customFormat="1" ht="49.5" customHeight="1">
      <c r="A47" s="15">
        <f t="shared" si="7"/>
        <v>4</v>
      </c>
      <c r="B47" s="16" t="s">
        <v>161</v>
      </c>
      <c r="C47" s="36" t="s">
        <v>162</v>
      </c>
      <c r="D47" s="24">
        <v>480000000</v>
      </c>
      <c r="E47" s="24">
        <f>ROUND(((100%+$H$42)*D47)*(100%+$H$43),-6)</f>
        <v>576000000</v>
      </c>
      <c r="F47" s="37" t="str">
        <f t="shared" si="6"/>
        <v>2110030500</v>
      </c>
      <c r="G47" s="33"/>
      <c r="H47" s="29"/>
      <c r="I47" s="81">
        <v>34</v>
      </c>
      <c r="J47"/>
      <c r="K47" s="125"/>
      <c r="L47"/>
      <c r="M47"/>
      <c r="N47"/>
    </row>
    <row r="48" spans="1:14" s="11" customFormat="1" ht="49.5" customHeight="1">
      <c r="A48" s="15">
        <f t="shared" si="7"/>
        <v>5</v>
      </c>
      <c r="B48" s="16" t="s">
        <v>163</v>
      </c>
      <c r="C48" s="36" t="s">
        <v>164</v>
      </c>
      <c r="D48" s="24">
        <v>366700000</v>
      </c>
      <c r="E48" s="24">
        <f>ROUND(((100%+$H$42)*D48)*(100%+$H$43),-6)</f>
        <v>440000000</v>
      </c>
      <c r="F48" s="37" t="str">
        <f>LEFT(B48,8)&amp;"00"</f>
        <v>2110030600</v>
      </c>
      <c r="G48" s="33"/>
      <c r="H48" s="29"/>
      <c r="I48" s="81">
        <v>35</v>
      </c>
      <c r="J48"/>
      <c r="K48" s="125"/>
      <c r="L48"/>
      <c r="M48"/>
      <c r="N48"/>
    </row>
    <row r="49" spans="1:14" s="11" customFormat="1" ht="49.5" customHeight="1">
      <c r="A49" s="15">
        <f t="shared" si="7"/>
        <v>6</v>
      </c>
      <c r="B49" s="16"/>
      <c r="C49" s="36" t="s">
        <v>265</v>
      </c>
      <c r="D49" s="24" t="s">
        <v>262</v>
      </c>
      <c r="E49" s="24" t="s">
        <v>262</v>
      </c>
      <c r="F49" s="38"/>
      <c r="G49" s="33"/>
      <c r="H49" s="29"/>
      <c r="I49" s="81">
        <v>36</v>
      </c>
      <c r="J49"/>
      <c r="K49" s="125"/>
      <c r="L49"/>
      <c r="M49"/>
      <c r="N49"/>
    </row>
    <row r="50" spans="1:14" s="11" customFormat="1" ht="49.5" customHeight="1">
      <c r="A50" s="15">
        <f t="shared" si="7"/>
        <v>7</v>
      </c>
      <c r="B50" s="16"/>
      <c r="C50" s="36" t="s">
        <v>266</v>
      </c>
      <c r="D50" s="24" t="s">
        <v>263</v>
      </c>
      <c r="E50" s="24" t="s">
        <v>263</v>
      </c>
      <c r="F50" s="38"/>
      <c r="G50" s="33"/>
      <c r="H50" s="29"/>
      <c r="I50" s="81">
        <v>37</v>
      </c>
      <c r="J50"/>
      <c r="K50" s="125"/>
      <c r="L50"/>
      <c r="M50"/>
      <c r="N50"/>
    </row>
    <row r="51" spans="1:14" s="11" customFormat="1" ht="49.5" customHeight="1">
      <c r="A51" s="15">
        <f t="shared" si="7"/>
        <v>8</v>
      </c>
      <c r="B51" s="16"/>
      <c r="C51" s="36" t="s">
        <v>267</v>
      </c>
      <c r="D51" s="24" t="s">
        <v>264</v>
      </c>
      <c r="E51" s="24" t="s">
        <v>264</v>
      </c>
      <c r="F51" s="38"/>
      <c r="G51" s="33"/>
      <c r="H51" s="29"/>
      <c r="I51" s="81">
        <v>38</v>
      </c>
      <c r="J51"/>
      <c r="K51" s="125"/>
      <c r="L51"/>
      <c r="M51"/>
      <c r="N51"/>
    </row>
    <row r="52" spans="1:14" s="11" customFormat="1" ht="49.5" customHeight="1">
      <c r="A52" s="253" t="s">
        <v>166</v>
      </c>
      <c r="B52" s="253"/>
      <c r="C52" s="253"/>
      <c r="D52" s="253"/>
      <c r="E52" s="31"/>
      <c r="F52" s="32"/>
      <c r="G52" s="33"/>
      <c r="H52" s="29"/>
      <c r="I52"/>
      <c r="J52"/>
      <c r="K52" s="125"/>
      <c r="L52"/>
      <c r="M52"/>
      <c r="N52"/>
    </row>
    <row r="53" spans="1:14" s="11" customFormat="1" ht="49.5" customHeight="1">
      <c r="A53" s="13" t="s">
        <v>0</v>
      </c>
      <c r="B53" s="14" t="s">
        <v>1</v>
      </c>
      <c r="C53" s="34" t="s">
        <v>2</v>
      </c>
      <c r="D53" s="23" t="s">
        <v>746</v>
      </c>
      <c r="E53" s="23" t="s">
        <v>464</v>
      </c>
      <c r="F53" s="35" t="s">
        <v>716</v>
      </c>
      <c r="G53" s="33"/>
      <c r="H53" s="29"/>
      <c r="I53"/>
      <c r="J53"/>
      <c r="K53" s="125"/>
      <c r="L53"/>
      <c r="M53"/>
      <c r="N53"/>
    </row>
    <row r="54" spans="1:14" s="11" customFormat="1" ht="49.5" customHeight="1">
      <c r="A54" s="15">
        <v>1</v>
      </c>
      <c r="B54" s="16" t="s">
        <v>167</v>
      </c>
      <c r="C54" s="36" t="s">
        <v>722</v>
      </c>
      <c r="D54" s="24">
        <v>1197100000</v>
      </c>
      <c r="E54" s="24">
        <f>E66+(10*$H$63)</f>
        <v>1421000000</v>
      </c>
      <c r="F54" s="37" t="str">
        <f>LEFT(B54,8)&amp;"00"</f>
        <v>2110040300</v>
      </c>
      <c r="G54" s="33"/>
      <c r="H54" s="29"/>
      <c r="I54" s="81">
        <v>39</v>
      </c>
      <c r="J54"/>
      <c r="K54" s="125"/>
      <c r="L54"/>
      <c r="M54"/>
      <c r="N54"/>
    </row>
    <row r="55" spans="1:14" s="11" customFormat="1" ht="49.5" customHeight="1">
      <c r="A55" s="15">
        <f>A54+1</f>
        <v>2</v>
      </c>
      <c r="B55" s="16" t="s">
        <v>168</v>
      </c>
      <c r="C55" s="36" t="s">
        <v>723</v>
      </c>
      <c r="D55" s="24">
        <v>894400000</v>
      </c>
      <c r="E55" s="24">
        <f>E67+(9*$H$63)</f>
        <v>1059000000</v>
      </c>
      <c r="F55" s="37" t="str">
        <f t="shared" ref="F55:F59" si="8">LEFT(B55,8)&amp;"00"</f>
        <v>2110040200</v>
      </c>
      <c r="G55" s="33"/>
      <c r="H55" s="29"/>
      <c r="I55" s="81">
        <v>40</v>
      </c>
      <c r="J55"/>
      <c r="K55" s="125"/>
      <c r="L55"/>
      <c r="M55"/>
      <c r="N55"/>
    </row>
    <row r="56" spans="1:14" s="11" customFormat="1" ht="49.5" customHeight="1">
      <c r="A56" s="15">
        <f t="shared" ref="A56:A63" si="9">A55+1</f>
        <v>3</v>
      </c>
      <c r="B56" s="16" t="s">
        <v>169</v>
      </c>
      <c r="C56" s="36" t="s">
        <v>1629</v>
      </c>
      <c r="D56" s="24">
        <v>606000000</v>
      </c>
      <c r="E56" s="24">
        <f>E68+(7*$H$63)</f>
        <v>716000000</v>
      </c>
      <c r="F56" s="37" t="str">
        <f t="shared" si="8"/>
        <v>2110040100</v>
      </c>
      <c r="G56" s="33"/>
      <c r="H56" s="29"/>
      <c r="I56" s="81">
        <v>41</v>
      </c>
      <c r="J56"/>
      <c r="K56" s="125"/>
      <c r="L56"/>
      <c r="M56"/>
      <c r="N56"/>
    </row>
    <row r="57" spans="1:14" s="11" customFormat="1" ht="49.5" customHeight="1">
      <c r="A57" s="15">
        <f t="shared" si="9"/>
        <v>4</v>
      </c>
      <c r="B57" s="16" t="s">
        <v>106</v>
      </c>
      <c r="C57" s="36" t="s">
        <v>107</v>
      </c>
      <c r="D57" s="24">
        <v>374400000</v>
      </c>
      <c r="E57" s="24">
        <f>ROUND(((100%+$H$64)*D57)*(100%+$H$65),-6)</f>
        <v>449000000</v>
      </c>
      <c r="F57" s="37" t="str">
        <f t="shared" si="8"/>
        <v>2110040500</v>
      </c>
      <c r="G57" s="33"/>
      <c r="H57" s="29"/>
      <c r="I57" s="81">
        <v>42</v>
      </c>
      <c r="J57"/>
      <c r="K57" s="125"/>
      <c r="L57"/>
      <c r="M57"/>
      <c r="N57"/>
    </row>
    <row r="58" spans="1:14" s="11" customFormat="1" ht="49.5" customHeight="1">
      <c r="A58" s="15">
        <f t="shared" si="9"/>
        <v>5</v>
      </c>
      <c r="B58" s="16" t="s">
        <v>108</v>
      </c>
      <c r="C58" s="36" t="s">
        <v>109</v>
      </c>
      <c r="D58" s="24">
        <v>374400000</v>
      </c>
      <c r="E58" s="24">
        <f>ROUND(((100%+$H$64)*D58)*(100%+$H$65),-6)</f>
        <v>449000000</v>
      </c>
      <c r="F58" s="37" t="str">
        <f t="shared" si="8"/>
        <v>2110040400</v>
      </c>
      <c r="G58" s="33"/>
      <c r="H58" s="29"/>
      <c r="I58" s="81">
        <v>43</v>
      </c>
      <c r="J58"/>
      <c r="K58" s="125"/>
      <c r="L58"/>
      <c r="M58"/>
      <c r="N58"/>
    </row>
    <row r="59" spans="1:14" s="11" customFormat="1" ht="49.5" customHeight="1">
      <c r="A59" s="15">
        <f t="shared" si="9"/>
        <v>6</v>
      </c>
      <c r="B59" s="16" t="s">
        <v>170</v>
      </c>
      <c r="C59" s="36" t="s">
        <v>171</v>
      </c>
      <c r="D59" s="24">
        <v>265700000</v>
      </c>
      <c r="E59" s="24">
        <f>ROUND(((100%+$H$64)*D59)*(100%+$H$65),-6)</f>
        <v>319000000</v>
      </c>
      <c r="F59" s="37" t="str">
        <f t="shared" si="8"/>
        <v>2110040600</v>
      </c>
      <c r="G59" s="33"/>
      <c r="H59" s="29"/>
      <c r="I59" s="81">
        <v>44</v>
      </c>
      <c r="J59"/>
      <c r="K59" s="125"/>
      <c r="L59"/>
      <c r="M59"/>
      <c r="N59"/>
    </row>
    <row r="60" spans="1:14" s="11" customFormat="1" ht="49.5" customHeight="1">
      <c r="A60" s="15">
        <f t="shared" si="9"/>
        <v>7</v>
      </c>
      <c r="B60" s="16" t="s">
        <v>261</v>
      </c>
      <c r="C60" s="36" t="s">
        <v>268</v>
      </c>
      <c r="D60" s="24" t="s">
        <v>269</v>
      </c>
      <c r="E60" s="24" t="s">
        <v>269</v>
      </c>
      <c r="F60" s="38"/>
      <c r="G60" s="33"/>
      <c r="H60" s="29"/>
      <c r="I60" s="81">
        <v>45</v>
      </c>
      <c r="J60"/>
      <c r="K60" s="125"/>
      <c r="L60"/>
      <c r="M60"/>
      <c r="N60"/>
    </row>
    <row r="61" spans="1:14" s="11" customFormat="1" ht="49.5" customHeight="1">
      <c r="A61" s="15">
        <f t="shared" si="9"/>
        <v>8</v>
      </c>
      <c r="B61" s="16" t="s">
        <v>261</v>
      </c>
      <c r="C61" s="36" t="s">
        <v>270</v>
      </c>
      <c r="D61" s="24" t="s">
        <v>271</v>
      </c>
      <c r="E61" s="24" t="s">
        <v>271</v>
      </c>
      <c r="F61" s="38"/>
      <c r="G61" s="33"/>
      <c r="H61" s="29"/>
      <c r="I61" s="81">
        <v>46</v>
      </c>
      <c r="J61"/>
      <c r="K61" s="125"/>
      <c r="L61"/>
      <c r="M61"/>
      <c r="N61"/>
    </row>
    <row r="62" spans="1:14" s="11" customFormat="1" ht="49.5" customHeight="1">
      <c r="A62" s="15">
        <f t="shared" si="9"/>
        <v>9</v>
      </c>
      <c r="B62" s="16" t="s">
        <v>261</v>
      </c>
      <c r="C62" s="36" t="s">
        <v>272</v>
      </c>
      <c r="D62" s="24" t="s">
        <v>273</v>
      </c>
      <c r="E62" s="24" t="s">
        <v>273</v>
      </c>
      <c r="F62" s="38"/>
      <c r="G62" s="33"/>
      <c r="H62" s="29"/>
      <c r="I62" s="81">
        <v>47</v>
      </c>
      <c r="J62"/>
      <c r="K62" s="125"/>
      <c r="L62"/>
      <c r="M62"/>
      <c r="N62"/>
    </row>
    <row r="63" spans="1:14" s="11" customFormat="1" ht="49.5" customHeight="1">
      <c r="A63" s="15">
        <f t="shared" si="9"/>
        <v>10</v>
      </c>
      <c r="B63" s="16" t="s">
        <v>261</v>
      </c>
      <c r="C63" s="36" t="s">
        <v>274</v>
      </c>
      <c r="D63" s="24" t="s">
        <v>275</v>
      </c>
      <c r="E63" s="24" t="s">
        <v>275</v>
      </c>
      <c r="F63" s="38"/>
      <c r="G63" s="112" t="s">
        <v>698</v>
      </c>
      <c r="H63" s="113">
        <v>20000000</v>
      </c>
      <c r="I63" s="81">
        <v>48</v>
      </c>
      <c r="J63"/>
      <c r="K63" s="125"/>
      <c r="L63"/>
      <c r="M63"/>
      <c r="N63"/>
    </row>
    <row r="64" spans="1:14" s="11" customFormat="1" ht="49.5" customHeight="1">
      <c r="A64" s="253" t="s">
        <v>172</v>
      </c>
      <c r="B64" s="253"/>
      <c r="C64" s="253"/>
      <c r="D64" s="253"/>
      <c r="E64" s="31"/>
      <c r="F64" s="32"/>
      <c r="G64" s="112" t="s">
        <v>696</v>
      </c>
      <c r="H64" s="114">
        <v>0.2</v>
      </c>
      <c r="I64"/>
      <c r="J64"/>
      <c r="K64" s="125"/>
      <c r="L64"/>
      <c r="M64"/>
      <c r="N64"/>
    </row>
    <row r="65" spans="1:14" s="11" customFormat="1" ht="49.5" customHeight="1">
      <c r="A65" s="13" t="s">
        <v>0</v>
      </c>
      <c r="B65" s="14" t="s">
        <v>1</v>
      </c>
      <c r="C65" s="34" t="s">
        <v>2</v>
      </c>
      <c r="D65" s="23" t="s">
        <v>746</v>
      </c>
      <c r="E65" s="23" t="s">
        <v>464</v>
      </c>
      <c r="F65" s="35" t="s">
        <v>716</v>
      </c>
      <c r="G65" s="112" t="s">
        <v>697</v>
      </c>
      <c r="H65" s="114">
        <v>0</v>
      </c>
      <c r="I65"/>
      <c r="J65"/>
      <c r="K65" s="125"/>
      <c r="L65"/>
      <c r="M65"/>
      <c r="N65"/>
    </row>
    <row r="66" spans="1:14" s="12" customFormat="1" ht="49.5" customHeight="1">
      <c r="A66" s="15">
        <v>1</v>
      </c>
      <c r="B66" s="16" t="s">
        <v>167</v>
      </c>
      <c r="C66" s="36" t="s">
        <v>722</v>
      </c>
      <c r="D66" s="24">
        <v>1017100000</v>
      </c>
      <c r="E66" s="24">
        <f t="shared" ref="E66:E71" si="10">ROUND(((100%+$H$64)*D66)*(100%+$H$65),-6)</f>
        <v>1221000000</v>
      </c>
      <c r="F66" s="37" t="str">
        <f>LEFT(B66,8)&amp;"00"</f>
        <v>2110040300</v>
      </c>
      <c r="G66" s="33"/>
      <c r="H66" s="29"/>
      <c r="I66" s="81">
        <v>49</v>
      </c>
      <c r="J66"/>
      <c r="K66" s="125"/>
      <c r="L66"/>
      <c r="M66"/>
      <c r="N66"/>
    </row>
    <row r="67" spans="1:14" s="11" customFormat="1" ht="49.5" customHeight="1">
      <c r="A67" s="15">
        <f>A66+1</f>
        <v>2</v>
      </c>
      <c r="B67" s="16" t="s">
        <v>168</v>
      </c>
      <c r="C67" s="36" t="s">
        <v>723</v>
      </c>
      <c r="D67" s="24">
        <v>732400000</v>
      </c>
      <c r="E67" s="24">
        <f t="shared" si="10"/>
        <v>879000000</v>
      </c>
      <c r="F67" s="37" t="str">
        <f>LEFT(B67,8)&amp;"00"</f>
        <v>2110040200</v>
      </c>
      <c r="G67" s="33"/>
      <c r="H67" s="29"/>
      <c r="I67" s="81">
        <v>50</v>
      </c>
      <c r="J67"/>
      <c r="K67" s="125"/>
      <c r="L67"/>
      <c r="M67"/>
      <c r="N67"/>
    </row>
    <row r="68" spans="1:14" s="11" customFormat="1" ht="49.5" customHeight="1">
      <c r="A68" s="15">
        <f t="shared" ref="A68:A75" si="11">A67+1</f>
        <v>3</v>
      </c>
      <c r="B68" s="16" t="s">
        <v>169</v>
      </c>
      <c r="C68" s="36" t="s">
        <v>1629</v>
      </c>
      <c r="D68" s="24">
        <v>480000000</v>
      </c>
      <c r="E68" s="24">
        <f t="shared" si="10"/>
        <v>576000000</v>
      </c>
      <c r="F68" s="37" t="str">
        <f t="shared" ref="F68:F71" si="12">LEFT(B68,8)&amp;"00"</f>
        <v>2110040100</v>
      </c>
      <c r="G68" s="33"/>
      <c r="H68" s="29"/>
      <c r="I68" s="81">
        <v>51</v>
      </c>
      <c r="J68"/>
      <c r="K68" s="125"/>
      <c r="L68"/>
      <c r="M68"/>
      <c r="N68"/>
    </row>
    <row r="69" spans="1:14" s="11" customFormat="1" ht="49.5" customHeight="1">
      <c r="A69" s="15">
        <f t="shared" si="11"/>
        <v>4</v>
      </c>
      <c r="B69" s="16" t="s">
        <v>106</v>
      </c>
      <c r="C69" s="36" t="s">
        <v>107</v>
      </c>
      <c r="D69" s="24">
        <v>374400000</v>
      </c>
      <c r="E69" s="24">
        <f t="shared" si="10"/>
        <v>449000000</v>
      </c>
      <c r="F69" s="37" t="str">
        <f t="shared" si="12"/>
        <v>2110040500</v>
      </c>
      <c r="G69" s="33"/>
      <c r="H69" s="29"/>
      <c r="I69" s="81">
        <v>52</v>
      </c>
      <c r="J69"/>
      <c r="K69" s="125"/>
      <c r="L69"/>
      <c r="M69"/>
      <c r="N69"/>
    </row>
    <row r="70" spans="1:14" s="11" customFormat="1" ht="49.5" customHeight="1">
      <c r="A70" s="15">
        <f t="shared" si="11"/>
        <v>5</v>
      </c>
      <c r="B70" s="16" t="s">
        <v>108</v>
      </c>
      <c r="C70" s="36" t="s">
        <v>109</v>
      </c>
      <c r="D70" s="24">
        <v>374400000</v>
      </c>
      <c r="E70" s="24">
        <f t="shared" si="10"/>
        <v>449000000</v>
      </c>
      <c r="F70" s="37" t="str">
        <f t="shared" si="12"/>
        <v>2110040400</v>
      </c>
      <c r="G70" s="33"/>
      <c r="H70" s="29"/>
      <c r="I70" s="81">
        <v>53</v>
      </c>
      <c r="J70"/>
      <c r="K70" s="125"/>
      <c r="L70"/>
      <c r="M70"/>
      <c r="N70"/>
    </row>
    <row r="71" spans="1:14" s="11" customFormat="1" ht="49.5" customHeight="1">
      <c r="A71" s="15">
        <f t="shared" si="11"/>
        <v>6</v>
      </c>
      <c r="B71" s="16" t="s">
        <v>170</v>
      </c>
      <c r="C71" s="36" t="s">
        <v>171</v>
      </c>
      <c r="D71" s="24">
        <v>265700000</v>
      </c>
      <c r="E71" s="24">
        <f t="shared" si="10"/>
        <v>319000000</v>
      </c>
      <c r="F71" s="37" t="str">
        <f t="shared" si="12"/>
        <v>2110040600</v>
      </c>
      <c r="G71" s="33"/>
      <c r="H71" s="29"/>
      <c r="I71" s="81">
        <v>54</v>
      </c>
      <c r="J71"/>
      <c r="K71" s="125"/>
      <c r="L71"/>
      <c r="M71"/>
      <c r="N71"/>
    </row>
    <row r="72" spans="1:14" s="11" customFormat="1" ht="49.5" customHeight="1">
      <c r="A72" s="15">
        <f t="shared" si="11"/>
        <v>7</v>
      </c>
      <c r="B72" s="16" t="s">
        <v>261</v>
      </c>
      <c r="C72" s="36" t="s">
        <v>268</v>
      </c>
      <c r="D72" s="24" t="s">
        <v>269</v>
      </c>
      <c r="E72" s="24" t="s">
        <v>269</v>
      </c>
      <c r="F72" s="38"/>
      <c r="G72" s="33"/>
      <c r="H72" s="29"/>
      <c r="I72" s="81">
        <v>55</v>
      </c>
      <c r="J72"/>
      <c r="K72" s="125"/>
      <c r="L72"/>
      <c r="M72"/>
      <c r="N72"/>
    </row>
    <row r="73" spans="1:14" s="11" customFormat="1" ht="49.5" customHeight="1">
      <c r="A73" s="15">
        <f t="shared" si="11"/>
        <v>8</v>
      </c>
      <c r="B73" s="16" t="s">
        <v>261</v>
      </c>
      <c r="C73" s="36" t="s">
        <v>270</v>
      </c>
      <c r="D73" s="24" t="s">
        <v>271</v>
      </c>
      <c r="E73" s="24" t="s">
        <v>271</v>
      </c>
      <c r="F73" s="38"/>
      <c r="G73" s="33"/>
      <c r="H73" s="29"/>
      <c r="I73" s="81">
        <v>56</v>
      </c>
      <c r="J73"/>
      <c r="K73" s="125"/>
      <c r="L73"/>
      <c r="M73"/>
      <c r="N73"/>
    </row>
    <row r="74" spans="1:14" s="11" customFormat="1" ht="49.5" customHeight="1">
      <c r="A74" s="15">
        <f t="shared" si="11"/>
        <v>9</v>
      </c>
      <c r="B74" s="16" t="s">
        <v>261</v>
      </c>
      <c r="C74" s="36" t="s">
        <v>272</v>
      </c>
      <c r="D74" s="24" t="s">
        <v>273</v>
      </c>
      <c r="E74" s="24" t="s">
        <v>273</v>
      </c>
      <c r="F74" s="38"/>
      <c r="G74" s="33"/>
      <c r="H74" s="29"/>
      <c r="I74" s="81">
        <v>57</v>
      </c>
      <c r="J74"/>
      <c r="K74" s="125"/>
      <c r="L74"/>
      <c r="M74"/>
      <c r="N74"/>
    </row>
    <row r="75" spans="1:14" s="11" customFormat="1" ht="49.5" customHeight="1">
      <c r="A75" s="15">
        <f t="shared" si="11"/>
        <v>10</v>
      </c>
      <c r="B75" s="16" t="s">
        <v>261</v>
      </c>
      <c r="C75" s="36" t="s">
        <v>274</v>
      </c>
      <c r="D75" s="24" t="s">
        <v>275</v>
      </c>
      <c r="E75" s="24" t="s">
        <v>275</v>
      </c>
      <c r="F75" s="38"/>
      <c r="G75" s="33"/>
      <c r="H75" s="29"/>
      <c r="I75" s="81">
        <v>58</v>
      </c>
      <c r="J75"/>
      <c r="K75" s="125"/>
      <c r="L75"/>
      <c r="M75"/>
      <c r="N75"/>
    </row>
    <row r="76" spans="1:14" s="11" customFormat="1" ht="49.5" customHeight="1">
      <c r="A76" s="253" t="s">
        <v>183</v>
      </c>
      <c r="B76" s="253"/>
      <c r="C76" s="253"/>
      <c r="D76" s="253"/>
      <c r="E76" s="31"/>
      <c r="F76" s="32"/>
      <c r="G76" s="33"/>
      <c r="H76" s="29"/>
      <c r="I76"/>
      <c r="J76"/>
      <c r="K76" s="125"/>
      <c r="L76"/>
      <c r="M76"/>
      <c r="N76"/>
    </row>
    <row r="77" spans="1:14" s="11" customFormat="1" ht="49.5" customHeight="1">
      <c r="A77" s="13" t="s">
        <v>0</v>
      </c>
      <c r="B77" s="14" t="s">
        <v>1</v>
      </c>
      <c r="C77" s="34" t="s">
        <v>2</v>
      </c>
      <c r="D77" s="23" t="s">
        <v>746</v>
      </c>
      <c r="E77" s="23" t="s">
        <v>464</v>
      </c>
      <c r="F77" s="35" t="s">
        <v>716</v>
      </c>
      <c r="G77" s="33"/>
      <c r="H77" s="29"/>
      <c r="I77"/>
      <c r="J77"/>
      <c r="K77" s="125"/>
      <c r="L77"/>
      <c r="M77"/>
      <c r="N77"/>
    </row>
    <row r="78" spans="1:14" s="11" customFormat="1" ht="49.5" customHeight="1">
      <c r="A78" s="15">
        <v>1</v>
      </c>
      <c r="B78" s="16" t="s">
        <v>184</v>
      </c>
      <c r="C78" s="36" t="s">
        <v>724</v>
      </c>
      <c r="D78" s="24">
        <v>2220200000</v>
      </c>
      <c r="E78" s="24">
        <f>E87+(15*$H$84)</f>
        <v>2640000000</v>
      </c>
      <c r="F78" s="37" t="str">
        <f>LEFT(B78,8)&amp;"00"</f>
        <v>2110050300</v>
      </c>
      <c r="G78" s="176">
        <f>E78+E79+E80+E80</f>
        <v>6342000000</v>
      </c>
      <c r="H78" s="29"/>
      <c r="I78" s="81">
        <v>59</v>
      </c>
      <c r="J78"/>
      <c r="K78" s="125"/>
      <c r="L78"/>
      <c r="M78"/>
      <c r="N78"/>
    </row>
    <row r="79" spans="1:14" s="11" customFormat="1" ht="49.5" customHeight="1">
      <c r="A79" s="15">
        <f>A78+1</f>
        <v>2</v>
      </c>
      <c r="B79" s="16" t="s">
        <v>185</v>
      </c>
      <c r="C79" s="36" t="s">
        <v>725</v>
      </c>
      <c r="D79" s="24">
        <v>1765000000</v>
      </c>
      <c r="E79" s="24">
        <f>E88+(11.5*$H$84)</f>
        <v>2100000000</v>
      </c>
      <c r="F79" s="37" t="str">
        <f t="shared" ref="F79:F80" si="13">LEFT(B79,8)&amp;"00"</f>
        <v>2110050200</v>
      </c>
      <c r="G79" s="33"/>
      <c r="H79" s="29"/>
      <c r="I79" s="81">
        <v>60</v>
      </c>
      <c r="J79"/>
      <c r="K79" s="125"/>
      <c r="L79"/>
      <c r="M79"/>
      <c r="N79"/>
    </row>
    <row r="80" spans="1:14" s="11" customFormat="1" ht="49.5" customHeight="1">
      <c r="A80" s="15">
        <f t="shared" ref="A80:A84" si="14">A79+1</f>
        <v>3</v>
      </c>
      <c r="B80" s="16" t="s">
        <v>717</v>
      </c>
      <c r="C80" s="36" t="s">
        <v>747</v>
      </c>
      <c r="D80" s="24">
        <v>674200000</v>
      </c>
      <c r="E80" s="24">
        <f>E89+(5*$H$84)</f>
        <v>801000000</v>
      </c>
      <c r="F80" s="37" t="str">
        <f t="shared" si="13"/>
        <v>2110050100</v>
      </c>
      <c r="G80" s="33"/>
      <c r="H80" s="29"/>
      <c r="I80" s="81">
        <v>61</v>
      </c>
      <c r="J80"/>
      <c r="K80" s="125"/>
      <c r="L80"/>
      <c r="M80"/>
      <c r="N80"/>
    </row>
    <row r="81" spans="1:14" s="11" customFormat="1" ht="49.5" customHeight="1">
      <c r="A81" s="15"/>
      <c r="B81" s="16">
        <v>2110050500</v>
      </c>
      <c r="C81" s="36" t="s">
        <v>1076</v>
      </c>
      <c r="D81" s="24">
        <v>658200000</v>
      </c>
      <c r="E81" s="24">
        <f>ROUND(((100%+$H$85)*D81)*(100%+$H$86),-6)</f>
        <v>790000000</v>
      </c>
      <c r="F81" s="43"/>
      <c r="G81" s="33"/>
      <c r="H81" s="29"/>
      <c r="I81" s="81">
        <v>62</v>
      </c>
      <c r="J81"/>
      <c r="K81" s="125"/>
      <c r="L81"/>
      <c r="M81"/>
      <c r="N81"/>
    </row>
    <row r="82" spans="1:14" s="11" customFormat="1" ht="49.5" customHeight="1">
      <c r="A82" s="15">
        <f>A80+1</f>
        <v>4</v>
      </c>
      <c r="B82" s="16" t="s">
        <v>261</v>
      </c>
      <c r="C82" s="36" t="s">
        <v>744</v>
      </c>
      <c r="D82" s="24" t="s">
        <v>276</v>
      </c>
      <c r="E82" s="24" t="s">
        <v>276</v>
      </c>
      <c r="F82" s="38"/>
      <c r="G82" s="33"/>
      <c r="H82" s="29"/>
      <c r="I82" s="81">
        <v>63</v>
      </c>
      <c r="J82"/>
      <c r="K82" s="125"/>
      <c r="L82"/>
      <c r="M82"/>
      <c r="N82"/>
    </row>
    <row r="83" spans="1:14" s="11" customFormat="1" ht="49.5" customHeight="1">
      <c r="A83" s="15">
        <f t="shared" si="14"/>
        <v>5</v>
      </c>
      <c r="B83" s="16" t="s">
        <v>261</v>
      </c>
      <c r="C83" s="36" t="s">
        <v>745</v>
      </c>
      <c r="D83" s="24" t="s">
        <v>262</v>
      </c>
      <c r="E83" s="24" t="s">
        <v>262</v>
      </c>
      <c r="F83" s="38"/>
      <c r="G83" s="33"/>
      <c r="H83" s="29"/>
      <c r="I83" s="81">
        <v>64</v>
      </c>
      <c r="J83"/>
      <c r="K83" s="125"/>
      <c r="L83"/>
      <c r="M83"/>
      <c r="N83"/>
    </row>
    <row r="84" spans="1:14" s="11" customFormat="1" ht="49.5" customHeight="1">
      <c r="A84" s="15">
        <f t="shared" si="14"/>
        <v>6</v>
      </c>
      <c r="B84" s="16" t="s">
        <v>261</v>
      </c>
      <c r="C84" s="36" t="s">
        <v>277</v>
      </c>
      <c r="D84" s="24" t="s">
        <v>278</v>
      </c>
      <c r="E84" s="24" t="s">
        <v>278</v>
      </c>
      <c r="F84" s="38"/>
      <c r="G84" s="112" t="s">
        <v>698</v>
      </c>
      <c r="H84" s="113">
        <v>20000000</v>
      </c>
      <c r="I84" s="81">
        <v>65</v>
      </c>
      <c r="J84"/>
      <c r="K84" s="125"/>
      <c r="L84"/>
      <c r="M84"/>
      <c r="N84"/>
    </row>
    <row r="85" spans="1:14" s="11" customFormat="1" ht="49.5" customHeight="1">
      <c r="A85" s="253" t="s">
        <v>186</v>
      </c>
      <c r="B85" s="253"/>
      <c r="C85" s="253"/>
      <c r="D85" s="253"/>
      <c r="E85" s="31"/>
      <c r="F85" s="32"/>
      <c r="G85" s="112" t="s">
        <v>696</v>
      </c>
      <c r="H85" s="114">
        <v>0.2</v>
      </c>
      <c r="I85"/>
      <c r="J85"/>
      <c r="K85" s="125"/>
      <c r="L85"/>
      <c r="M85"/>
      <c r="N85"/>
    </row>
    <row r="86" spans="1:14" s="11" customFormat="1" ht="49.5" customHeight="1">
      <c r="A86" s="13" t="s">
        <v>0</v>
      </c>
      <c r="B86" s="14" t="s">
        <v>1</v>
      </c>
      <c r="C86" s="34" t="s">
        <v>2</v>
      </c>
      <c r="D86" s="23" t="s">
        <v>746</v>
      </c>
      <c r="E86" s="23" t="s">
        <v>464</v>
      </c>
      <c r="F86" s="35" t="s">
        <v>716</v>
      </c>
      <c r="G86" s="112" t="s">
        <v>697</v>
      </c>
      <c r="H86" s="114">
        <v>0</v>
      </c>
      <c r="I86"/>
      <c r="J86"/>
      <c r="K86" s="125"/>
      <c r="L86"/>
      <c r="M86"/>
      <c r="N86"/>
    </row>
    <row r="87" spans="1:14" s="11" customFormat="1" ht="49.5" customHeight="1">
      <c r="A87" s="15">
        <v>1</v>
      </c>
      <c r="B87" s="16" t="s">
        <v>184</v>
      </c>
      <c r="C87" s="36" t="s">
        <v>724</v>
      </c>
      <c r="D87" s="24">
        <v>1950200000</v>
      </c>
      <c r="E87" s="24">
        <f>ROUND(((100%+$H$85)*D87)*(100%+$H$86),-6)</f>
        <v>2340000000</v>
      </c>
      <c r="F87" s="37" t="str">
        <f>LEFT(B87,8)&amp;"00"</f>
        <v>2110050300</v>
      </c>
      <c r="G87" s="33"/>
      <c r="H87" s="29"/>
      <c r="I87" s="81">
        <v>66</v>
      </c>
      <c r="J87"/>
      <c r="K87" s="125"/>
      <c r="L87"/>
      <c r="M87"/>
      <c r="N87"/>
    </row>
    <row r="88" spans="1:14" s="11" customFormat="1" ht="49.5" customHeight="1">
      <c r="A88" s="15">
        <v>2</v>
      </c>
      <c r="B88" s="16" t="s">
        <v>185</v>
      </c>
      <c r="C88" s="36" t="s">
        <v>725</v>
      </c>
      <c r="D88" s="24">
        <v>1558000000</v>
      </c>
      <c r="E88" s="24">
        <f>ROUND(((100%+$H$85)*D88)*(100%+$H$86),-6)</f>
        <v>1870000000</v>
      </c>
      <c r="F88" s="37" t="str">
        <f t="shared" ref="F88:F89" si="15">LEFT(B88,8)&amp;"00"</f>
        <v>2110050200</v>
      </c>
      <c r="G88" s="33"/>
      <c r="H88" s="29"/>
      <c r="I88" s="81">
        <v>67</v>
      </c>
      <c r="J88"/>
      <c r="K88" s="125"/>
      <c r="L88"/>
      <c r="M88"/>
      <c r="N88"/>
    </row>
    <row r="89" spans="1:14" s="11" customFormat="1" ht="49.5" customHeight="1">
      <c r="A89" s="15">
        <f>A88+1</f>
        <v>3</v>
      </c>
      <c r="B89" s="16" t="s">
        <v>717</v>
      </c>
      <c r="C89" s="36" t="s">
        <v>747</v>
      </c>
      <c r="D89" s="24">
        <v>584200000</v>
      </c>
      <c r="E89" s="24">
        <f>ROUND(((100%+$H$85)*D89)*(100%+$H$86),-6)</f>
        <v>701000000</v>
      </c>
      <c r="F89" s="37" t="str">
        <f t="shared" si="15"/>
        <v>2110050100</v>
      </c>
      <c r="G89" s="33"/>
      <c r="H89" s="29"/>
      <c r="I89" s="81">
        <v>68</v>
      </c>
      <c r="J89"/>
      <c r="K89" s="125"/>
      <c r="L89"/>
      <c r="M89"/>
      <c r="N89"/>
    </row>
    <row r="90" spans="1:14" s="11" customFormat="1" ht="49.5" customHeight="1">
      <c r="A90" s="15"/>
      <c r="B90" s="16">
        <v>2110050500</v>
      </c>
      <c r="C90" s="36" t="s">
        <v>1076</v>
      </c>
      <c r="D90" s="24">
        <v>658200000</v>
      </c>
      <c r="E90" s="24">
        <f>ROUND(((100%+$H$85)*D90)*(100%+$H$86),-6)</f>
        <v>790000000</v>
      </c>
      <c r="F90" s="43"/>
      <c r="G90" s="33"/>
      <c r="H90" s="29"/>
      <c r="I90" s="81">
        <v>69</v>
      </c>
      <c r="J90"/>
      <c r="K90" s="125"/>
      <c r="L90"/>
      <c r="M90"/>
      <c r="N90"/>
    </row>
    <row r="91" spans="1:14" s="11" customFormat="1" ht="49.5" customHeight="1">
      <c r="A91" s="15">
        <f>A89+1</f>
        <v>4</v>
      </c>
      <c r="B91" s="16" t="s">
        <v>261</v>
      </c>
      <c r="C91" s="36" t="s">
        <v>744</v>
      </c>
      <c r="D91" s="24" t="s">
        <v>276</v>
      </c>
      <c r="E91" s="24" t="s">
        <v>276</v>
      </c>
      <c r="F91" s="38"/>
      <c r="G91" s="33"/>
      <c r="H91" s="29"/>
      <c r="I91" s="81">
        <v>70</v>
      </c>
      <c r="J91"/>
      <c r="K91" s="125"/>
      <c r="L91"/>
      <c r="M91"/>
      <c r="N91"/>
    </row>
    <row r="92" spans="1:14" s="11" customFormat="1" ht="49.5" customHeight="1">
      <c r="A92" s="15">
        <f t="shared" ref="A92:A93" si="16">A91+1</f>
        <v>5</v>
      </c>
      <c r="B92" s="16" t="s">
        <v>261</v>
      </c>
      <c r="C92" s="36" t="s">
        <v>745</v>
      </c>
      <c r="D92" s="24" t="s">
        <v>262</v>
      </c>
      <c r="E92" s="24" t="s">
        <v>262</v>
      </c>
      <c r="F92" s="38"/>
      <c r="G92" s="33"/>
      <c r="H92" s="29"/>
      <c r="I92" s="81">
        <v>71</v>
      </c>
      <c r="J92"/>
      <c r="K92" s="125"/>
      <c r="L92"/>
      <c r="M92"/>
      <c r="N92"/>
    </row>
    <row r="93" spans="1:14" s="11" customFormat="1" ht="49.5" customHeight="1">
      <c r="A93" s="15">
        <f t="shared" si="16"/>
        <v>6</v>
      </c>
      <c r="B93" s="16" t="s">
        <v>261</v>
      </c>
      <c r="C93" s="36" t="s">
        <v>277</v>
      </c>
      <c r="D93" s="24" t="s">
        <v>278</v>
      </c>
      <c r="E93" s="24" t="s">
        <v>278</v>
      </c>
      <c r="F93" s="38"/>
      <c r="G93" s="33"/>
      <c r="H93" s="29"/>
      <c r="I93" s="81">
        <v>72</v>
      </c>
      <c r="J93"/>
      <c r="K93" s="125"/>
      <c r="L93"/>
      <c r="M93"/>
      <c r="N93"/>
    </row>
    <row r="94" spans="1:14" s="11" customFormat="1" ht="49.5" customHeight="1">
      <c r="A94" s="253" t="s">
        <v>191</v>
      </c>
      <c r="B94" s="253"/>
      <c r="C94" s="253"/>
      <c r="D94" s="253"/>
      <c r="E94" s="31"/>
      <c r="F94" s="32"/>
      <c r="G94" s="33"/>
      <c r="H94" s="29"/>
      <c r="I94"/>
      <c r="J94"/>
      <c r="K94" s="125"/>
      <c r="L94"/>
      <c r="M94"/>
      <c r="N94"/>
    </row>
    <row r="95" spans="1:14" s="11" customFormat="1" ht="49.5" customHeight="1">
      <c r="A95" s="13" t="s">
        <v>0</v>
      </c>
      <c r="B95" s="14" t="s">
        <v>1</v>
      </c>
      <c r="C95" s="34" t="s">
        <v>2</v>
      </c>
      <c r="D95" s="23" t="s">
        <v>3</v>
      </c>
      <c r="E95" s="23" t="s">
        <v>464</v>
      </c>
      <c r="F95" s="35" t="s">
        <v>716</v>
      </c>
      <c r="G95" s="33"/>
      <c r="H95" s="29"/>
      <c r="I95"/>
      <c r="J95"/>
      <c r="K95" s="125"/>
      <c r="L95"/>
      <c r="M95"/>
      <c r="N95"/>
    </row>
    <row r="96" spans="1:14" s="11" customFormat="1" ht="49.5" customHeight="1">
      <c r="A96" s="15" t="s">
        <v>6</v>
      </c>
      <c r="B96" s="16" t="s">
        <v>279</v>
      </c>
      <c r="C96" s="36" t="s">
        <v>280</v>
      </c>
      <c r="D96" s="24">
        <v>2831400000</v>
      </c>
      <c r="E96" s="24">
        <f>E104+(15*$H$101)</f>
        <v>3488000000</v>
      </c>
      <c r="F96" s="37" t="str">
        <f>LEFT(B96,8)&amp;"00"</f>
        <v>2110060300</v>
      </c>
      <c r="G96" s="33"/>
      <c r="H96" s="29"/>
      <c r="I96" s="81">
        <v>73</v>
      </c>
      <c r="J96"/>
      <c r="K96" s="125"/>
      <c r="L96"/>
      <c r="M96"/>
      <c r="N96"/>
    </row>
    <row r="97" spans="1:14" s="11" customFormat="1" ht="49.5" customHeight="1">
      <c r="A97" s="15">
        <v>2</v>
      </c>
      <c r="B97" s="16" t="s">
        <v>192</v>
      </c>
      <c r="C97" s="36" t="s">
        <v>256</v>
      </c>
      <c r="D97" s="24">
        <v>2102300000</v>
      </c>
      <c r="E97" s="24">
        <f>E105+(11*$H$101)</f>
        <v>2589000000</v>
      </c>
      <c r="F97" s="37" t="str">
        <f t="shared" ref="F97" si="17">LEFT(B97,8)&amp;"00"</f>
        <v>2110060200</v>
      </c>
      <c r="G97" s="33"/>
      <c r="H97" s="29"/>
      <c r="I97" s="81">
        <v>74</v>
      </c>
      <c r="J97"/>
      <c r="K97" s="125"/>
      <c r="L97"/>
      <c r="M97"/>
      <c r="N97"/>
    </row>
    <row r="98" spans="1:14" s="11" customFormat="1" ht="49.5" customHeight="1">
      <c r="A98" s="15">
        <f>A97+1</f>
        <v>3</v>
      </c>
      <c r="B98" s="16" t="s">
        <v>281</v>
      </c>
      <c r="C98" s="36" t="s">
        <v>282</v>
      </c>
      <c r="D98" s="24">
        <v>1625300000</v>
      </c>
      <c r="E98" s="24">
        <f>E106+(8*$H$101)</f>
        <v>1998000000</v>
      </c>
      <c r="F98" s="37" t="str">
        <f>LEFT(B98,8)&amp;"00"</f>
        <v>2110060700</v>
      </c>
      <c r="G98" s="33"/>
      <c r="H98" s="29"/>
      <c r="I98" s="81">
        <v>75</v>
      </c>
      <c r="J98"/>
      <c r="K98" s="125"/>
      <c r="L98"/>
      <c r="M98"/>
      <c r="N98"/>
    </row>
    <row r="99" spans="1:14" s="11" customFormat="1" ht="49.5" customHeight="1">
      <c r="A99" s="15">
        <f t="shared" ref="A99:A101" si="18">A98+1</f>
        <v>4</v>
      </c>
      <c r="B99" s="16" t="s">
        <v>261</v>
      </c>
      <c r="C99" s="36" t="s">
        <v>283</v>
      </c>
      <c r="D99" s="24" t="s">
        <v>276</v>
      </c>
      <c r="E99" s="24" t="s">
        <v>276</v>
      </c>
      <c r="F99" s="38"/>
      <c r="G99" s="33"/>
      <c r="H99" s="29"/>
      <c r="I99" s="81">
        <v>76</v>
      </c>
      <c r="J99"/>
      <c r="K99" s="125"/>
      <c r="L99"/>
      <c r="M99"/>
      <c r="N99"/>
    </row>
    <row r="100" spans="1:14" s="11" customFormat="1" ht="49.5" customHeight="1">
      <c r="A100" s="15">
        <f t="shared" si="18"/>
        <v>5</v>
      </c>
      <c r="B100" s="16" t="s">
        <v>261</v>
      </c>
      <c r="C100" s="36" t="s">
        <v>284</v>
      </c>
      <c r="D100" s="24" t="s">
        <v>286</v>
      </c>
      <c r="E100" s="24" t="s">
        <v>286</v>
      </c>
      <c r="F100" s="38"/>
      <c r="G100" s="33"/>
      <c r="H100" s="29"/>
      <c r="I100" s="81">
        <v>77</v>
      </c>
      <c r="J100"/>
      <c r="K100" s="125"/>
      <c r="L100"/>
      <c r="M100"/>
      <c r="N100"/>
    </row>
    <row r="101" spans="1:14" s="11" customFormat="1" ht="49.5" customHeight="1">
      <c r="A101" s="15">
        <f t="shared" si="18"/>
        <v>6</v>
      </c>
      <c r="B101" s="16" t="s">
        <v>261</v>
      </c>
      <c r="C101" s="36" t="s">
        <v>285</v>
      </c>
      <c r="D101" s="24" t="s">
        <v>288</v>
      </c>
      <c r="E101" s="24" t="s">
        <v>288</v>
      </c>
      <c r="F101" s="38"/>
      <c r="G101" s="112" t="s">
        <v>698</v>
      </c>
      <c r="H101" s="113">
        <v>60000000</v>
      </c>
      <c r="I101" s="81">
        <v>78</v>
      </c>
      <c r="J101"/>
      <c r="K101" s="125"/>
      <c r="L101"/>
      <c r="M101"/>
      <c r="N101"/>
    </row>
    <row r="102" spans="1:14" s="11" customFormat="1" ht="49.5" customHeight="1">
      <c r="A102" s="253" t="s">
        <v>193</v>
      </c>
      <c r="B102" s="253"/>
      <c r="C102" s="253"/>
      <c r="D102" s="253"/>
      <c r="E102" s="31"/>
      <c r="F102" s="32"/>
      <c r="G102" s="112" t="s">
        <v>696</v>
      </c>
      <c r="H102" s="114">
        <v>0.2</v>
      </c>
      <c r="I102"/>
      <c r="J102"/>
      <c r="K102" s="125"/>
      <c r="L102"/>
      <c r="M102"/>
      <c r="N102"/>
    </row>
    <row r="103" spans="1:14" s="11" customFormat="1" ht="49.5" customHeight="1">
      <c r="A103" s="13" t="s">
        <v>0</v>
      </c>
      <c r="B103" s="14" t="s">
        <v>1</v>
      </c>
      <c r="C103" s="34" t="s">
        <v>2</v>
      </c>
      <c r="D103" s="23" t="s">
        <v>3</v>
      </c>
      <c r="E103" s="23" t="s">
        <v>464</v>
      </c>
      <c r="F103" s="35" t="s">
        <v>716</v>
      </c>
      <c r="G103" s="112" t="s">
        <v>697</v>
      </c>
      <c r="H103" s="114">
        <v>0</v>
      </c>
      <c r="I103"/>
      <c r="J103"/>
      <c r="K103" s="125"/>
      <c r="L103"/>
      <c r="M103"/>
      <c r="N103"/>
    </row>
    <row r="104" spans="1:14" s="11" customFormat="1" ht="49.5" customHeight="1">
      <c r="A104" s="15">
        <v>1</v>
      </c>
      <c r="B104" s="16" t="s">
        <v>279</v>
      </c>
      <c r="C104" s="36" t="s">
        <v>280</v>
      </c>
      <c r="D104" s="24">
        <v>2156400000</v>
      </c>
      <c r="E104" s="24">
        <f>ROUND(((100%+$H$102)*D104)*(100%+$H$103),-6)</f>
        <v>2588000000</v>
      </c>
      <c r="F104" s="37" t="str">
        <f>LEFT(B104,8)&amp;"00"</f>
        <v>2110060300</v>
      </c>
      <c r="G104" s="33"/>
      <c r="H104" s="29"/>
      <c r="I104" s="81">
        <v>79</v>
      </c>
      <c r="J104"/>
      <c r="K104" s="125"/>
      <c r="L104"/>
      <c r="M104"/>
      <c r="N104"/>
    </row>
    <row r="105" spans="1:14" s="11" customFormat="1" ht="49.5" customHeight="1">
      <c r="A105" s="15">
        <f>A104+1</f>
        <v>2</v>
      </c>
      <c r="B105" s="16" t="s">
        <v>192</v>
      </c>
      <c r="C105" s="36" t="s">
        <v>256</v>
      </c>
      <c r="D105" s="24">
        <v>1607300000</v>
      </c>
      <c r="E105" s="24">
        <f>ROUND(((100%+$H$102)*D105)*(100%+$H$103),-6)</f>
        <v>1929000000</v>
      </c>
      <c r="F105" s="37" t="str">
        <f t="shared" ref="F105:F106" si="19">LEFT(B105,8)&amp;"00"</f>
        <v>2110060200</v>
      </c>
      <c r="G105" s="33"/>
      <c r="H105" s="29"/>
      <c r="I105" s="81">
        <v>80</v>
      </c>
      <c r="J105"/>
      <c r="K105" s="125"/>
      <c r="L105"/>
      <c r="M105"/>
      <c r="N105"/>
    </row>
    <row r="106" spans="1:14" s="11" customFormat="1" ht="49.5" customHeight="1">
      <c r="A106" s="15">
        <f t="shared" ref="A106:A109" si="20">A105+1</f>
        <v>3</v>
      </c>
      <c r="B106" s="16" t="s">
        <v>281</v>
      </c>
      <c r="C106" s="36" t="s">
        <v>282</v>
      </c>
      <c r="D106" s="24">
        <v>1265300000</v>
      </c>
      <c r="E106" s="24">
        <f>ROUND(((100%+$H$102)*D106)*(100%+$H$103),-6)</f>
        <v>1518000000</v>
      </c>
      <c r="F106" s="37" t="str">
        <f t="shared" si="19"/>
        <v>2110060700</v>
      </c>
      <c r="G106" s="33"/>
      <c r="H106" s="29"/>
      <c r="I106" s="81">
        <v>81</v>
      </c>
      <c r="J106"/>
      <c r="K106" s="125"/>
      <c r="L106"/>
      <c r="M106"/>
      <c r="N106"/>
    </row>
    <row r="107" spans="1:14" s="11" customFormat="1" ht="49.5" customHeight="1">
      <c r="A107" s="15">
        <f t="shared" si="20"/>
        <v>4</v>
      </c>
      <c r="B107" s="16" t="s">
        <v>261</v>
      </c>
      <c r="C107" s="36" t="s">
        <v>283</v>
      </c>
      <c r="D107" s="24" t="s">
        <v>276</v>
      </c>
      <c r="E107" s="24" t="s">
        <v>276</v>
      </c>
      <c r="F107" s="38"/>
      <c r="G107" s="33"/>
      <c r="H107" s="29"/>
      <c r="I107" s="81">
        <v>82</v>
      </c>
      <c r="J107"/>
      <c r="K107" s="125"/>
      <c r="L107"/>
      <c r="M107"/>
      <c r="N107"/>
    </row>
    <row r="108" spans="1:14" s="11" customFormat="1" ht="49.5" customHeight="1">
      <c r="A108" s="15">
        <f t="shared" si="20"/>
        <v>5</v>
      </c>
      <c r="B108" s="16" t="s">
        <v>261</v>
      </c>
      <c r="C108" s="36" t="s">
        <v>284</v>
      </c>
      <c r="D108" s="24" t="s">
        <v>286</v>
      </c>
      <c r="E108" s="24" t="s">
        <v>286</v>
      </c>
      <c r="F108" s="38"/>
      <c r="G108" s="33"/>
      <c r="H108" s="29"/>
      <c r="I108" s="81">
        <v>83</v>
      </c>
      <c r="J108"/>
      <c r="K108" s="125"/>
      <c r="L108"/>
      <c r="M108"/>
      <c r="N108"/>
    </row>
    <row r="109" spans="1:14" s="11" customFormat="1" ht="49.5" customHeight="1">
      <c r="A109" s="15">
        <f t="shared" si="20"/>
        <v>6</v>
      </c>
      <c r="B109" s="16" t="s">
        <v>261</v>
      </c>
      <c r="C109" s="36" t="s">
        <v>285</v>
      </c>
      <c r="D109" s="24" t="s">
        <v>288</v>
      </c>
      <c r="E109" s="24" t="s">
        <v>288</v>
      </c>
      <c r="F109" s="38"/>
      <c r="G109" s="33"/>
      <c r="H109" s="29"/>
      <c r="I109" s="81">
        <v>84</v>
      </c>
      <c r="J109"/>
      <c r="K109" s="125"/>
      <c r="L109"/>
      <c r="M109"/>
      <c r="N109"/>
    </row>
    <row r="110" spans="1:14" s="12" customFormat="1" ht="49.5" customHeight="1">
      <c r="A110" s="253" t="s">
        <v>153</v>
      </c>
      <c r="B110" s="253"/>
      <c r="C110" s="253"/>
      <c r="D110" s="253"/>
      <c r="E110" s="31"/>
      <c r="F110" s="32"/>
      <c r="G110" s="33"/>
      <c r="H110" s="29"/>
      <c r="I110"/>
      <c r="J110"/>
      <c r="K110" s="125"/>
      <c r="L110"/>
      <c r="M110"/>
      <c r="N110"/>
    </row>
    <row r="111" spans="1:14" s="11" customFormat="1" ht="49.5" customHeight="1">
      <c r="A111" s="13" t="s">
        <v>0</v>
      </c>
      <c r="B111" s="14" t="s">
        <v>1</v>
      </c>
      <c r="C111" s="34" t="s">
        <v>2</v>
      </c>
      <c r="D111" s="23" t="s">
        <v>746</v>
      </c>
      <c r="E111" s="23" t="s">
        <v>464</v>
      </c>
      <c r="F111" s="35" t="s">
        <v>716</v>
      </c>
      <c r="G111" s="33"/>
      <c r="H111" s="29"/>
      <c r="I111"/>
      <c r="J111"/>
      <c r="K111" s="125"/>
      <c r="L111"/>
      <c r="M111"/>
      <c r="N111"/>
    </row>
    <row r="112" spans="1:14" s="11" customFormat="1" ht="49.5" customHeight="1">
      <c r="A112" s="15">
        <v>1</v>
      </c>
      <c r="B112" s="16" t="s">
        <v>154</v>
      </c>
      <c r="C112" s="36" t="s">
        <v>726</v>
      </c>
      <c r="D112" s="24">
        <v>1364200000</v>
      </c>
      <c r="E112" s="24">
        <f>E123+(14*$H$120)</f>
        <v>1637000000</v>
      </c>
      <c r="F112" s="37" t="str">
        <f>LEFT(B112,8)&amp;"00"</f>
        <v>2110080300</v>
      </c>
      <c r="G112" s="176">
        <f>E112+E113+E114+E114</f>
        <v>4510000000</v>
      </c>
      <c r="H112" s="29"/>
      <c r="I112" s="81">
        <v>85</v>
      </c>
      <c r="J112"/>
      <c r="K112" s="125"/>
      <c r="L112"/>
      <c r="M112"/>
      <c r="N112"/>
    </row>
    <row r="113" spans="1:14" s="11" customFormat="1" ht="49.5" customHeight="1">
      <c r="A113" s="15">
        <f>A112+1</f>
        <v>2</v>
      </c>
      <c r="B113" s="16" t="s">
        <v>155</v>
      </c>
      <c r="C113" s="36" t="s">
        <v>727</v>
      </c>
      <c r="D113" s="24">
        <v>1038800000</v>
      </c>
      <c r="E113" s="24">
        <f>E124+(11*$H$120)</f>
        <v>1247000000</v>
      </c>
      <c r="F113" s="37" t="str">
        <f t="shared" ref="F113:F116" si="21">LEFT(B113,8)&amp;"00"</f>
        <v>2110080200</v>
      </c>
      <c r="G113" s="33"/>
      <c r="H113" s="29"/>
      <c r="I113" s="81">
        <v>86</v>
      </c>
      <c r="J113"/>
      <c r="K113" s="125"/>
      <c r="L113"/>
      <c r="M113"/>
      <c r="N113"/>
    </row>
    <row r="114" spans="1:14" s="11" customFormat="1" ht="49.5" customHeight="1">
      <c r="A114" s="15">
        <f t="shared" ref="A114:A120" si="22">A113+1</f>
        <v>3</v>
      </c>
      <c r="B114" s="16" t="s">
        <v>156</v>
      </c>
      <c r="C114" s="36" t="s">
        <v>728</v>
      </c>
      <c r="D114" s="24">
        <v>677300000</v>
      </c>
      <c r="E114" s="24">
        <f>E125+(6.5*$H$120)</f>
        <v>813000000</v>
      </c>
      <c r="F114" s="37" t="str">
        <f t="shared" si="21"/>
        <v>2110080100</v>
      </c>
      <c r="G114" s="33"/>
      <c r="H114" s="29"/>
      <c r="I114" s="81">
        <v>87</v>
      </c>
      <c r="J114"/>
      <c r="K114" s="125"/>
      <c r="L114"/>
      <c r="M114"/>
      <c r="N114"/>
    </row>
    <row r="115" spans="1:14" s="11" customFormat="1" ht="49.5" customHeight="1">
      <c r="A115" s="15">
        <f t="shared" si="22"/>
        <v>4</v>
      </c>
      <c r="B115" s="16">
        <v>2110080500</v>
      </c>
      <c r="C115" s="36" t="s">
        <v>462</v>
      </c>
      <c r="D115" s="24">
        <v>330200000</v>
      </c>
      <c r="E115" s="24">
        <f>ROUND(((100%+$H$121)*D115)*(100%+$H$122),-6)</f>
        <v>396000000</v>
      </c>
      <c r="F115" s="37" t="str">
        <f t="shared" si="21"/>
        <v>2110080500</v>
      </c>
      <c r="G115" s="33"/>
      <c r="H115" s="29"/>
      <c r="I115" s="81">
        <v>88</v>
      </c>
      <c r="J115"/>
      <c r="K115" s="125"/>
      <c r="L115"/>
      <c r="M115"/>
      <c r="N115"/>
    </row>
    <row r="116" spans="1:14" s="11" customFormat="1" ht="49.5" customHeight="1">
      <c r="A116" s="15">
        <f t="shared" si="22"/>
        <v>5</v>
      </c>
      <c r="B116" s="16">
        <v>2110080600</v>
      </c>
      <c r="C116" s="36" t="s">
        <v>463</v>
      </c>
      <c r="D116" s="24">
        <v>238200000</v>
      </c>
      <c r="E116" s="24">
        <f>ROUND(((100%+$H$121)*D116)*(100%+$H$122),-6)</f>
        <v>286000000</v>
      </c>
      <c r="F116" s="37" t="str">
        <f t="shared" si="21"/>
        <v>2110080600</v>
      </c>
      <c r="G116" s="33"/>
      <c r="H116" s="29"/>
      <c r="I116" s="81">
        <v>89</v>
      </c>
      <c r="J116"/>
      <c r="K116" s="125"/>
      <c r="L116"/>
      <c r="M116"/>
      <c r="N116"/>
    </row>
    <row r="117" spans="1:14" s="11" customFormat="1" ht="49.5" customHeight="1">
      <c r="A117" s="15">
        <f t="shared" si="22"/>
        <v>6</v>
      </c>
      <c r="B117" s="16" t="s">
        <v>261</v>
      </c>
      <c r="C117" s="36" t="s">
        <v>289</v>
      </c>
      <c r="D117" s="24" t="s">
        <v>290</v>
      </c>
      <c r="E117" s="24" t="s">
        <v>290</v>
      </c>
      <c r="F117" s="38"/>
      <c r="G117" s="33"/>
      <c r="H117" s="29"/>
      <c r="I117" s="81">
        <v>90</v>
      </c>
      <c r="J117"/>
      <c r="K117" s="125"/>
      <c r="L117"/>
      <c r="M117"/>
      <c r="N117"/>
    </row>
    <row r="118" spans="1:14" s="11" customFormat="1" ht="49.5" customHeight="1">
      <c r="A118" s="15">
        <f t="shared" si="22"/>
        <v>7</v>
      </c>
      <c r="B118" s="16" t="s">
        <v>261</v>
      </c>
      <c r="C118" s="36" t="s">
        <v>291</v>
      </c>
      <c r="D118" s="24" t="s">
        <v>292</v>
      </c>
      <c r="E118" s="24" t="s">
        <v>292</v>
      </c>
      <c r="F118" s="38"/>
      <c r="G118" s="33"/>
      <c r="H118" s="29"/>
      <c r="I118" s="81">
        <v>91</v>
      </c>
      <c r="J118"/>
      <c r="K118" s="125"/>
      <c r="L118"/>
      <c r="M118"/>
      <c r="N118"/>
    </row>
    <row r="119" spans="1:14" s="11" customFormat="1" ht="49.5" customHeight="1">
      <c r="A119" s="15">
        <f t="shared" si="22"/>
        <v>8</v>
      </c>
      <c r="B119" s="16" t="s">
        <v>261</v>
      </c>
      <c r="C119" s="36" t="s">
        <v>293</v>
      </c>
      <c r="D119" s="24" t="s">
        <v>286</v>
      </c>
      <c r="E119" s="24" t="s">
        <v>286</v>
      </c>
      <c r="F119" s="38"/>
      <c r="G119" s="33"/>
      <c r="H119" s="29"/>
      <c r="I119" s="81">
        <v>92</v>
      </c>
      <c r="J119"/>
      <c r="K119" s="125"/>
      <c r="L119"/>
      <c r="M119"/>
      <c r="N119"/>
    </row>
    <row r="120" spans="1:14" s="11" customFormat="1" ht="49.5" customHeight="1">
      <c r="A120" s="15">
        <f t="shared" si="22"/>
        <v>9</v>
      </c>
      <c r="B120" s="16" t="s">
        <v>261</v>
      </c>
      <c r="C120" s="36" t="s">
        <v>294</v>
      </c>
      <c r="D120" s="24" t="s">
        <v>295</v>
      </c>
      <c r="E120" s="24" t="s">
        <v>295</v>
      </c>
      <c r="F120" s="38"/>
      <c r="G120" s="112" t="s">
        <v>698</v>
      </c>
      <c r="H120" s="113">
        <v>30000000</v>
      </c>
      <c r="I120" s="81">
        <v>93</v>
      </c>
      <c r="J120"/>
      <c r="K120" s="125"/>
      <c r="L120"/>
      <c r="M120"/>
      <c r="N120"/>
    </row>
    <row r="121" spans="1:14" s="11" customFormat="1" ht="49.5" customHeight="1">
      <c r="A121" s="253" t="s">
        <v>157</v>
      </c>
      <c r="B121" s="253"/>
      <c r="C121" s="253"/>
      <c r="D121" s="253"/>
      <c r="E121" s="31"/>
      <c r="F121" s="32"/>
      <c r="G121" s="112" t="s">
        <v>696</v>
      </c>
      <c r="H121" s="114">
        <v>0.2</v>
      </c>
      <c r="I121"/>
      <c r="J121"/>
      <c r="K121" s="125"/>
      <c r="L121"/>
      <c r="M121"/>
      <c r="N121"/>
    </row>
    <row r="122" spans="1:14" s="11" customFormat="1" ht="49.5" customHeight="1">
      <c r="A122" s="13" t="s">
        <v>0</v>
      </c>
      <c r="B122" s="14" t="s">
        <v>1</v>
      </c>
      <c r="C122" s="34" t="s">
        <v>2</v>
      </c>
      <c r="D122" s="23" t="s">
        <v>746</v>
      </c>
      <c r="E122" s="23" t="s">
        <v>464</v>
      </c>
      <c r="F122" s="35" t="s">
        <v>716</v>
      </c>
      <c r="G122" s="112" t="s">
        <v>697</v>
      </c>
      <c r="H122" s="114">
        <v>0</v>
      </c>
      <c r="I122"/>
      <c r="J122"/>
      <c r="K122" s="125"/>
      <c r="L122"/>
      <c r="M122"/>
      <c r="N122"/>
    </row>
    <row r="123" spans="1:14" s="12" customFormat="1" ht="49.5" customHeight="1">
      <c r="A123" s="15">
        <v>1</v>
      </c>
      <c r="B123" s="16" t="s">
        <v>154</v>
      </c>
      <c r="C123" s="36" t="s">
        <v>726</v>
      </c>
      <c r="D123" s="24">
        <v>1014200000</v>
      </c>
      <c r="E123" s="24">
        <f>ROUND(((100%+$H$121)*D123)*(100%+$H$122),-6)</f>
        <v>1217000000</v>
      </c>
      <c r="F123" s="37" t="str">
        <f>LEFT(B123,8)&amp;"00"</f>
        <v>2110080300</v>
      </c>
      <c r="G123" s="33"/>
      <c r="H123" s="29"/>
      <c r="I123" s="81">
        <v>94</v>
      </c>
      <c r="J123"/>
      <c r="K123" s="125"/>
      <c r="L123"/>
      <c r="M123"/>
      <c r="N123"/>
    </row>
    <row r="124" spans="1:14" s="11" customFormat="1" ht="49.5" customHeight="1">
      <c r="A124" s="15">
        <f>A123+1</f>
        <v>2</v>
      </c>
      <c r="B124" s="16" t="s">
        <v>155</v>
      </c>
      <c r="C124" s="36" t="s">
        <v>727</v>
      </c>
      <c r="D124" s="24">
        <v>763800000</v>
      </c>
      <c r="E124" s="24">
        <f>ROUND(((100%+$H$121)*D124)*(100%+$H$122),-6)</f>
        <v>917000000</v>
      </c>
      <c r="F124" s="37" t="str">
        <f t="shared" ref="F124:F126" si="23">LEFT(B124,8)&amp;"00"</f>
        <v>2110080200</v>
      </c>
      <c r="G124" s="33"/>
      <c r="H124" s="29"/>
      <c r="I124" s="81">
        <v>95</v>
      </c>
      <c r="J124"/>
      <c r="K124" s="125"/>
      <c r="L124"/>
      <c r="M124"/>
      <c r="N124"/>
    </row>
    <row r="125" spans="1:14" s="11" customFormat="1" ht="49.5" customHeight="1">
      <c r="A125" s="15">
        <f t="shared" ref="A125:A131" si="24">A124+1</f>
        <v>3</v>
      </c>
      <c r="B125" s="16" t="s">
        <v>156</v>
      </c>
      <c r="C125" s="36" t="s">
        <v>728</v>
      </c>
      <c r="D125" s="24">
        <v>514800000</v>
      </c>
      <c r="E125" s="24">
        <f>ROUND(((100%+$H$121)*D125)*(100%+$H$122),-6)</f>
        <v>618000000</v>
      </c>
      <c r="F125" s="37" t="str">
        <f t="shared" si="23"/>
        <v>2110080100</v>
      </c>
      <c r="G125" s="33"/>
      <c r="H125" s="29"/>
      <c r="I125" s="81">
        <v>96</v>
      </c>
      <c r="J125"/>
      <c r="K125" s="125"/>
      <c r="L125"/>
      <c r="M125"/>
      <c r="N125"/>
    </row>
    <row r="126" spans="1:14" s="11" customFormat="1" ht="49.5" customHeight="1">
      <c r="A126" s="15">
        <f t="shared" si="24"/>
        <v>4</v>
      </c>
      <c r="B126" s="16">
        <v>2110080500</v>
      </c>
      <c r="C126" s="36" t="s">
        <v>462</v>
      </c>
      <c r="D126" s="24">
        <v>330200000</v>
      </c>
      <c r="E126" s="24">
        <f>ROUND(((100%+$H$121)*D126)*(100%+$H$122),-6)</f>
        <v>396000000</v>
      </c>
      <c r="F126" s="37" t="str">
        <f t="shared" si="23"/>
        <v>2110080500</v>
      </c>
      <c r="G126" s="33"/>
      <c r="H126" s="29"/>
      <c r="I126" s="81">
        <v>97</v>
      </c>
      <c r="J126"/>
      <c r="K126" s="125"/>
      <c r="L126"/>
      <c r="M126"/>
      <c r="N126"/>
    </row>
    <row r="127" spans="1:14" s="11" customFormat="1" ht="49.5" customHeight="1">
      <c r="A127" s="15">
        <f t="shared" si="24"/>
        <v>5</v>
      </c>
      <c r="B127" s="16">
        <v>2110080600</v>
      </c>
      <c r="C127" s="36" t="s">
        <v>463</v>
      </c>
      <c r="D127" s="24">
        <v>238200000</v>
      </c>
      <c r="E127" s="24">
        <f>ROUND(((100%+$H$121)*D127)*(100%+$H$122),-6)</f>
        <v>286000000</v>
      </c>
      <c r="F127" s="37" t="str">
        <f>LEFT(B127,8)&amp;"00"</f>
        <v>2110080600</v>
      </c>
      <c r="G127" s="33"/>
      <c r="H127" s="29"/>
      <c r="I127" s="81">
        <v>98</v>
      </c>
      <c r="J127"/>
      <c r="K127" s="125"/>
      <c r="L127"/>
      <c r="M127"/>
      <c r="N127"/>
    </row>
    <row r="128" spans="1:14" s="11" customFormat="1" ht="49.5" customHeight="1">
      <c r="A128" s="15">
        <f t="shared" si="24"/>
        <v>6</v>
      </c>
      <c r="B128" s="16" t="s">
        <v>261</v>
      </c>
      <c r="C128" s="36" t="s">
        <v>289</v>
      </c>
      <c r="D128" s="24" t="s">
        <v>290</v>
      </c>
      <c r="E128" s="24" t="s">
        <v>290</v>
      </c>
      <c r="F128" s="38"/>
      <c r="G128" s="33"/>
      <c r="H128" s="29"/>
      <c r="I128" s="81">
        <v>99</v>
      </c>
      <c r="J128"/>
      <c r="K128" s="125"/>
      <c r="L128"/>
      <c r="M128"/>
      <c r="N128"/>
    </row>
    <row r="129" spans="1:14" s="11" customFormat="1" ht="49.5" customHeight="1">
      <c r="A129" s="15">
        <f t="shared" si="24"/>
        <v>7</v>
      </c>
      <c r="B129" s="16" t="s">
        <v>261</v>
      </c>
      <c r="C129" s="36" t="s">
        <v>291</v>
      </c>
      <c r="D129" s="24" t="s">
        <v>292</v>
      </c>
      <c r="E129" s="24" t="s">
        <v>292</v>
      </c>
      <c r="F129" s="38"/>
      <c r="G129" s="33"/>
      <c r="H129" s="29"/>
      <c r="I129" s="81">
        <v>100</v>
      </c>
      <c r="J129"/>
      <c r="K129" s="125"/>
      <c r="L129"/>
      <c r="M129"/>
      <c r="N129"/>
    </row>
    <row r="130" spans="1:14" s="11" customFormat="1" ht="49.5" customHeight="1">
      <c r="A130" s="15">
        <f t="shared" si="24"/>
        <v>8</v>
      </c>
      <c r="B130" s="16" t="s">
        <v>261</v>
      </c>
      <c r="C130" s="36" t="s">
        <v>293</v>
      </c>
      <c r="D130" s="24" t="s">
        <v>286</v>
      </c>
      <c r="E130" s="24" t="s">
        <v>286</v>
      </c>
      <c r="F130" s="38"/>
      <c r="G130" s="33"/>
      <c r="H130" s="29"/>
      <c r="I130" s="81">
        <v>101</v>
      </c>
      <c r="J130"/>
      <c r="K130" s="125"/>
      <c r="L130"/>
      <c r="M130"/>
      <c r="N130"/>
    </row>
    <row r="131" spans="1:14" s="11" customFormat="1" ht="49.5" customHeight="1">
      <c r="A131" s="15">
        <f t="shared" si="24"/>
        <v>9</v>
      </c>
      <c r="B131" s="16" t="s">
        <v>261</v>
      </c>
      <c r="C131" s="36" t="s">
        <v>294</v>
      </c>
      <c r="D131" s="24" t="s">
        <v>295</v>
      </c>
      <c r="E131" s="24" t="s">
        <v>295</v>
      </c>
      <c r="F131" s="38"/>
      <c r="G131" s="33"/>
      <c r="H131" s="29"/>
      <c r="I131" s="81">
        <v>102</v>
      </c>
      <c r="J131"/>
      <c r="K131" s="125"/>
      <c r="L131"/>
      <c r="M131"/>
      <c r="N131"/>
    </row>
    <row r="132" spans="1:14" s="12" customFormat="1" ht="49.5" customHeight="1">
      <c r="A132" s="253" t="s">
        <v>296</v>
      </c>
      <c r="B132" s="253"/>
      <c r="C132" s="253"/>
      <c r="D132" s="253"/>
      <c r="E132" s="31"/>
      <c r="F132" s="32"/>
      <c r="G132" s="33"/>
      <c r="H132" s="29"/>
      <c r="I132"/>
      <c r="J132"/>
      <c r="K132" s="125"/>
      <c r="L132"/>
      <c r="M132"/>
      <c r="N132"/>
    </row>
    <row r="133" spans="1:14" s="11" customFormat="1" ht="49.5" customHeight="1">
      <c r="A133" s="13" t="s">
        <v>0</v>
      </c>
      <c r="B133" s="14" t="s">
        <v>1</v>
      </c>
      <c r="C133" s="34" t="s">
        <v>2</v>
      </c>
      <c r="D133" s="23" t="s">
        <v>746</v>
      </c>
      <c r="E133" s="23" t="s">
        <v>464</v>
      </c>
      <c r="F133" s="35" t="s">
        <v>716</v>
      </c>
      <c r="G133" s="33"/>
      <c r="H133" s="29"/>
      <c r="I133"/>
      <c r="J133"/>
      <c r="K133" s="125"/>
      <c r="L133"/>
      <c r="M133"/>
      <c r="N133"/>
    </row>
    <row r="134" spans="1:14" s="11" customFormat="1" ht="49.5" customHeight="1">
      <c r="A134" s="15">
        <v>1</v>
      </c>
      <c r="B134" s="16" t="s">
        <v>297</v>
      </c>
      <c r="C134" s="36" t="s">
        <v>298</v>
      </c>
      <c r="D134" s="24">
        <v>1230500000</v>
      </c>
      <c r="E134" s="24">
        <f>E145+(13*$H$141)</f>
        <v>1456000000</v>
      </c>
      <c r="F134" s="37" t="str">
        <f>LEFT(B134,8)&amp;"00"</f>
        <v>2110090300</v>
      </c>
      <c r="G134" s="176">
        <f>E134+E135+E136+E136</f>
        <v>4023000000</v>
      </c>
      <c r="H134" s="29"/>
      <c r="I134" s="81">
        <v>103</v>
      </c>
      <c r="J134"/>
      <c r="K134" s="125"/>
      <c r="L134"/>
      <c r="M134"/>
      <c r="N134"/>
    </row>
    <row r="135" spans="1:14" s="11" customFormat="1" ht="49.5" customHeight="1">
      <c r="A135" s="15">
        <f>A134+1</f>
        <v>2</v>
      </c>
      <c r="B135" s="16" t="s">
        <v>299</v>
      </c>
      <c r="C135" s="36" t="s">
        <v>300</v>
      </c>
      <c r="D135" s="24">
        <v>923800000</v>
      </c>
      <c r="E135" s="24">
        <f>E146+(11*$H$141)</f>
        <v>1091000000</v>
      </c>
      <c r="F135" s="37" t="str">
        <f t="shared" ref="F135:F136" si="25">LEFT(B135,8)&amp;"00"</f>
        <v>2110090200</v>
      </c>
      <c r="G135" s="33"/>
      <c r="H135" s="29"/>
      <c r="I135" s="81">
        <v>104</v>
      </c>
      <c r="J135"/>
      <c r="K135" s="125"/>
      <c r="L135"/>
      <c r="M135"/>
      <c r="N135"/>
    </row>
    <row r="136" spans="1:14" s="11" customFormat="1" ht="49.5" customHeight="1">
      <c r="A136" s="15">
        <f t="shared" ref="A136:A141" si="26">A135+1</f>
        <v>3</v>
      </c>
      <c r="B136" s="16" t="s">
        <v>301</v>
      </c>
      <c r="C136" s="36" t="s">
        <v>302</v>
      </c>
      <c r="D136" s="24">
        <v>625400000</v>
      </c>
      <c r="E136" s="24">
        <f>E147+(7.5*$H$141)</f>
        <v>738000000</v>
      </c>
      <c r="F136" s="37" t="str">
        <f t="shared" si="25"/>
        <v>2110090100</v>
      </c>
      <c r="G136" s="33"/>
      <c r="H136" s="29"/>
      <c r="I136" s="81">
        <v>105</v>
      </c>
      <c r="J136"/>
      <c r="K136" s="125"/>
      <c r="L136"/>
      <c r="M136"/>
      <c r="N136"/>
    </row>
    <row r="137" spans="1:14" s="11" customFormat="1" ht="49.5" customHeight="1">
      <c r="A137" s="15"/>
      <c r="B137" s="16" t="s">
        <v>1569</v>
      </c>
      <c r="C137" s="36" t="s">
        <v>1570</v>
      </c>
      <c r="D137" s="24">
        <v>325200000</v>
      </c>
      <c r="E137" s="24">
        <f>ROUND(((100%+$H$142)*D137)*(100%+$H$143),-6)</f>
        <v>390000000</v>
      </c>
      <c r="F137" s="43"/>
      <c r="G137" s="33"/>
      <c r="H137" s="29"/>
      <c r="I137" s="81"/>
      <c r="J137"/>
      <c r="K137" s="125"/>
      <c r="L137"/>
      <c r="M137"/>
      <c r="N137"/>
    </row>
    <row r="138" spans="1:14" s="11" customFormat="1" ht="49.5" customHeight="1">
      <c r="A138" s="15">
        <f>A136+1</f>
        <v>4</v>
      </c>
      <c r="B138" s="16" t="s">
        <v>261</v>
      </c>
      <c r="C138" s="36" t="s">
        <v>304</v>
      </c>
      <c r="D138" s="24" t="s">
        <v>308</v>
      </c>
      <c r="E138" s="24" t="s">
        <v>308</v>
      </c>
      <c r="F138" s="38"/>
      <c r="G138" s="33"/>
      <c r="H138" s="29"/>
      <c r="I138" s="81">
        <v>106</v>
      </c>
      <c r="J138"/>
      <c r="K138" s="125"/>
      <c r="L138"/>
      <c r="M138"/>
      <c r="N138"/>
    </row>
    <row r="139" spans="1:14" s="11" customFormat="1" ht="49.5" customHeight="1">
      <c r="A139" s="15">
        <f t="shared" si="26"/>
        <v>5</v>
      </c>
      <c r="B139" s="16" t="s">
        <v>261</v>
      </c>
      <c r="C139" s="36" t="s">
        <v>305</v>
      </c>
      <c r="D139" s="24" t="s">
        <v>309</v>
      </c>
      <c r="E139" s="24" t="s">
        <v>309</v>
      </c>
      <c r="F139" s="38"/>
      <c r="G139" s="33"/>
      <c r="H139" s="29"/>
      <c r="I139" s="81">
        <v>107</v>
      </c>
      <c r="J139"/>
      <c r="K139" s="125"/>
      <c r="L139"/>
      <c r="M139"/>
      <c r="N139"/>
    </row>
    <row r="140" spans="1:14" s="11" customFormat="1" ht="49.5" customHeight="1">
      <c r="A140" s="15">
        <f t="shared" si="26"/>
        <v>6</v>
      </c>
      <c r="B140" s="16" t="s">
        <v>261</v>
      </c>
      <c r="C140" s="36" t="s">
        <v>306</v>
      </c>
      <c r="D140" s="24" t="s">
        <v>286</v>
      </c>
      <c r="E140" s="24" t="s">
        <v>286</v>
      </c>
      <c r="F140" s="38"/>
      <c r="G140" s="33"/>
      <c r="H140" s="29"/>
      <c r="I140" s="81">
        <v>108</v>
      </c>
      <c r="J140"/>
      <c r="K140" s="125"/>
      <c r="L140"/>
      <c r="M140"/>
      <c r="N140"/>
    </row>
    <row r="141" spans="1:14" s="11" customFormat="1" ht="49.5" customHeight="1">
      <c r="A141" s="15">
        <f t="shared" si="26"/>
        <v>7</v>
      </c>
      <c r="B141" s="16" t="s">
        <v>261</v>
      </c>
      <c r="C141" s="36" t="s">
        <v>307</v>
      </c>
      <c r="D141" s="24" t="s">
        <v>310</v>
      </c>
      <c r="E141" s="24" t="s">
        <v>310</v>
      </c>
      <c r="F141" s="38"/>
      <c r="G141" s="112" t="s">
        <v>698</v>
      </c>
      <c r="H141" s="113">
        <v>20000000</v>
      </c>
      <c r="I141" s="81">
        <v>109</v>
      </c>
      <c r="J141"/>
      <c r="K141" s="125"/>
      <c r="L141"/>
      <c r="M141"/>
      <c r="N141"/>
    </row>
    <row r="142" spans="1:14" s="11" customFormat="1" ht="49.5" customHeight="1">
      <c r="A142" s="17"/>
      <c r="B142" s="22"/>
      <c r="C142" s="39"/>
      <c r="D142" s="25"/>
      <c r="E142" s="40"/>
      <c r="F142" s="41"/>
      <c r="G142" s="112" t="s">
        <v>696</v>
      </c>
      <c r="H142" s="114">
        <v>0.2</v>
      </c>
      <c r="I142"/>
      <c r="J142"/>
      <c r="K142" s="125"/>
      <c r="L142"/>
      <c r="M142"/>
      <c r="N142"/>
    </row>
    <row r="143" spans="1:14" s="11" customFormat="1" ht="49.5" customHeight="1">
      <c r="A143" s="253" t="s">
        <v>303</v>
      </c>
      <c r="B143" s="253"/>
      <c r="C143" s="253"/>
      <c r="D143" s="253"/>
      <c r="E143" s="31"/>
      <c r="F143" s="32"/>
      <c r="G143" s="112" t="s">
        <v>697</v>
      </c>
      <c r="H143" s="114">
        <v>0</v>
      </c>
      <c r="I143"/>
      <c r="J143"/>
      <c r="K143" s="125"/>
      <c r="L143"/>
      <c r="M143"/>
      <c r="N143"/>
    </row>
    <row r="144" spans="1:14" s="11" customFormat="1" ht="49.5" customHeight="1">
      <c r="A144" s="13" t="s">
        <v>0</v>
      </c>
      <c r="B144" s="14" t="s">
        <v>1</v>
      </c>
      <c r="C144" s="34" t="s">
        <v>2</v>
      </c>
      <c r="D144" s="23" t="s">
        <v>746</v>
      </c>
      <c r="E144" s="23" t="s">
        <v>464</v>
      </c>
      <c r="F144" s="35" t="s">
        <v>716</v>
      </c>
      <c r="G144" s="33"/>
      <c r="H144" s="29"/>
      <c r="I144"/>
      <c r="J144"/>
      <c r="K144" s="125"/>
      <c r="L144"/>
      <c r="M144"/>
      <c r="N144"/>
    </row>
    <row r="145" spans="1:14" s="11" customFormat="1" ht="49.5" customHeight="1">
      <c r="A145" s="15">
        <v>1</v>
      </c>
      <c r="B145" s="16" t="s">
        <v>297</v>
      </c>
      <c r="C145" s="36" t="s">
        <v>298</v>
      </c>
      <c r="D145" s="24">
        <v>996500000</v>
      </c>
      <c r="E145" s="24">
        <f>ROUND(((100%+$H$142)*D145)*(100%+$H$143),-6)</f>
        <v>1196000000</v>
      </c>
      <c r="F145" s="37" t="str">
        <f>LEFT(B145,8)&amp;"00"</f>
        <v>2110090300</v>
      </c>
      <c r="G145" s="33"/>
      <c r="H145" s="29"/>
      <c r="I145" s="81">
        <v>110</v>
      </c>
      <c r="J145"/>
      <c r="K145" s="125"/>
      <c r="L145"/>
      <c r="M145"/>
      <c r="N145"/>
    </row>
    <row r="146" spans="1:14" s="11" customFormat="1" ht="49.5" customHeight="1">
      <c r="A146" s="15">
        <v>2</v>
      </c>
      <c r="B146" s="16" t="s">
        <v>299</v>
      </c>
      <c r="C146" s="36" t="s">
        <v>300</v>
      </c>
      <c r="D146" s="24">
        <v>725800000</v>
      </c>
      <c r="E146" s="24">
        <f>ROUND(((100%+$H$142)*D146)*(100%+$H$143),-6)</f>
        <v>871000000</v>
      </c>
      <c r="F146" s="37" t="str">
        <f t="shared" ref="F146:F147" si="27">LEFT(B146,8)&amp;"00"</f>
        <v>2110090200</v>
      </c>
      <c r="G146" s="33"/>
      <c r="H146" s="29"/>
      <c r="I146" s="81">
        <v>111</v>
      </c>
      <c r="J146"/>
      <c r="K146" s="125"/>
      <c r="L146"/>
      <c r="M146"/>
      <c r="N146"/>
    </row>
    <row r="147" spans="1:14" s="11" customFormat="1" ht="49.5" customHeight="1">
      <c r="A147" s="15">
        <f>A146+1</f>
        <v>3</v>
      </c>
      <c r="B147" s="16" t="s">
        <v>301</v>
      </c>
      <c r="C147" s="36" t="s">
        <v>302</v>
      </c>
      <c r="D147" s="24">
        <v>490400000</v>
      </c>
      <c r="E147" s="24">
        <f>ROUND(((100%+$H$142)*D147)*(100%+$H$143),-6)</f>
        <v>588000000</v>
      </c>
      <c r="F147" s="37" t="str">
        <f t="shared" si="27"/>
        <v>2110090100</v>
      </c>
      <c r="G147" s="33"/>
      <c r="H147" s="29"/>
      <c r="I147" s="81">
        <v>112</v>
      </c>
      <c r="J147"/>
      <c r="K147" s="125"/>
      <c r="L147"/>
      <c r="M147"/>
      <c r="N147"/>
    </row>
    <row r="148" spans="1:14" s="11" customFormat="1" ht="49.5" customHeight="1">
      <c r="A148" s="15"/>
      <c r="B148" s="16" t="s">
        <v>1569</v>
      </c>
      <c r="C148" s="36" t="s">
        <v>1570</v>
      </c>
      <c r="D148" s="24">
        <v>325200000</v>
      </c>
      <c r="E148" s="24">
        <f>ROUND(((100%+$H$142)*D148)*(100%+$H$143),-6)</f>
        <v>390000000</v>
      </c>
      <c r="F148" s="43"/>
      <c r="G148" s="33"/>
      <c r="H148" s="29"/>
      <c r="I148" s="81"/>
      <c r="J148"/>
      <c r="K148" s="125"/>
      <c r="L148"/>
      <c r="M148"/>
      <c r="N148"/>
    </row>
    <row r="149" spans="1:14" s="11" customFormat="1" ht="49.5" customHeight="1">
      <c r="A149" s="15">
        <f>A147+1</f>
        <v>4</v>
      </c>
      <c r="B149" s="16" t="s">
        <v>261</v>
      </c>
      <c r="C149" s="36" t="s">
        <v>304</v>
      </c>
      <c r="D149" s="24" t="s">
        <v>308</v>
      </c>
      <c r="E149" s="24" t="s">
        <v>308</v>
      </c>
      <c r="F149" s="38"/>
      <c r="G149" s="33"/>
      <c r="H149" s="29"/>
      <c r="I149" s="81">
        <v>113</v>
      </c>
      <c r="J149"/>
      <c r="K149" s="125"/>
      <c r="L149"/>
      <c r="M149"/>
      <c r="N149"/>
    </row>
    <row r="150" spans="1:14" s="11" customFormat="1" ht="49.5" customHeight="1">
      <c r="A150" s="15">
        <f t="shared" ref="A150:A152" si="28">A149+1</f>
        <v>5</v>
      </c>
      <c r="B150" s="16" t="s">
        <v>261</v>
      </c>
      <c r="C150" s="36" t="s">
        <v>305</v>
      </c>
      <c r="D150" s="24" t="s">
        <v>309</v>
      </c>
      <c r="E150" s="24" t="s">
        <v>309</v>
      </c>
      <c r="F150" s="38"/>
      <c r="G150" s="33"/>
      <c r="H150" s="29"/>
      <c r="I150" s="81">
        <v>114</v>
      </c>
      <c r="J150"/>
      <c r="K150" s="125"/>
      <c r="L150"/>
      <c r="M150"/>
      <c r="N150"/>
    </row>
    <row r="151" spans="1:14" s="11" customFormat="1" ht="49.5" customHeight="1">
      <c r="A151" s="15">
        <f t="shared" si="28"/>
        <v>6</v>
      </c>
      <c r="B151" s="16" t="s">
        <v>261</v>
      </c>
      <c r="C151" s="36" t="s">
        <v>306</v>
      </c>
      <c r="D151" s="24" t="s">
        <v>286</v>
      </c>
      <c r="E151" s="24" t="s">
        <v>286</v>
      </c>
      <c r="F151" s="38"/>
      <c r="G151" s="33"/>
      <c r="H151" s="29"/>
      <c r="I151" s="81">
        <v>115</v>
      </c>
      <c r="J151"/>
      <c r="K151" s="125"/>
      <c r="L151"/>
      <c r="M151"/>
      <c r="N151"/>
    </row>
    <row r="152" spans="1:14" s="11" customFormat="1" ht="49.5" customHeight="1">
      <c r="A152" s="15">
        <f t="shared" si="28"/>
        <v>7</v>
      </c>
      <c r="B152" s="16" t="s">
        <v>261</v>
      </c>
      <c r="C152" s="36" t="s">
        <v>307</v>
      </c>
      <c r="D152" s="24" t="s">
        <v>310</v>
      </c>
      <c r="E152" s="24" t="s">
        <v>310</v>
      </c>
      <c r="F152" s="38"/>
      <c r="G152" s="33"/>
      <c r="H152" s="29"/>
      <c r="I152" s="81">
        <v>116</v>
      </c>
      <c r="J152"/>
      <c r="K152" s="125"/>
      <c r="L152"/>
      <c r="M152"/>
      <c r="N152"/>
    </row>
    <row r="153" spans="1:14" s="11" customFormat="1" ht="49.5" customHeight="1">
      <c r="A153" s="253" t="s">
        <v>311</v>
      </c>
      <c r="B153" s="253"/>
      <c r="C153" s="253"/>
      <c r="D153" s="253"/>
      <c r="E153" s="31"/>
      <c r="F153" s="32"/>
      <c r="G153" s="33"/>
      <c r="H153" s="29"/>
      <c r="I153"/>
      <c r="J153"/>
      <c r="K153" s="125"/>
      <c r="L153"/>
      <c r="M153"/>
      <c r="N153"/>
    </row>
    <row r="154" spans="1:14" s="11" customFormat="1" ht="49.5" customHeight="1">
      <c r="A154" s="13" t="s">
        <v>0</v>
      </c>
      <c r="B154" s="14" t="s">
        <v>1</v>
      </c>
      <c r="C154" s="34" t="s">
        <v>2</v>
      </c>
      <c r="D154" s="23" t="s">
        <v>746</v>
      </c>
      <c r="E154" s="23" t="s">
        <v>464</v>
      </c>
      <c r="F154" s="35" t="s">
        <v>716</v>
      </c>
      <c r="G154" s="33"/>
      <c r="H154" s="29"/>
      <c r="I154"/>
      <c r="J154"/>
      <c r="K154" s="125"/>
      <c r="L154"/>
      <c r="M154"/>
      <c r="N154"/>
    </row>
    <row r="155" spans="1:14" s="11" customFormat="1" ht="49.5" customHeight="1">
      <c r="A155" s="15">
        <v>1</v>
      </c>
      <c r="B155" s="16" t="s">
        <v>312</v>
      </c>
      <c r="C155" s="36" t="s">
        <v>313</v>
      </c>
      <c r="D155" s="24">
        <v>1033000000</v>
      </c>
      <c r="E155" s="24">
        <f>E166+(11.5*$H$162)</f>
        <v>1221000000</v>
      </c>
      <c r="F155" s="37" t="str">
        <f>LEFT(B155,8)&amp;"00"</f>
        <v>2110100300</v>
      </c>
      <c r="G155" s="33"/>
      <c r="H155" s="29"/>
      <c r="I155" s="81">
        <v>117</v>
      </c>
      <c r="J155"/>
      <c r="K155" s="125"/>
      <c r="L155"/>
      <c r="M155"/>
      <c r="N155"/>
    </row>
    <row r="156" spans="1:14" s="11" customFormat="1" ht="49.5" customHeight="1">
      <c r="A156" s="15">
        <f>A155+1</f>
        <v>2</v>
      </c>
      <c r="B156" s="16" t="s">
        <v>314</v>
      </c>
      <c r="C156" s="36" t="s">
        <v>315</v>
      </c>
      <c r="D156" s="24">
        <v>769400000</v>
      </c>
      <c r="E156" s="24">
        <f>E167+(8.5*$H$162)</f>
        <v>910000000</v>
      </c>
      <c r="F156" s="37" t="str">
        <f t="shared" ref="F156:F159" si="29">LEFT(B156,8)&amp;"00"</f>
        <v>2110100200</v>
      </c>
      <c r="G156" s="33"/>
      <c r="H156" s="29"/>
      <c r="I156" s="81">
        <v>118</v>
      </c>
      <c r="J156"/>
      <c r="K156" s="125"/>
      <c r="L156"/>
      <c r="M156"/>
      <c r="N156"/>
    </row>
    <row r="157" spans="1:14" s="11" customFormat="1" ht="49.5" customHeight="1">
      <c r="A157" s="15">
        <f>A156+1</f>
        <v>3</v>
      </c>
      <c r="B157" s="16" t="s">
        <v>316</v>
      </c>
      <c r="C157" s="36" t="s">
        <v>317</v>
      </c>
      <c r="D157" s="24">
        <v>482800000</v>
      </c>
      <c r="E157" s="24">
        <f>E168+(4.5*$H$162)</f>
        <v>572000000</v>
      </c>
      <c r="F157" s="37" t="str">
        <f t="shared" si="29"/>
        <v>2110100100</v>
      </c>
      <c r="G157" s="33"/>
      <c r="H157" s="29"/>
      <c r="I157" s="81">
        <v>119</v>
      </c>
      <c r="J157"/>
      <c r="K157" s="125"/>
      <c r="L157"/>
      <c r="M157"/>
      <c r="N157"/>
    </row>
    <row r="158" spans="1:14" s="11" customFormat="1" ht="49.5" customHeight="1">
      <c r="A158" s="15">
        <f t="shared" ref="A158:A162" si="30">A157+1</f>
        <v>4</v>
      </c>
      <c r="B158" s="16" t="s">
        <v>318</v>
      </c>
      <c r="C158" s="36" t="s">
        <v>319</v>
      </c>
      <c r="D158" s="24">
        <v>288700000</v>
      </c>
      <c r="E158" s="24">
        <f>ROUND(((100%+$H$163)*D158)*(100%+$H$164),-6)</f>
        <v>346000000</v>
      </c>
      <c r="F158" s="37" t="str">
        <f t="shared" si="29"/>
        <v>2110100500</v>
      </c>
      <c r="G158" s="33"/>
      <c r="H158" s="29"/>
      <c r="I158" s="81">
        <v>120</v>
      </c>
      <c r="J158"/>
      <c r="K158" s="125"/>
      <c r="L158"/>
      <c r="M158"/>
      <c r="N158"/>
    </row>
    <row r="159" spans="1:14" s="11" customFormat="1" ht="49.5" customHeight="1">
      <c r="A159" s="15">
        <f t="shared" si="30"/>
        <v>5</v>
      </c>
      <c r="B159" s="16" t="s">
        <v>320</v>
      </c>
      <c r="C159" s="36" t="s">
        <v>321</v>
      </c>
      <c r="D159" s="24">
        <v>221000000</v>
      </c>
      <c r="E159" s="24">
        <f>ROUND(((100%+$H$163)*D159)*(100%+$H$164),-6)</f>
        <v>265000000</v>
      </c>
      <c r="F159" s="37" t="str">
        <f t="shared" si="29"/>
        <v>2110100600</v>
      </c>
      <c r="G159" s="33"/>
      <c r="H159" s="29"/>
      <c r="I159" s="81">
        <v>121</v>
      </c>
      <c r="J159"/>
      <c r="K159" s="125"/>
      <c r="L159"/>
      <c r="M159"/>
      <c r="N159"/>
    </row>
    <row r="160" spans="1:14" s="11" customFormat="1" ht="49.5" customHeight="1">
      <c r="A160" s="15">
        <f t="shared" si="30"/>
        <v>6</v>
      </c>
      <c r="B160" s="16" t="s">
        <v>322</v>
      </c>
      <c r="C160" s="36" t="s">
        <v>323</v>
      </c>
      <c r="D160" s="24" t="s">
        <v>324</v>
      </c>
      <c r="E160" s="24" t="s">
        <v>324</v>
      </c>
      <c r="F160" s="38"/>
      <c r="G160" s="33"/>
      <c r="H160" s="29"/>
      <c r="I160" s="81">
        <v>122</v>
      </c>
      <c r="J160"/>
      <c r="K160" s="125"/>
      <c r="L160"/>
      <c r="M160"/>
      <c r="N160"/>
    </row>
    <row r="161" spans="1:14" s="11" customFormat="1" ht="49.5" customHeight="1">
      <c r="A161" s="15">
        <f t="shared" si="30"/>
        <v>7</v>
      </c>
      <c r="B161" s="16" t="s">
        <v>322</v>
      </c>
      <c r="C161" s="36" t="s">
        <v>325</v>
      </c>
      <c r="D161" s="24" t="s">
        <v>326</v>
      </c>
      <c r="E161" s="24" t="s">
        <v>326</v>
      </c>
      <c r="F161" s="38"/>
      <c r="G161" s="33"/>
      <c r="H161" s="29"/>
      <c r="I161" s="81">
        <v>123</v>
      </c>
      <c r="J161"/>
      <c r="K161" s="125"/>
      <c r="L161"/>
      <c r="M161"/>
      <c r="N161"/>
    </row>
    <row r="162" spans="1:14" s="11" customFormat="1" ht="49.5" customHeight="1">
      <c r="A162" s="15">
        <f t="shared" si="30"/>
        <v>8</v>
      </c>
      <c r="B162" s="16" t="s">
        <v>322</v>
      </c>
      <c r="C162" s="36" t="s">
        <v>327</v>
      </c>
      <c r="D162" s="24" t="s">
        <v>328</v>
      </c>
      <c r="E162" s="24" t="s">
        <v>328</v>
      </c>
      <c r="F162" s="38"/>
      <c r="G162" s="112" t="s">
        <v>698</v>
      </c>
      <c r="H162" s="113">
        <v>20000000</v>
      </c>
      <c r="I162" s="81">
        <v>124</v>
      </c>
      <c r="J162"/>
      <c r="K162" s="125"/>
      <c r="L162"/>
      <c r="M162"/>
      <c r="N162"/>
    </row>
    <row r="163" spans="1:14" s="11" customFormat="1" ht="49.5" customHeight="1">
      <c r="A163" s="17"/>
      <c r="B163" s="22"/>
      <c r="C163" s="39"/>
      <c r="D163" s="25"/>
      <c r="E163" s="40"/>
      <c r="F163" s="41"/>
      <c r="G163" s="112" t="s">
        <v>696</v>
      </c>
      <c r="H163" s="114">
        <v>0.2</v>
      </c>
      <c r="I163"/>
      <c r="J163"/>
      <c r="K163" s="125"/>
      <c r="L163"/>
      <c r="M163"/>
      <c r="N163"/>
    </row>
    <row r="164" spans="1:14" s="11" customFormat="1" ht="49.5" customHeight="1">
      <c r="A164" s="253" t="s">
        <v>329</v>
      </c>
      <c r="B164" s="253"/>
      <c r="C164" s="253"/>
      <c r="D164" s="253"/>
      <c r="E164" s="31"/>
      <c r="F164" s="32"/>
      <c r="G164" s="112" t="s">
        <v>697</v>
      </c>
      <c r="H164" s="114">
        <v>0</v>
      </c>
      <c r="I164"/>
      <c r="J164"/>
      <c r="K164" s="125"/>
      <c r="L164"/>
      <c r="M164"/>
      <c r="N164"/>
    </row>
    <row r="165" spans="1:14" s="11" customFormat="1" ht="49.5" customHeight="1">
      <c r="A165" s="13" t="s">
        <v>0</v>
      </c>
      <c r="B165" s="14" t="s">
        <v>1</v>
      </c>
      <c r="C165" s="34" t="s">
        <v>2</v>
      </c>
      <c r="D165" s="23" t="s">
        <v>746</v>
      </c>
      <c r="E165" s="23" t="s">
        <v>464</v>
      </c>
      <c r="F165" s="35" t="s">
        <v>716</v>
      </c>
      <c r="G165" s="33"/>
      <c r="H165" s="29"/>
      <c r="I165"/>
      <c r="J165"/>
      <c r="K165" s="125"/>
      <c r="L165"/>
      <c r="M165"/>
      <c r="N165"/>
    </row>
    <row r="166" spans="1:14" s="11" customFormat="1" ht="49.5" customHeight="1">
      <c r="A166" s="15">
        <v>1</v>
      </c>
      <c r="B166" s="16" t="s">
        <v>312</v>
      </c>
      <c r="C166" s="36" t="s">
        <v>313</v>
      </c>
      <c r="D166" s="24">
        <v>826000000</v>
      </c>
      <c r="E166" s="24">
        <f>ROUND(((100%+$H$163)*D166)*(100%+$H$164),-6)</f>
        <v>991000000</v>
      </c>
      <c r="F166" s="37" t="str">
        <f>LEFT(B166,8)&amp;"00"</f>
        <v>2110100300</v>
      </c>
      <c r="G166" s="33"/>
      <c r="H166" s="29"/>
      <c r="I166" s="81">
        <v>125</v>
      </c>
      <c r="J166"/>
      <c r="K166" s="125"/>
      <c r="L166"/>
      <c r="M166"/>
      <c r="N166"/>
    </row>
    <row r="167" spans="1:14" s="11" customFormat="1" ht="49.5" customHeight="1">
      <c r="A167" s="15">
        <f>A166+1</f>
        <v>2</v>
      </c>
      <c r="B167" s="16" t="s">
        <v>314</v>
      </c>
      <c r="C167" s="36" t="s">
        <v>315</v>
      </c>
      <c r="D167" s="24">
        <v>616400000</v>
      </c>
      <c r="E167" s="24">
        <f>ROUND(((100%+$H$163)*D167)*(100%+$H$164),-6)</f>
        <v>740000000</v>
      </c>
      <c r="F167" s="37" t="str">
        <f t="shared" ref="F167:F169" si="31">LEFT(B167,8)&amp;"00"</f>
        <v>2110100200</v>
      </c>
      <c r="G167" s="33"/>
      <c r="H167" s="29"/>
      <c r="I167" s="81">
        <v>126</v>
      </c>
      <c r="J167"/>
      <c r="K167" s="125"/>
      <c r="L167"/>
      <c r="M167"/>
      <c r="N167"/>
    </row>
    <row r="168" spans="1:14" s="11" customFormat="1" ht="49.5" customHeight="1">
      <c r="A168" s="15">
        <f>A167+1</f>
        <v>3</v>
      </c>
      <c r="B168" s="16" t="s">
        <v>316</v>
      </c>
      <c r="C168" s="36" t="s">
        <v>317</v>
      </c>
      <c r="D168" s="24">
        <v>401800000</v>
      </c>
      <c r="E168" s="24">
        <f>ROUND(((100%+$H$163)*D168)*(100%+$H$164),-6)</f>
        <v>482000000</v>
      </c>
      <c r="F168" s="37" t="str">
        <f t="shared" si="31"/>
        <v>2110100100</v>
      </c>
      <c r="G168" s="33"/>
      <c r="H168" s="29"/>
      <c r="I168" s="81">
        <v>127</v>
      </c>
      <c r="J168"/>
      <c r="K168" s="125"/>
      <c r="L168"/>
      <c r="M168"/>
      <c r="N168"/>
    </row>
    <row r="169" spans="1:14" s="11" customFormat="1" ht="49.5" customHeight="1">
      <c r="A169" s="15">
        <f t="shared" ref="A169:A173" si="32">A168+1</f>
        <v>4</v>
      </c>
      <c r="B169" s="16" t="s">
        <v>318</v>
      </c>
      <c r="C169" s="36" t="s">
        <v>319</v>
      </c>
      <c r="D169" s="24">
        <v>288700000</v>
      </c>
      <c r="E169" s="24">
        <f>ROUND(((100%+$H$163)*D169)*(100%+$H$164),-6)</f>
        <v>346000000</v>
      </c>
      <c r="F169" s="37" t="str">
        <f t="shared" si="31"/>
        <v>2110100500</v>
      </c>
      <c r="G169" s="33"/>
      <c r="H169" s="29"/>
      <c r="I169" s="81">
        <v>128</v>
      </c>
      <c r="J169"/>
      <c r="K169" s="125"/>
      <c r="L169"/>
      <c r="M169"/>
      <c r="N169"/>
    </row>
    <row r="170" spans="1:14" s="11" customFormat="1" ht="49.5" customHeight="1">
      <c r="A170" s="15">
        <f t="shared" si="32"/>
        <v>5</v>
      </c>
      <c r="B170" s="16" t="s">
        <v>320</v>
      </c>
      <c r="C170" s="36" t="s">
        <v>321</v>
      </c>
      <c r="D170" s="24">
        <v>221000000</v>
      </c>
      <c r="E170" s="24">
        <f>ROUND(((100%+$H$163)*D170)*(100%+$H$164),-6)</f>
        <v>265000000</v>
      </c>
      <c r="F170" s="37" t="str">
        <f>LEFT(B170,8)&amp;"00"</f>
        <v>2110100600</v>
      </c>
      <c r="G170" s="33"/>
      <c r="H170" s="29"/>
      <c r="I170" s="81">
        <v>129</v>
      </c>
      <c r="J170"/>
      <c r="K170" s="125"/>
      <c r="L170"/>
      <c r="M170"/>
      <c r="N170"/>
    </row>
    <row r="171" spans="1:14" s="11" customFormat="1" ht="49.5" customHeight="1">
      <c r="A171" s="15">
        <f t="shared" si="32"/>
        <v>6</v>
      </c>
      <c r="B171" s="16" t="s">
        <v>322</v>
      </c>
      <c r="C171" s="36" t="s">
        <v>323</v>
      </c>
      <c r="D171" s="24" t="s">
        <v>324</v>
      </c>
      <c r="E171" s="24" t="s">
        <v>324</v>
      </c>
      <c r="F171" s="38"/>
      <c r="G171" s="33"/>
      <c r="H171" s="29"/>
      <c r="I171" s="81">
        <v>130</v>
      </c>
      <c r="J171"/>
      <c r="K171" s="125"/>
      <c r="L171"/>
      <c r="M171"/>
      <c r="N171"/>
    </row>
    <row r="172" spans="1:14" s="11" customFormat="1" ht="49.5" customHeight="1">
      <c r="A172" s="15">
        <f t="shared" si="32"/>
        <v>7</v>
      </c>
      <c r="B172" s="16" t="s">
        <v>322</v>
      </c>
      <c r="C172" s="36" t="s">
        <v>325</v>
      </c>
      <c r="D172" s="24" t="s">
        <v>326</v>
      </c>
      <c r="E172" s="24" t="s">
        <v>326</v>
      </c>
      <c r="F172" s="38"/>
      <c r="G172" s="33"/>
      <c r="H172" s="29"/>
      <c r="I172" s="81">
        <v>131</v>
      </c>
      <c r="J172"/>
      <c r="K172" s="125"/>
      <c r="L172"/>
      <c r="M172"/>
      <c r="N172"/>
    </row>
    <row r="173" spans="1:14" s="11" customFormat="1" ht="49.5" customHeight="1">
      <c r="A173" s="15">
        <f t="shared" si="32"/>
        <v>8</v>
      </c>
      <c r="B173" s="16" t="s">
        <v>322</v>
      </c>
      <c r="C173" s="36" t="s">
        <v>327</v>
      </c>
      <c r="D173" s="24" t="s">
        <v>328</v>
      </c>
      <c r="E173" s="24" t="s">
        <v>328</v>
      </c>
      <c r="F173" s="38"/>
      <c r="G173" s="33"/>
      <c r="H173" s="29"/>
      <c r="I173" s="81">
        <v>132</v>
      </c>
      <c r="J173"/>
      <c r="K173" s="125"/>
      <c r="L173"/>
      <c r="M173"/>
      <c r="N173"/>
    </row>
    <row r="174" spans="1:14" s="11" customFormat="1" ht="49.5" customHeight="1">
      <c r="A174" s="17"/>
      <c r="B174" s="21" t="s">
        <v>718</v>
      </c>
      <c r="C174" s="39"/>
      <c r="D174" s="25"/>
      <c r="E174" s="40"/>
      <c r="F174" s="41"/>
      <c r="G174" s="33"/>
      <c r="H174" s="29"/>
      <c r="I174"/>
      <c r="J174"/>
      <c r="K174" s="125"/>
      <c r="L174"/>
      <c r="M174"/>
      <c r="N174"/>
    </row>
    <row r="175" spans="1:14" s="11" customFormat="1" ht="49.5" customHeight="1">
      <c r="A175" s="13" t="s">
        <v>0</v>
      </c>
      <c r="B175" s="14" t="s">
        <v>1</v>
      </c>
      <c r="C175" s="34" t="s">
        <v>2</v>
      </c>
      <c r="D175" s="23" t="s">
        <v>746</v>
      </c>
      <c r="E175" s="23" t="s">
        <v>464</v>
      </c>
      <c r="F175" s="35" t="s">
        <v>716</v>
      </c>
      <c r="G175" s="33"/>
      <c r="H175" s="29"/>
      <c r="I175"/>
      <c r="J175"/>
      <c r="K175" s="125"/>
      <c r="L175"/>
      <c r="M175"/>
      <c r="N175"/>
    </row>
    <row r="176" spans="1:14" s="11" customFormat="1" ht="49.5" customHeight="1">
      <c r="A176" s="15">
        <v>1</v>
      </c>
      <c r="B176" s="16" t="s">
        <v>173</v>
      </c>
      <c r="C176" s="36" t="s">
        <v>729</v>
      </c>
      <c r="D176" s="24">
        <v>1138200000</v>
      </c>
      <c r="E176" s="24">
        <f>E188+(13*$H$185)</f>
        <v>1345000000</v>
      </c>
      <c r="F176" s="37" t="str">
        <f>LEFT(B176,8)&amp;"00"</f>
        <v>2110110300</v>
      </c>
      <c r="G176" s="33"/>
      <c r="H176" s="29"/>
      <c r="I176" s="81">
        <v>133</v>
      </c>
      <c r="J176"/>
      <c r="K176" s="125"/>
      <c r="L176"/>
      <c r="M176"/>
      <c r="N176"/>
    </row>
    <row r="177" spans="1:14" s="11" customFormat="1" ht="49.5" customHeight="1">
      <c r="A177" s="15">
        <f>A176+1</f>
        <v>2</v>
      </c>
      <c r="B177" s="16" t="s">
        <v>174</v>
      </c>
      <c r="C177" s="36" t="s">
        <v>730</v>
      </c>
      <c r="D177" s="24">
        <v>872600000</v>
      </c>
      <c r="E177" s="24">
        <f>E189+(11*$H$185)</f>
        <v>1030000000</v>
      </c>
      <c r="F177" s="37" t="str">
        <f t="shared" ref="F177:F181" si="33">LEFT(B177,8)&amp;"00"</f>
        <v>2110110200</v>
      </c>
      <c r="G177" s="33"/>
      <c r="H177" s="29"/>
      <c r="I177" s="81">
        <v>134</v>
      </c>
      <c r="J177"/>
      <c r="K177" s="125"/>
      <c r="L177"/>
      <c r="M177"/>
      <c r="N177"/>
    </row>
    <row r="178" spans="1:14" s="11" customFormat="1" ht="49.5" customHeight="1">
      <c r="A178" s="15">
        <f t="shared" ref="A178:A185" si="34">A177+1</f>
        <v>3</v>
      </c>
      <c r="B178" s="16" t="s">
        <v>175</v>
      </c>
      <c r="C178" s="36" t="s">
        <v>248</v>
      </c>
      <c r="D178" s="24">
        <v>576700000</v>
      </c>
      <c r="E178" s="24">
        <f>E190+(7*$H$185)</f>
        <v>681000000</v>
      </c>
      <c r="F178" s="37" t="str">
        <f t="shared" si="33"/>
        <v>2110110100</v>
      </c>
      <c r="G178" s="33"/>
      <c r="H178" s="29"/>
      <c r="I178" s="81">
        <v>135</v>
      </c>
      <c r="J178"/>
      <c r="K178" s="125"/>
      <c r="L178"/>
      <c r="M178"/>
      <c r="N178"/>
    </row>
    <row r="179" spans="1:14" s="11" customFormat="1" ht="49.5" customHeight="1">
      <c r="A179" s="15">
        <f t="shared" si="34"/>
        <v>4</v>
      </c>
      <c r="B179" s="16" t="s">
        <v>176</v>
      </c>
      <c r="C179" s="36" t="s">
        <v>177</v>
      </c>
      <c r="D179" s="24">
        <v>246200000</v>
      </c>
      <c r="E179" s="24">
        <f>ROUND(((100%+$H$186)*D179)*(100%+$H$187),-6)</f>
        <v>295000000</v>
      </c>
      <c r="F179" s="37" t="str">
        <f t="shared" si="33"/>
        <v>2110110500</v>
      </c>
      <c r="G179" s="33"/>
      <c r="H179" s="29"/>
      <c r="I179" s="81">
        <v>136</v>
      </c>
      <c r="J179"/>
      <c r="K179" s="125"/>
      <c r="L179"/>
      <c r="M179"/>
      <c r="N179"/>
    </row>
    <row r="180" spans="1:14" s="11" customFormat="1" ht="49.5" customHeight="1">
      <c r="A180" s="15">
        <f t="shared" si="34"/>
        <v>5</v>
      </c>
      <c r="B180" s="16" t="s">
        <v>178</v>
      </c>
      <c r="C180" s="36" t="s">
        <v>179</v>
      </c>
      <c r="D180" s="24">
        <v>246200000</v>
      </c>
      <c r="E180" s="24">
        <f>ROUND(((100%+$H$186)*D180)*(100%+$H$187),-6)</f>
        <v>295000000</v>
      </c>
      <c r="F180" s="37" t="str">
        <f t="shared" si="33"/>
        <v>2110110400</v>
      </c>
      <c r="G180" s="33"/>
      <c r="H180" s="29"/>
      <c r="I180" s="81">
        <v>137</v>
      </c>
      <c r="J180"/>
      <c r="K180" s="125"/>
      <c r="L180"/>
      <c r="M180"/>
      <c r="N180"/>
    </row>
    <row r="181" spans="1:14" s="11" customFormat="1" ht="49.5" customHeight="1">
      <c r="A181" s="15">
        <f t="shared" si="34"/>
        <v>6</v>
      </c>
      <c r="B181" s="16" t="s">
        <v>180</v>
      </c>
      <c r="C181" s="36" t="s">
        <v>181</v>
      </c>
      <c r="D181" s="24">
        <v>210200000</v>
      </c>
      <c r="E181" s="24">
        <f>ROUND(((100%+$H$186)*D181)*(100%+$H$187),-6)</f>
        <v>252000000</v>
      </c>
      <c r="F181" s="37" t="str">
        <f t="shared" si="33"/>
        <v>2110110600</v>
      </c>
      <c r="G181" s="33"/>
      <c r="H181" s="29"/>
      <c r="I181" s="81">
        <v>138</v>
      </c>
      <c r="J181"/>
      <c r="K181" s="125"/>
      <c r="L181"/>
      <c r="M181"/>
      <c r="N181"/>
    </row>
    <row r="182" spans="1:14" s="11" customFormat="1" ht="49.5" customHeight="1">
      <c r="A182" s="15">
        <f t="shared" si="34"/>
        <v>7</v>
      </c>
      <c r="B182" s="16" t="s">
        <v>261</v>
      </c>
      <c r="C182" s="36" t="s">
        <v>330</v>
      </c>
      <c r="D182" s="24" t="s">
        <v>290</v>
      </c>
      <c r="E182" s="24" t="s">
        <v>290</v>
      </c>
      <c r="F182" s="38"/>
      <c r="G182" s="33"/>
      <c r="H182" s="29"/>
      <c r="I182" s="81">
        <v>139</v>
      </c>
      <c r="J182"/>
      <c r="K182" s="125"/>
      <c r="L182"/>
      <c r="M182"/>
      <c r="N182"/>
    </row>
    <row r="183" spans="1:14" s="11" customFormat="1" ht="49.5" customHeight="1">
      <c r="A183" s="15">
        <f t="shared" si="34"/>
        <v>8</v>
      </c>
      <c r="B183" s="16" t="s">
        <v>261</v>
      </c>
      <c r="C183" s="36" t="s">
        <v>331</v>
      </c>
      <c r="D183" s="24" t="s">
        <v>309</v>
      </c>
      <c r="E183" s="24" t="s">
        <v>309</v>
      </c>
      <c r="F183" s="38"/>
      <c r="G183" s="33"/>
      <c r="H183" s="29"/>
      <c r="I183" s="81">
        <v>140</v>
      </c>
      <c r="J183"/>
      <c r="K183" s="125"/>
      <c r="L183"/>
      <c r="M183"/>
      <c r="N183"/>
    </row>
    <row r="184" spans="1:14" s="11" customFormat="1" ht="49.5" customHeight="1">
      <c r="A184" s="15">
        <f t="shared" si="34"/>
        <v>9</v>
      </c>
      <c r="B184" s="16" t="s">
        <v>261</v>
      </c>
      <c r="C184" s="36" t="s">
        <v>332</v>
      </c>
      <c r="D184" s="24" t="s">
        <v>286</v>
      </c>
      <c r="E184" s="24" t="s">
        <v>286</v>
      </c>
      <c r="F184" s="38"/>
      <c r="G184" s="33"/>
      <c r="H184" s="29"/>
      <c r="I184" s="81">
        <v>141</v>
      </c>
      <c r="J184"/>
      <c r="K184" s="125"/>
      <c r="L184"/>
      <c r="M184"/>
      <c r="N184"/>
    </row>
    <row r="185" spans="1:14" s="11" customFormat="1" ht="49.5" customHeight="1">
      <c r="A185" s="15">
        <f t="shared" si="34"/>
        <v>10</v>
      </c>
      <c r="B185" s="16" t="s">
        <v>261</v>
      </c>
      <c r="C185" s="36" t="s">
        <v>333</v>
      </c>
      <c r="D185" s="24" t="s">
        <v>275</v>
      </c>
      <c r="E185" s="24" t="s">
        <v>275</v>
      </c>
      <c r="F185" s="38"/>
      <c r="G185" s="112" t="s">
        <v>698</v>
      </c>
      <c r="H185" s="113">
        <v>20000000</v>
      </c>
      <c r="I185" s="81">
        <v>142</v>
      </c>
      <c r="J185"/>
      <c r="K185" s="125"/>
      <c r="L185"/>
      <c r="M185"/>
      <c r="N185"/>
    </row>
    <row r="186" spans="1:14" s="11" customFormat="1" ht="49.5" customHeight="1">
      <c r="A186" s="253" t="s">
        <v>182</v>
      </c>
      <c r="B186" s="253"/>
      <c r="C186" s="253"/>
      <c r="D186" s="253"/>
      <c r="E186" s="31"/>
      <c r="F186" s="32"/>
      <c r="G186" s="112" t="s">
        <v>696</v>
      </c>
      <c r="H186" s="114">
        <v>0.2</v>
      </c>
      <c r="I186"/>
      <c r="J186"/>
      <c r="K186" s="125"/>
      <c r="L186"/>
      <c r="M186"/>
      <c r="N186"/>
    </row>
    <row r="187" spans="1:14" s="11" customFormat="1" ht="49.5" customHeight="1">
      <c r="A187" s="13" t="s">
        <v>0</v>
      </c>
      <c r="B187" s="14" t="s">
        <v>1</v>
      </c>
      <c r="C187" s="34" t="s">
        <v>2</v>
      </c>
      <c r="D187" s="23" t="s">
        <v>746</v>
      </c>
      <c r="E187" s="23" t="s">
        <v>464</v>
      </c>
      <c r="F187" s="35" t="s">
        <v>716</v>
      </c>
      <c r="G187" s="112" t="s">
        <v>697</v>
      </c>
      <c r="H187" s="114">
        <v>0</v>
      </c>
      <c r="I187"/>
      <c r="J187"/>
      <c r="K187" s="125"/>
      <c r="L187"/>
      <c r="M187"/>
      <c r="N187"/>
    </row>
    <row r="188" spans="1:14" s="11" customFormat="1" ht="49.5" customHeight="1">
      <c r="A188" s="15">
        <v>1</v>
      </c>
      <c r="B188" s="16" t="s">
        <v>173</v>
      </c>
      <c r="C188" s="36" t="s">
        <v>729</v>
      </c>
      <c r="D188" s="24">
        <v>904200000</v>
      </c>
      <c r="E188" s="24">
        <f t="shared" ref="E188:E193" si="35">ROUND(((100%+$H$186)*D188)*(100%+$H$187),-6)</f>
        <v>1085000000</v>
      </c>
      <c r="F188" s="37" t="str">
        <f>LEFT(B188,8)&amp;"00"</f>
        <v>2110110300</v>
      </c>
      <c r="G188" s="33"/>
      <c r="H188" s="29"/>
      <c r="I188" s="81">
        <v>143</v>
      </c>
      <c r="J188"/>
      <c r="K188" s="125"/>
      <c r="L188"/>
      <c r="M188"/>
      <c r="N188"/>
    </row>
    <row r="189" spans="1:14" s="11" customFormat="1" ht="49.5" customHeight="1">
      <c r="A189" s="15">
        <f>A188+1</f>
        <v>2</v>
      </c>
      <c r="B189" s="16" t="s">
        <v>174</v>
      </c>
      <c r="C189" s="36" t="s">
        <v>730</v>
      </c>
      <c r="D189" s="24">
        <v>674600000</v>
      </c>
      <c r="E189" s="24">
        <f t="shared" si="35"/>
        <v>810000000</v>
      </c>
      <c r="F189" s="37" t="str">
        <f t="shared" ref="F189:F193" si="36">LEFT(B189,8)&amp;"00"</f>
        <v>2110110200</v>
      </c>
      <c r="G189" s="33"/>
      <c r="H189" s="29"/>
      <c r="I189" s="81">
        <v>144</v>
      </c>
      <c r="J189"/>
      <c r="K189" s="125"/>
      <c r="L189"/>
      <c r="M189"/>
      <c r="N189"/>
    </row>
    <row r="190" spans="1:14" s="11" customFormat="1" ht="49.5" customHeight="1">
      <c r="A190" s="15">
        <f t="shared" ref="A190:A197" si="37">A189+1</f>
        <v>3</v>
      </c>
      <c r="B190" s="16" t="s">
        <v>175</v>
      </c>
      <c r="C190" s="36" t="s">
        <v>248</v>
      </c>
      <c r="D190" s="24">
        <v>450700000</v>
      </c>
      <c r="E190" s="24">
        <f t="shared" si="35"/>
        <v>541000000</v>
      </c>
      <c r="F190" s="37" t="str">
        <f t="shared" si="36"/>
        <v>2110110100</v>
      </c>
      <c r="G190" s="33"/>
      <c r="H190" s="29"/>
      <c r="I190" s="81">
        <v>145</v>
      </c>
      <c r="J190"/>
      <c r="K190" s="125"/>
      <c r="L190"/>
      <c r="M190"/>
      <c r="N190"/>
    </row>
    <row r="191" spans="1:14" s="11" customFormat="1" ht="49.5" customHeight="1">
      <c r="A191" s="15">
        <f t="shared" si="37"/>
        <v>4</v>
      </c>
      <c r="B191" s="16" t="s">
        <v>176</v>
      </c>
      <c r="C191" s="36" t="s">
        <v>177</v>
      </c>
      <c r="D191" s="24">
        <v>246200000</v>
      </c>
      <c r="E191" s="24">
        <f t="shared" si="35"/>
        <v>295000000</v>
      </c>
      <c r="F191" s="37" t="str">
        <f t="shared" si="36"/>
        <v>2110110500</v>
      </c>
      <c r="G191" s="33"/>
      <c r="H191" s="29"/>
      <c r="I191" s="81">
        <v>146</v>
      </c>
      <c r="J191"/>
      <c r="K191" s="125"/>
      <c r="L191"/>
      <c r="M191"/>
      <c r="N191"/>
    </row>
    <row r="192" spans="1:14" s="11" customFormat="1" ht="49.5" customHeight="1">
      <c r="A192" s="15">
        <f t="shared" si="37"/>
        <v>5</v>
      </c>
      <c r="B192" s="16" t="s">
        <v>178</v>
      </c>
      <c r="C192" s="36" t="s">
        <v>179</v>
      </c>
      <c r="D192" s="24">
        <v>246200000</v>
      </c>
      <c r="E192" s="24">
        <f t="shared" si="35"/>
        <v>295000000</v>
      </c>
      <c r="F192" s="37" t="str">
        <f t="shared" si="36"/>
        <v>2110110400</v>
      </c>
      <c r="G192" s="33"/>
      <c r="H192" s="29"/>
      <c r="I192" s="81">
        <v>147</v>
      </c>
      <c r="J192"/>
      <c r="K192" s="125"/>
      <c r="L192"/>
      <c r="M192"/>
      <c r="N192"/>
    </row>
    <row r="193" spans="1:14" s="11" customFormat="1" ht="49.5" customHeight="1">
      <c r="A193" s="15">
        <f t="shared" si="37"/>
        <v>6</v>
      </c>
      <c r="B193" s="16" t="s">
        <v>180</v>
      </c>
      <c r="C193" s="36" t="s">
        <v>181</v>
      </c>
      <c r="D193" s="24">
        <v>210200000</v>
      </c>
      <c r="E193" s="24">
        <f t="shared" si="35"/>
        <v>252000000</v>
      </c>
      <c r="F193" s="37" t="str">
        <f t="shared" si="36"/>
        <v>2110110600</v>
      </c>
      <c r="G193" s="33"/>
      <c r="H193" s="29"/>
      <c r="I193" s="81">
        <v>148</v>
      </c>
      <c r="J193"/>
      <c r="K193" s="125"/>
      <c r="L193"/>
      <c r="M193"/>
      <c r="N193"/>
    </row>
    <row r="194" spans="1:14" s="11" customFormat="1" ht="49.5" customHeight="1">
      <c r="A194" s="15">
        <f t="shared" si="37"/>
        <v>7</v>
      </c>
      <c r="B194" s="16" t="s">
        <v>261</v>
      </c>
      <c r="C194" s="36" t="s">
        <v>330</v>
      </c>
      <c r="D194" s="24" t="s">
        <v>290</v>
      </c>
      <c r="E194" s="24" t="s">
        <v>290</v>
      </c>
      <c r="F194" s="38"/>
      <c r="G194" s="33"/>
      <c r="H194" s="29"/>
      <c r="I194" s="81">
        <v>149</v>
      </c>
      <c r="J194"/>
      <c r="K194" s="125"/>
      <c r="L194"/>
      <c r="M194"/>
      <c r="N194"/>
    </row>
    <row r="195" spans="1:14" s="11" customFormat="1" ht="49.5" customHeight="1">
      <c r="A195" s="15">
        <f t="shared" si="37"/>
        <v>8</v>
      </c>
      <c r="B195" s="16" t="s">
        <v>261</v>
      </c>
      <c r="C195" s="36" t="s">
        <v>331</v>
      </c>
      <c r="D195" s="24" t="s">
        <v>309</v>
      </c>
      <c r="E195" s="24" t="s">
        <v>309</v>
      </c>
      <c r="F195" s="38"/>
      <c r="G195" s="33"/>
      <c r="H195" s="29"/>
      <c r="I195" s="81">
        <v>150</v>
      </c>
      <c r="J195"/>
      <c r="K195" s="125"/>
      <c r="L195"/>
      <c r="M195"/>
      <c r="N195"/>
    </row>
    <row r="196" spans="1:14" s="11" customFormat="1" ht="49.5" customHeight="1">
      <c r="A196" s="15">
        <f t="shared" si="37"/>
        <v>9</v>
      </c>
      <c r="B196" s="16" t="s">
        <v>261</v>
      </c>
      <c r="C196" s="36" t="s">
        <v>332</v>
      </c>
      <c r="D196" s="24" t="s">
        <v>286</v>
      </c>
      <c r="E196" s="24" t="s">
        <v>286</v>
      </c>
      <c r="F196" s="38"/>
      <c r="G196" s="33"/>
      <c r="H196" s="29"/>
      <c r="I196" s="81">
        <v>151</v>
      </c>
      <c r="J196"/>
      <c r="K196" s="125"/>
      <c r="L196"/>
      <c r="M196"/>
      <c r="N196"/>
    </row>
    <row r="197" spans="1:14" s="11" customFormat="1" ht="49.5" customHeight="1">
      <c r="A197" s="15">
        <f t="shared" si="37"/>
        <v>10</v>
      </c>
      <c r="B197" s="16" t="s">
        <v>261</v>
      </c>
      <c r="C197" s="36" t="s">
        <v>333</v>
      </c>
      <c r="D197" s="24" t="s">
        <v>275</v>
      </c>
      <c r="E197" s="24" t="s">
        <v>275</v>
      </c>
      <c r="F197" s="38"/>
      <c r="G197" s="33"/>
      <c r="H197" s="29"/>
      <c r="I197" s="81">
        <v>152</v>
      </c>
      <c r="J197"/>
      <c r="K197" s="125"/>
      <c r="L197"/>
      <c r="M197"/>
      <c r="N197"/>
    </row>
    <row r="198" spans="1:14" s="11" customFormat="1" ht="49.5" customHeight="1">
      <c r="A198" s="253" t="s">
        <v>334</v>
      </c>
      <c r="B198" s="253"/>
      <c r="C198" s="253"/>
      <c r="D198" s="253"/>
      <c r="E198" s="31"/>
      <c r="F198" s="32"/>
      <c r="G198" s="33"/>
      <c r="H198" s="29"/>
      <c r="I198"/>
      <c r="J198"/>
      <c r="K198" s="125"/>
      <c r="L198"/>
      <c r="M198"/>
      <c r="N198"/>
    </row>
    <row r="199" spans="1:14" s="11" customFormat="1" ht="49.5" customHeight="1">
      <c r="A199" s="13" t="s">
        <v>0</v>
      </c>
      <c r="B199" s="14" t="s">
        <v>1</v>
      </c>
      <c r="C199" s="34" t="s">
        <v>2</v>
      </c>
      <c r="D199" s="23" t="s">
        <v>746</v>
      </c>
      <c r="E199" s="23" t="s">
        <v>464</v>
      </c>
      <c r="F199" s="35" t="s">
        <v>716</v>
      </c>
      <c r="G199" s="33"/>
      <c r="H199" s="29"/>
      <c r="I199"/>
      <c r="J199"/>
      <c r="K199" s="125"/>
      <c r="L199"/>
      <c r="M199"/>
      <c r="N199"/>
    </row>
    <row r="200" spans="1:14" s="11" customFormat="1" ht="49.5" customHeight="1">
      <c r="A200" s="15">
        <v>1</v>
      </c>
      <c r="B200" s="16" t="s">
        <v>335</v>
      </c>
      <c r="C200" s="36" t="s">
        <v>731</v>
      </c>
      <c r="D200" s="24">
        <v>1117000000</v>
      </c>
      <c r="E200" s="24">
        <f>E212+(12*$H$209)</f>
        <v>1321000000</v>
      </c>
      <c r="F200" s="37" t="str">
        <f>LEFT(B200,8)&amp;"00"</f>
        <v>2110120300</v>
      </c>
      <c r="G200" s="33"/>
      <c r="H200" s="29"/>
      <c r="I200" s="81">
        <v>153</v>
      </c>
      <c r="J200"/>
      <c r="K200" s="125"/>
      <c r="L200"/>
      <c r="M200"/>
      <c r="N200"/>
    </row>
    <row r="201" spans="1:14" s="11" customFormat="1" ht="49.5" customHeight="1">
      <c r="A201" s="15">
        <f>A200+1</f>
        <v>2</v>
      </c>
      <c r="B201" s="16" t="s">
        <v>336</v>
      </c>
      <c r="C201" s="36" t="s">
        <v>732</v>
      </c>
      <c r="D201" s="24">
        <v>829000000</v>
      </c>
      <c r="E201" s="24">
        <f>E213+(10*$H$209)</f>
        <v>979000000</v>
      </c>
      <c r="F201" s="37" t="str">
        <f t="shared" ref="F201:F203" si="38">LEFT(B201,8)&amp;"00"</f>
        <v>2110120200</v>
      </c>
      <c r="G201" s="33"/>
      <c r="H201" s="29"/>
      <c r="I201" s="81">
        <v>154</v>
      </c>
      <c r="J201"/>
      <c r="K201" s="125"/>
      <c r="L201"/>
      <c r="M201"/>
      <c r="N201"/>
    </row>
    <row r="202" spans="1:14" s="11" customFormat="1" ht="49.5" customHeight="1">
      <c r="A202" s="15">
        <f t="shared" ref="A202:A209" si="39">A201+1</f>
        <v>3</v>
      </c>
      <c r="B202" s="16" t="s">
        <v>337</v>
      </c>
      <c r="C202" s="36" t="s">
        <v>733</v>
      </c>
      <c r="D202" s="24">
        <v>562800000</v>
      </c>
      <c r="E202" s="24">
        <f>E214+(7*$H$209)</f>
        <v>664000000</v>
      </c>
      <c r="F202" s="37" t="str">
        <f t="shared" si="38"/>
        <v>2110120100</v>
      </c>
      <c r="G202" s="33"/>
      <c r="H202" s="29"/>
      <c r="I202" s="81">
        <v>155</v>
      </c>
      <c r="J202"/>
      <c r="K202" s="125"/>
      <c r="L202"/>
      <c r="M202"/>
      <c r="N202"/>
    </row>
    <row r="203" spans="1:14" s="11" customFormat="1" ht="49.5" customHeight="1">
      <c r="A203" s="15">
        <f t="shared" si="39"/>
        <v>4</v>
      </c>
      <c r="B203" s="16" t="s">
        <v>1630</v>
      </c>
      <c r="C203" s="36" t="s">
        <v>734</v>
      </c>
      <c r="D203" s="24">
        <v>562800000</v>
      </c>
      <c r="E203" s="24">
        <f>E215+(7*$H$209)</f>
        <v>664000000</v>
      </c>
      <c r="F203" s="37" t="str">
        <f t="shared" si="38"/>
        <v>2110120700</v>
      </c>
      <c r="G203" s="33"/>
      <c r="H203" s="29"/>
      <c r="I203" s="81">
        <v>156</v>
      </c>
      <c r="J203"/>
      <c r="K203" s="125"/>
      <c r="L203"/>
      <c r="M203"/>
      <c r="N203"/>
    </row>
    <row r="204" spans="1:14" s="11" customFormat="1" ht="49.5" customHeight="1">
      <c r="A204" s="15"/>
      <c r="B204" s="16" t="s">
        <v>1563</v>
      </c>
      <c r="C204" s="36" t="s">
        <v>1564</v>
      </c>
      <c r="D204" s="24">
        <v>506900000</v>
      </c>
      <c r="E204" s="24">
        <f>ROUND(((100%+$H$210)*D204)*(100%+$H$211),-6)</f>
        <v>608000000</v>
      </c>
      <c r="F204" s="43"/>
      <c r="G204" s="33"/>
      <c r="H204" s="29"/>
      <c r="I204" s="81"/>
      <c r="J204"/>
      <c r="K204" s="125"/>
      <c r="L204"/>
      <c r="M204"/>
      <c r="N204"/>
    </row>
    <row r="205" spans="1:14" s="11" customFormat="1" ht="49.5" customHeight="1">
      <c r="A205" s="15"/>
      <c r="B205" s="16" t="s">
        <v>1565</v>
      </c>
      <c r="C205" s="36" t="s">
        <v>1566</v>
      </c>
      <c r="D205" s="24">
        <v>506900000</v>
      </c>
      <c r="E205" s="24">
        <f>ROUND(((100%+$H$210)*D205)*(100%+$H$211),-6)</f>
        <v>608000000</v>
      </c>
      <c r="F205" s="43"/>
      <c r="G205" s="33"/>
      <c r="H205" s="29"/>
      <c r="I205" s="81"/>
      <c r="J205"/>
      <c r="K205" s="125"/>
      <c r="L205"/>
      <c r="M205"/>
      <c r="N205"/>
    </row>
    <row r="206" spans="1:14" s="11" customFormat="1" ht="49.5" customHeight="1">
      <c r="A206" s="15">
        <f>A203+1</f>
        <v>5</v>
      </c>
      <c r="B206" s="16" t="s">
        <v>261</v>
      </c>
      <c r="C206" s="36" t="s">
        <v>735</v>
      </c>
      <c r="D206" s="24" t="s">
        <v>290</v>
      </c>
      <c r="E206" s="24" t="s">
        <v>290</v>
      </c>
      <c r="F206" s="38"/>
      <c r="G206" s="33"/>
      <c r="H206" s="29"/>
      <c r="I206" s="81">
        <v>157</v>
      </c>
      <c r="J206"/>
      <c r="K206" s="125"/>
      <c r="L206"/>
      <c r="M206"/>
      <c r="N206"/>
    </row>
    <row r="207" spans="1:14" s="11" customFormat="1" ht="49.5" customHeight="1">
      <c r="A207" s="15">
        <f t="shared" si="39"/>
        <v>6</v>
      </c>
      <c r="B207" s="16" t="s">
        <v>261</v>
      </c>
      <c r="C207" s="36" t="s">
        <v>736</v>
      </c>
      <c r="D207" s="24" t="s">
        <v>338</v>
      </c>
      <c r="E207" s="24" t="s">
        <v>338</v>
      </c>
      <c r="F207" s="38"/>
      <c r="G207" s="33"/>
      <c r="H207" s="29"/>
      <c r="I207" s="81">
        <v>158</v>
      </c>
      <c r="J207"/>
      <c r="K207" s="125"/>
      <c r="L207"/>
      <c r="M207"/>
      <c r="N207"/>
    </row>
    <row r="208" spans="1:14" s="11" customFormat="1" ht="49.5" customHeight="1">
      <c r="A208" s="15">
        <f t="shared" si="39"/>
        <v>7</v>
      </c>
      <c r="B208" s="16" t="s">
        <v>261</v>
      </c>
      <c r="C208" s="36" t="s">
        <v>737</v>
      </c>
      <c r="D208" s="24" t="s">
        <v>271</v>
      </c>
      <c r="E208" s="24" t="s">
        <v>271</v>
      </c>
      <c r="F208" s="38"/>
      <c r="G208" s="33"/>
      <c r="H208" s="29"/>
      <c r="I208" s="81">
        <v>159</v>
      </c>
      <c r="J208"/>
      <c r="K208" s="125"/>
      <c r="L208"/>
      <c r="M208"/>
      <c r="N208"/>
    </row>
    <row r="209" spans="1:14" s="11" customFormat="1" ht="49.5" customHeight="1">
      <c r="A209" s="15">
        <f t="shared" si="39"/>
        <v>8</v>
      </c>
      <c r="B209" s="16" t="s">
        <v>261</v>
      </c>
      <c r="C209" s="36" t="s">
        <v>340</v>
      </c>
      <c r="D209" s="24" t="s">
        <v>275</v>
      </c>
      <c r="E209" s="24" t="s">
        <v>275</v>
      </c>
      <c r="F209" s="38"/>
      <c r="G209" s="112" t="s">
        <v>698</v>
      </c>
      <c r="H209" s="113">
        <v>20000000</v>
      </c>
      <c r="I209" s="81">
        <v>160</v>
      </c>
      <c r="J209"/>
      <c r="K209" s="125"/>
      <c r="L209"/>
      <c r="M209"/>
      <c r="N209"/>
    </row>
    <row r="210" spans="1:14" s="11" customFormat="1" ht="49.5" customHeight="1">
      <c r="A210" s="253" t="s">
        <v>339</v>
      </c>
      <c r="B210" s="253"/>
      <c r="C210" s="253"/>
      <c r="D210" s="253"/>
      <c r="E210" s="31"/>
      <c r="F210" s="32"/>
      <c r="G210" s="112" t="s">
        <v>696</v>
      </c>
      <c r="H210" s="114">
        <v>0.2</v>
      </c>
      <c r="I210"/>
      <c r="J210"/>
      <c r="K210" s="125"/>
      <c r="L210"/>
      <c r="M210"/>
      <c r="N210"/>
    </row>
    <row r="211" spans="1:14" s="11" customFormat="1" ht="49.5" customHeight="1">
      <c r="A211" s="13" t="s">
        <v>0</v>
      </c>
      <c r="B211" s="14" t="s">
        <v>1</v>
      </c>
      <c r="C211" s="34" t="s">
        <v>2</v>
      </c>
      <c r="D211" s="23" t="s">
        <v>746</v>
      </c>
      <c r="E211" s="23" t="s">
        <v>464</v>
      </c>
      <c r="F211" s="35" t="s">
        <v>716</v>
      </c>
      <c r="G211" s="112" t="s">
        <v>697</v>
      </c>
      <c r="H211" s="114">
        <v>0</v>
      </c>
      <c r="I211"/>
      <c r="J211"/>
      <c r="K211" s="125"/>
      <c r="L211"/>
      <c r="M211"/>
      <c r="N211"/>
    </row>
    <row r="212" spans="1:14" s="11" customFormat="1" ht="49.5" customHeight="1">
      <c r="A212" s="15">
        <v>1</v>
      </c>
      <c r="B212" s="16" t="s">
        <v>335</v>
      </c>
      <c r="C212" s="36" t="s">
        <v>731</v>
      </c>
      <c r="D212" s="24">
        <v>901000000</v>
      </c>
      <c r="E212" s="24">
        <f t="shared" ref="E212:E217" si="40">ROUND(((100%+$H$210)*D212)*(100%+$H$211),-6)</f>
        <v>1081000000</v>
      </c>
      <c r="F212" s="37" t="str">
        <f>LEFT(B212,8)&amp;"00"</f>
        <v>2110120300</v>
      </c>
      <c r="G212" s="33"/>
      <c r="H212" s="29"/>
      <c r="I212" s="81">
        <v>161</v>
      </c>
      <c r="J212"/>
      <c r="K212" s="125"/>
      <c r="L212"/>
      <c r="M212"/>
      <c r="N212"/>
    </row>
    <row r="213" spans="1:14" s="11" customFormat="1" ht="49.5" customHeight="1">
      <c r="A213" s="15">
        <f>A212+1</f>
        <v>2</v>
      </c>
      <c r="B213" s="16" t="s">
        <v>336</v>
      </c>
      <c r="C213" s="36" t="s">
        <v>732</v>
      </c>
      <c r="D213" s="24">
        <v>649000000</v>
      </c>
      <c r="E213" s="24">
        <f t="shared" si="40"/>
        <v>779000000</v>
      </c>
      <c r="F213" s="37" t="str">
        <f t="shared" ref="F213:F215" si="41">LEFT(B213,8)&amp;"00"</f>
        <v>2110120200</v>
      </c>
      <c r="G213" s="33"/>
      <c r="H213" s="29"/>
      <c r="I213" s="81">
        <v>162</v>
      </c>
      <c r="J213"/>
      <c r="K213" s="125"/>
      <c r="L213"/>
      <c r="M213"/>
      <c r="N213"/>
    </row>
    <row r="214" spans="1:14" s="11" customFormat="1" ht="49.5" customHeight="1">
      <c r="A214" s="15">
        <f t="shared" ref="A214:A221" si="42">A213+1</f>
        <v>3</v>
      </c>
      <c r="B214" s="16" t="s">
        <v>337</v>
      </c>
      <c r="C214" s="36" t="s">
        <v>733</v>
      </c>
      <c r="D214" s="24">
        <v>436800000</v>
      </c>
      <c r="E214" s="24">
        <f t="shared" si="40"/>
        <v>524000000</v>
      </c>
      <c r="F214" s="37" t="str">
        <f t="shared" si="41"/>
        <v>2110120100</v>
      </c>
      <c r="G214" s="33"/>
      <c r="H214" s="29"/>
      <c r="I214" s="81">
        <v>163</v>
      </c>
      <c r="J214"/>
      <c r="K214" s="125"/>
      <c r="L214"/>
      <c r="M214"/>
      <c r="N214"/>
    </row>
    <row r="215" spans="1:14" s="11" customFormat="1" ht="49.5" customHeight="1">
      <c r="A215" s="15">
        <f t="shared" si="42"/>
        <v>4</v>
      </c>
      <c r="B215" s="16" t="s">
        <v>337</v>
      </c>
      <c r="C215" s="36" t="s">
        <v>734</v>
      </c>
      <c r="D215" s="24">
        <v>436800000</v>
      </c>
      <c r="E215" s="24">
        <f t="shared" si="40"/>
        <v>524000000</v>
      </c>
      <c r="F215" s="37" t="str">
        <f t="shared" si="41"/>
        <v>2110120100</v>
      </c>
      <c r="G215" s="33"/>
      <c r="H215" s="29"/>
      <c r="I215" s="81">
        <v>164</v>
      </c>
      <c r="J215"/>
      <c r="K215" s="125"/>
      <c r="L215"/>
      <c r="M215"/>
      <c r="N215"/>
    </row>
    <row r="216" spans="1:14" s="11" customFormat="1" ht="49.5" customHeight="1">
      <c r="A216" s="15"/>
      <c r="B216" s="16" t="s">
        <v>1563</v>
      </c>
      <c r="C216" s="36" t="s">
        <v>1564</v>
      </c>
      <c r="D216" s="24">
        <v>506900000</v>
      </c>
      <c r="E216" s="24">
        <f t="shared" si="40"/>
        <v>608000000</v>
      </c>
      <c r="F216" s="43"/>
      <c r="G216" s="33"/>
      <c r="H216" s="29"/>
      <c r="I216" s="81"/>
      <c r="J216"/>
      <c r="K216" s="125"/>
      <c r="L216"/>
      <c r="M216"/>
      <c r="N216"/>
    </row>
    <row r="217" spans="1:14" s="11" customFormat="1" ht="49.5" customHeight="1">
      <c r="A217" s="15"/>
      <c r="B217" s="16" t="s">
        <v>1565</v>
      </c>
      <c r="C217" s="36" t="s">
        <v>1566</v>
      </c>
      <c r="D217" s="24">
        <v>506900000</v>
      </c>
      <c r="E217" s="24">
        <f t="shared" si="40"/>
        <v>608000000</v>
      </c>
      <c r="F217" s="43"/>
      <c r="G217" s="33"/>
      <c r="H217" s="29"/>
      <c r="I217" s="81"/>
      <c r="J217"/>
      <c r="K217" s="125"/>
      <c r="L217"/>
      <c r="M217"/>
      <c r="N217"/>
    </row>
    <row r="218" spans="1:14" s="11" customFormat="1" ht="49.5" customHeight="1">
      <c r="A218" s="15">
        <f>A215+1</f>
        <v>5</v>
      </c>
      <c r="B218" s="16" t="s">
        <v>261</v>
      </c>
      <c r="C218" s="36" t="s">
        <v>735</v>
      </c>
      <c r="D218" s="24" t="s">
        <v>290</v>
      </c>
      <c r="E218" s="24" t="str">
        <f t="shared" ref="E218:E221" si="43">D218</f>
        <v>35متر</v>
      </c>
      <c r="F218" s="38"/>
      <c r="G218" s="33"/>
      <c r="H218" s="29"/>
      <c r="I218" s="81">
        <v>165</v>
      </c>
      <c r="J218"/>
      <c r="K218" s="125"/>
      <c r="L218"/>
      <c r="M218"/>
      <c r="N218"/>
    </row>
    <row r="219" spans="1:14" s="11" customFormat="1" ht="49.5" customHeight="1">
      <c r="A219" s="15">
        <f t="shared" si="42"/>
        <v>6</v>
      </c>
      <c r="B219" s="16" t="s">
        <v>261</v>
      </c>
      <c r="C219" s="36" t="s">
        <v>736</v>
      </c>
      <c r="D219" s="24" t="s">
        <v>338</v>
      </c>
      <c r="E219" s="24" t="str">
        <f t="shared" si="43"/>
        <v>12متر</v>
      </c>
      <c r="F219" s="38"/>
      <c r="G219" s="33"/>
      <c r="H219" s="29"/>
      <c r="I219" s="81">
        <v>166</v>
      </c>
      <c r="J219"/>
      <c r="K219" s="125"/>
      <c r="L219"/>
      <c r="M219"/>
      <c r="N219"/>
    </row>
    <row r="220" spans="1:14" s="11" customFormat="1" ht="49.5" customHeight="1">
      <c r="A220" s="15">
        <f t="shared" si="42"/>
        <v>7</v>
      </c>
      <c r="B220" s="16" t="s">
        <v>261</v>
      </c>
      <c r="C220" s="36" t="s">
        <v>737</v>
      </c>
      <c r="D220" s="24" t="s">
        <v>271</v>
      </c>
      <c r="E220" s="24" t="str">
        <f t="shared" si="43"/>
        <v>10متر</v>
      </c>
      <c r="F220" s="38"/>
      <c r="G220" s="33"/>
      <c r="H220" s="29"/>
      <c r="I220" s="81">
        <v>167</v>
      </c>
      <c r="J220"/>
      <c r="K220" s="125"/>
      <c r="L220"/>
      <c r="M220"/>
      <c r="N220"/>
    </row>
    <row r="221" spans="1:14" s="11" customFormat="1" ht="49.5" customHeight="1">
      <c r="A221" s="15">
        <f t="shared" si="42"/>
        <v>8</v>
      </c>
      <c r="B221" s="16" t="s">
        <v>261</v>
      </c>
      <c r="C221" s="36" t="s">
        <v>340</v>
      </c>
      <c r="D221" s="24" t="s">
        <v>275</v>
      </c>
      <c r="E221" s="24" t="str">
        <f t="shared" si="43"/>
        <v>7متر</v>
      </c>
      <c r="F221" s="38"/>
      <c r="G221" s="33"/>
      <c r="H221" s="29"/>
      <c r="I221" s="81">
        <v>168</v>
      </c>
      <c r="J221"/>
      <c r="K221" s="125"/>
      <c r="L221"/>
      <c r="M221"/>
      <c r="N221"/>
    </row>
    <row r="222" spans="1:14" s="11" customFormat="1" ht="49.5" customHeight="1">
      <c r="A222" s="15"/>
      <c r="B222" s="16"/>
      <c r="C222" s="36"/>
      <c r="D222" s="24"/>
      <c r="E222" s="24"/>
      <c r="F222" s="38"/>
      <c r="G222" s="33"/>
      <c r="H222" s="29"/>
      <c r="I222"/>
      <c r="J222"/>
      <c r="K222" s="125"/>
      <c r="L222"/>
      <c r="M222"/>
      <c r="N222"/>
    </row>
    <row r="223" spans="1:14" s="11" customFormat="1" ht="49.5" customHeight="1">
      <c r="A223" s="255" t="s">
        <v>187</v>
      </c>
      <c r="B223" s="255"/>
      <c r="C223" s="36"/>
      <c r="D223" s="24"/>
      <c r="E223" s="24"/>
      <c r="F223" s="38"/>
      <c r="G223" s="33"/>
      <c r="H223" s="29"/>
      <c r="I223"/>
      <c r="J223"/>
      <c r="K223" s="125"/>
      <c r="L223"/>
      <c r="M223"/>
      <c r="N223"/>
    </row>
    <row r="224" spans="1:14" s="11" customFormat="1" ht="49.5" customHeight="1">
      <c r="A224" s="13" t="s">
        <v>0</v>
      </c>
      <c r="B224" s="14" t="s">
        <v>1</v>
      </c>
      <c r="C224" s="34" t="s">
        <v>2</v>
      </c>
      <c r="D224" s="23" t="s">
        <v>746</v>
      </c>
      <c r="E224" s="23" t="s">
        <v>464</v>
      </c>
      <c r="F224" s="35" t="s">
        <v>716</v>
      </c>
      <c r="G224" s="33"/>
      <c r="H224" s="29"/>
      <c r="I224"/>
      <c r="J224"/>
      <c r="K224" s="125"/>
      <c r="L224"/>
      <c r="M224"/>
      <c r="N224"/>
    </row>
    <row r="225" spans="1:14" s="11" customFormat="1" ht="49.5" customHeight="1">
      <c r="A225" s="15">
        <v>1</v>
      </c>
      <c r="B225" s="16" t="s">
        <v>342</v>
      </c>
      <c r="C225" s="36" t="s">
        <v>738</v>
      </c>
      <c r="D225" s="24">
        <v>4139800000</v>
      </c>
      <c r="E225" s="24">
        <f>E226+E227+E228+E228</f>
        <v>4921000000</v>
      </c>
      <c r="F225" s="37"/>
      <c r="G225" s="33"/>
      <c r="H225" s="29"/>
      <c r="I225" s="81">
        <v>169</v>
      </c>
      <c r="J225"/>
      <c r="K225" s="125"/>
      <c r="L225"/>
      <c r="M225"/>
      <c r="N225"/>
    </row>
    <row r="226" spans="1:14" s="11" customFormat="1" ht="49.5" customHeight="1">
      <c r="A226" s="15">
        <f>A225+1</f>
        <v>2</v>
      </c>
      <c r="B226" s="16" t="s">
        <v>341</v>
      </c>
      <c r="C226" s="36" t="s">
        <v>739</v>
      </c>
      <c r="D226" s="24">
        <v>1575800000</v>
      </c>
      <c r="E226" s="24">
        <f>E236+(11*$H$232)</f>
        <v>1873000000</v>
      </c>
      <c r="F226" s="37" t="str">
        <f t="shared" ref="F226:F228" si="44">LEFT(B226,8)&amp;"00"</f>
        <v>2110140300</v>
      </c>
      <c r="G226" s="33"/>
      <c r="H226" s="29"/>
      <c r="I226" s="81">
        <v>170</v>
      </c>
      <c r="J226"/>
      <c r="K226" s="125"/>
      <c r="L226"/>
      <c r="M226"/>
      <c r="N226"/>
    </row>
    <row r="227" spans="1:14" s="11" customFormat="1" ht="49.5" customHeight="1">
      <c r="A227" s="15">
        <f t="shared" ref="A227:A232" si="45">A226+1</f>
        <v>3</v>
      </c>
      <c r="B227" s="16" t="s">
        <v>188</v>
      </c>
      <c r="C227" s="36" t="s">
        <v>740</v>
      </c>
      <c r="D227" s="24">
        <v>1068000000</v>
      </c>
      <c r="E227" s="24">
        <f>E237+(8.5*$H$232)</f>
        <v>1268000000</v>
      </c>
      <c r="F227" s="37" t="str">
        <f t="shared" si="44"/>
        <v>2110140200</v>
      </c>
      <c r="G227" s="33"/>
      <c r="H227" s="29"/>
      <c r="I227" s="81">
        <v>171</v>
      </c>
      <c r="J227"/>
      <c r="K227" s="125"/>
      <c r="L227"/>
      <c r="M227"/>
      <c r="N227"/>
    </row>
    <row r="228" spans="1:14" s="11" customFormat="1" ht="49.5" customHeight="1">
      <c r="A228" s="15">
        <f t="shared" si="45"/>
        <v>4</v>
      </c>
      <c r="B228" s="16" t="s">
        <v>189</v>
      </c>
      <c r="C228" s="36" t="s">
        <v>741</v>
      </c>
      <c r="D228" s="24">
        <v>748000000</v>
      </c>
      <c r="E228" s="24">
        <f>E238+(4.8*$H$232)</f>
        <v>890000000</v>
      </c>
      <c r="F228" s="37" t="str">
        <f t="shared" si="44"/>
        <v>2110140100</v>
      </c>
      <c r="G228" s="33"/>
      <c r="H228" s="29"/>
      <c r="I228" s="81">
        <v>172</v>
      </c>
      <c r="J228"/>
      <c r="K228" s="125"/>
      <c r="L228"/>
      <c r="M228"/>
      <c r="N228"/>
    </row>
    <row r="229" spans="1:14" s="11" customFormat="1" ht="49.5" customHeight="1">
      <c r="A229" s="15">
        <f t="shared" si="45"/>
        <v>5</v>
      </c>
      <c r="B229" s="16" t="s">
        <v>261</v>
      </c>
      <c r="C229" s="36" t="s">
        <v>343</v>
      </c>
      <c r="D229" s="24">
        <v>28</v>
      </c>
      <c r="E229" s="24">
        <v>28</v>
      </c>
      <c r="F229" s="38"/>
      <c r="G229" s="33"/>
      <c r="H229" s="29"/>
      <c r="I229" s="81">
        <v>173</v>
      </c>
      <c r="J229"/>
      <c r="K229" s="125"/>
      <c r="L229"/>
      <c r="M229"/>
      <c r="N229"/>
    </row>
    <row r="230" spans="1:14" s="11" customFormat="1" ht="49.5" customHeight="1">
      <c r="A230" s="15">
        <f t="shared" si="45"/>
        <v>6</v>
      </c>
      <c r="B230" s="16" t="s">
        <v>261</v>
      </c>
      <c r="C230" s="36" t="s">
        <v>344</v>
      </c>
      <c r="D230" s="24">
        <v>11</v>
      </c>
      <c r="E230" s="24">
        <v>11</v>
      </c>
      <c r="F230" s="38"/>
      <c r="G230" s="33"/>
      <c r="H230" s="29"/>
      <c r="I230" s="81">
        <v>174</v>
      </c>
      <c r="J230"/>
      <c r="K230" s="125"/>
      <c r="L230"/>
      <c r="M230"/>
      <c r="N230"/>
    </row>
    <row r="231" spans="1:14" s="11" customFormat="1" ht="49.5" customHeight="1">
      <c r="A231" s="15">
        <f t="shared" si="45"/>
        <v>7</v>
      </c>
      <c r="B231" s="16" t="s">
        <v>261</v>
      </c>
      <c r="C231" s="36" t="s">
        <v>345</v>
      </c>
      <c r="D231" s="24" t="s">
        <v>346</v>
      </c>
      <c r="E231" s="24" t="s">
        <v>346</v>
      </c>
      <c r="F231" s="38"/>
      <c r="G231" s="33"/>
      <c r="H231" s="29"/>
      <c r="I231" s="81">
        <v>175</v>
      </c>
      <c r="J231"/>
      <c r="K231" s="125"/>
      <c r="L231"/>
      <c r="M231"/>
      <c r="N231"/>
    </row>
    <row r="232" spans="1:14" s="11" customFormat="1" ht="49.5" customHeight="1">
      <c r="A232" s="15">
        <f t="shared" si="45"/>
        <v>8</v>
      </c>
      <c r="B232" s="16" t="s">
        <v>261</v>
      </c>
      <c r="C232" s="36" t="s">
        <v>347</v>
      </c>
      <c r="D232" s="24" t="s">
        <v>348</v>
      </c>
      <c r="E232" s="24" t="s">
        <v>348</v>
      </c>
      <c r="F232" s="38"/>
      <c r="G232" s="112" t="s">
        <v>698</v>
      </c>
      <c r="H232" s="113">
        <v>20000000</v>
      </c>
      <c r="I232" s="81">
        <v>176</v>
      </c>
      <c r="J232"/>
      <c r="K232" s="125"/>
      <c r="L232"/>
      <c r="M232"/>
      <c r="N232"/>
    </row>
    <row r="233" spans="1:14" s="11" customFormat="1" ht="49.5" customHeight="1">
      <c r="A233" s="253" t="s">
        <v>190</v>
      </c>
      <c r="B233" s="253"/>
      <c r="C233" s="253"/>
      <c r="D233" s="253"/>
      <c r="E233" s="31"/>
      <c r="F233" s="32"/>
      <c r="G233" s="112" t="s">
        <v>696</v>
      </c>
      <c r="H233" s="114">
        <v>0.2</v>
      </c>
      <c r="I233"/>
      <c r="J233"/>
      <c r="K233" s="125"/>
      <c r="L233"/>
      <c r="M233"/>
      <c r="N233"/>
    </row>
    <row r="234" spans="1:14" s="11" customFormat="1" ht="49.5" customHeight="1">
      <c r="A234" s="13" t="s">
        <v>0</v>
      </c>
      <c r="B234" s="14" t="s">
        <v>1</v>
      </c>
      <c r="C234" s="34" t="s">
        <v>2</v>
      </c>
      <c r="D234" s="23" t="s">
        <v>746</v>
      </c>
      <c r="E234" s="23" t="s">
        <v>464</v>
      </c>
      <c r="F234" s="35" t="s">
        <v>716</v>
      </c>
      <c r="G234" s="112" t="s">
        <v>697</v>
      </c>
      <c r="H234" s="114">
        <v>0</v>
      </c>
      <c r="I234"/>
      <c r="J234"/>
      <c r="K234" s="125"/>
      <c r="L234"/>
      <c r="M234"/>
      <c r="N234"/>
    </row>
    <row r="235" spans="1:14" s="11" customFormat="1" ht="49.5" customHeight="1">
      <c r="A235" s="15">
        <v>1</v>
      </c>
      <c r="B235" s="16" t="s">
        <v>342</v>
      </c>
      <c r="C235" s="36" t="s">
        <v>738</v>
      </c>
      <c r="D235" s="24">
        <v>3616000000</v>
      </c>
      <c r="E235" s="24">
        <f>E236+E237+E238+E238</f>
        <v>4339000000</v>
      </c>
      <c r="F235" s="37"/>
      <c r="G235" s="33"/>
      <c r="H235" s="29"/>
      <c r="I235" s="81">
        <v>177</v>
      </c>
      <c r="J235"/>
      <c r="K235" s="125"/>
      <c r="L235"/>
      <c r="M235"/>
      <c r="N235"/>
    </row>
    <row r="236" spans="1:14" s="11" customFormat="1" ht="49.5" customHeight="1">
      <c r="A236" s="15">
        <f>A235+1</f>
        <v>2</v>
      </c>
      <c r="B236" s="16" t="s">
        <v>341</v>
      </c>
      <c r="C236" s="36" t="s">
        <v>739</v>
      </c>
      <c r="D236" s="24">
        <v>1377800000</v>
      </c>
      <c r="E236" s="24">
        <f>ROUND(((100%+$H$233)*D236)*(100%+$H$234),-6)</f>
        <v>1653000000</v>
      </c>
      <c r="F236" s="37" t="str">
        <f t="shared" ref="F236:F238" si="46">LEFT(B236,8)&amp;"00"</f>
        <v>2110140300</v>
      </c>
      <c r="G236" s="33"/>
      <c r="H236" s="29"/>
      <c r="I236" s="81">
        <v>178</v>
      </c>
      <c r="J236"/>
      <c r="K236" s="125"/>
      <c r="L236"/>
      <c r="M236"/>
      <c r="N236"/>
    </row>
    <row r="237" spans="1:14" s="11" customFormat="1" ht="49.5" customHeight="1">
      <c r="A237" s="15">
        <f t="shared" ref="A237:A242" si="47">A236+1</f>
        <v>3</v>
      </c>
      <c r="B237" s="16" t="s">
        <v>188</v>
      </c>
      <c r="C237" s="36" t="s">
        <v>740</v>
      </c>
      <c r="D237" s="24">
        <v>915000000</v>
      </c>
      <c r="E237" s="24">
        <f>ROUND(((100%+$H$233)*D237)*(100%+$H$234),-6)</f>
        <v>1098000000</v>
      </c>
      <c r="F237" s="37" t="str">
        <f t="shared" si="46"/>
        <v>2110140200</v>
      </c>
      <c r="G237" s="33"/>
      <c r="H237" s="29"/>
      <c r="I237" s="81">
        <v>179</v>
      </c>
      <c r="J237"/>
      <c r="K237" s="125"/>
      <c r="L237"/>
      <c r="M237"/>
      <c r="N237"/>
    </row>
    <row r="238" spans="1:14" s="11" customFormat="1" ht="49.5" customHeight="1">
      <c r="A238" s="15">
        <f t="shared" si="47"/>
        <v>4</v>
      </c>
      <c r="B238" s="16" t="s">
        <v>189</v>
      </c>
      <c r="C238" s="36" t="s">
        <v>741</v>
      </c>
      <c r="D238" s="24">
        <v>661600000</v>
      </c>
      <c r="E238" s="24">
        <f>ROUND(((100%+$H$233)*D238)*(100%+$H$234),-6)</f>
        <v>794000000</v>
      </c>
      <c r="F238" s="37" t="str">
        <f t="shared" si="46"/>
        <v>2110140100</v>
      </c>
      <c r="G238" s="33"/>
      <c r="H238" s="29"/>
      <c r="I238" s="81">
        <v>180</v>
      </c>
      <c r="J238"/>
      <c r="K238" s="125"/>
      <c r="L238"/>
      <c r="M238"/>
      <c r="N238"/>
    </row>
    <row r="239" spans="1:14" s="11" customFormat="1" ht="49.5" customHeight="1">
      <c r="A239" s="15">
        <f t="shared" si="47"/>
        <v>5</v>
      </c>
      <c r="B239" s="16" t="s">
        <v>261</v>
      </c>
      <c r="C239" s="36" t="s">
        <v>343</v>
      </c>
      <c r="D239" s="24">
        <v>28</v>
      </c>
      <c r="E239" s="24">
        <f>D239</f>
        <v>28</v>
      </c>
      <c r="F239" s="38"/>
      <c r="G239" s="33"/>
      <c r="H239" s="29"/>
      <c r="I239" s="81">
        <v>181</v>
      </c>
      <c r="J239"/>
      <c r="K239" s="125"/>
      <c r="L239"/>
      <c r="M239"/>
      <c r="N239"/>
    </row>
    <row r="240" spans="1:14" s="11" customFormat="1" ht="49.5" customHeight="1">
      <c r="A240" s="15">
        <f t="shared" si="47"/>
        <v>6</v>
      </c>
      <c r="B240" s="16" t="s">
        <v>261</v>
      </c>
      <c r="C240" s="36" t="s">
        <v>344</v>
      </c>
      <c r="D240" s="24">
        <v>11</v>
      </c>
      <c r="E240" s="24">
        <f t="shared" ref="E240:E242" si="48">D240</f>
        <v>11</v>
      </c>
      <c r="F240" s="38"/>
      <c r="G240" s="33"/>
      <c r="H240" s="29"/>
      <c r="I240" s="81">
        <v>182</v>
      </c>
      <c r="J240"/>
      <c r="K240" s="125"/>
      <c r="L240"/>
      <c r="M240"/>
      <c r="N240"/>
    </row>
    <row r="241" spans="1:14" s="11" customFormat="1" ht="49.5" customHeight="1">
      <c r="A241" s="15">
        <f t="shared" si="47"/>
        <v>7</v>
      </c>
      <c r="B241" s="16" t="s">
        <v>261</v>
      </c>
      <c r="C241" s="36" t="s">
        <v>345</v>
      </c>
      <c r="D241" s="24" t="s">
        <v>346</v>
      </c>
      <c r="E241" s="24" t="str">
        <f t="shared" si="48"/>
        <v>8/5</v>
      </c>
      <c r="F241" s="38"/>
      <c r="G241" s="33"/>
      <c r="H241" s="29"/>
      <c r="I241" s="81">
        <v>183</v>
      </c>
      <c r="J241"/>
      <c r="K241" s="125"/>
      <c r="L241"/>
      <c r="M241"/>
      <c r="N241"/>
    </row>
    <row r="242" spans="1:14" s="11" customFormat="1" ht="49.5" customHeight="1">
      <c r="A242" s="15">
        <f t="shared" si="47"/>
        <v>8</v>
      </c>
      <c r="B242" s="16" t="s">
        <v>261</v>
      </c>
      <c r="C242" s="36" t="s">
        <v>347</v>
      </c>
      <c r="D242" s="24" t="s">
        <v>348</v>
      </c>
      <c r="E242" s="24" t="str">
        <f t="shared" si="48"/>
        <v>4/8</v>
      </c>
      <c r="F242" s="38"/>
      <c r="G242" s="33"/>
      <c r="H242" s="29"/>
      <c r="I242" s="81">
        <v>184</v>
      </c>
      <c r="J242"/>
      <c r="K242" s="125"/>
      <c r="L242"/>
      <c r="M242"/>
      <c r="N242"/>
    </row>
    <row r="243" spans="1:14" s="11" customFormat="1" ht="49.5" customHeight="1">
      <c r="A243" s="253" t="s">
        <v>13</v>
      </c>
      <c r="B243" s="253"/>
      <c r="C243" s="253"/>
      <c r="D243" s="253"/>
      <c r="E243" s="31"/>
      <c r="F243" s="32"/>
      <c r="G243" s="33"/>
      <c r="H243" s="29"/>
      <c r="I243"/>
      <c r="J243"/>
      <c r="K243" s="125"/>
      <c r="L243"/>
      <c r="M243"/>
      <c r="N243"/>
    </row>
    <row r="244" spans="1:14" s="11" customFormat="1" ht="49.5" customHeight="1">
      <c r="A244" s="13" t="s">
        <v>0</v>
      </c>
      <c r="B244" s="14" t="s">
        <v>1</v>
      </c>
      <c r="C244" s="34" t="s">
        <v>2</v>
      </c>
      <c r="D244" s="23" t="s">
        <v>3</v>
      </c>
      <c r="E244" s="23" t="s">
        <v>464</v>
      </c>
      <c r="F244" s="35" t="s">
        <v>716</v>
      </c>
      <c r="G244" s="33"/>
      <c r="H244" s="29"/>
      <c r="I244"/>
      <c r="J244"/>
      <c r="K244" s="125"/>
      <c r="L244"/>
      <c r="M244"/>
      <c r="N244"/>
    </row>
    <row r="245" spans="1:14" s="11" customFormat="1" ht="99">
      <c r="A245" s="15">
        <v>1</v>
      </c>
      <c r="B245" s="16" t="s">
        <v>14</v>
      </c>
      <c r="C245" s="164" t="s">
        <v>1575</v>
      </c>
      <c r="D245" s="24">
        <v>5010100000</v>
      </c>
      <c r="E245" s="24">
        <f>E246+E247+E248+E248+E249+E250</f>
        <v>8132000000</v>
      </c>
      <c r="F245" s="37"/>
      <c r="G245" s="33"/>
      <c r="H245" s="29"/>
      <c r="I245" s="81">
        <v>185</v>
      </c>
      <c r="J245"/>
      <c r="K245" s="125"/>
      <c r="L245"/>
      <c r="M245"/>
      <c r="N245"/>
    </row>
    <row r="246" spans="1:14" s="11" customFormat="1" ht="49.5" customHeight="1">
      <c r="A246" s="15">
        <f>A245+1</f>
        <v>2</v>
      </c>
      <c r="B246" s="16" t="s">
        <v>15</v>
      </c>
      <c r="C246" s="36" t="s">
        <v>253</v>
      </c>
      <c r="D246" s="24">
        <v>2054200000</v>
      </c>
      <c r="E246" s="24">
        <f>E258+(16.5*$H$254)</f>
        <v>2498000000</v>
      </c>
      <c r="F246" s="37" t="str">
        <f t="shared" ref="F246:F248" si="49">LEFT(B246,8)&amp;"00"</f>
        <v>2110170300</v>
      </c>
      <c r="G246" s="33"/>
      <c r="H246" s="29"/>
      <c r="I246" s="81">
        <v>186</v>
      </c>
      <c r="J246"/>
      <c r="K246" s="125"/>
      <c r="L246"/>
      <c r="M246"/>
      <c r="N246"/>
    </row>
    <row r="247" spans="1:14" s="11" customFormat="1" ht="49.5" customHeight="1">
      <c r="A247" s="15">
        <f t="shared" ref="A247:A254" si="50">A246+1</f>
        <v>3</v>
      </c>
      <c r="B247" s="16" t="s">
        <v>16</v>
      </c>
      <c r="C247" s="36" t="s">
        <v>254</v>
      </c>
      <c r="D247" s="24">
        <v>1541400000</v>
      </c>
      <c r="E247" s="24">
        <f>E259+(13.5*$H$254)</f>
        <v>1877000000</v>
      </c>
      <c r="F247" s="37" t="str">
        <f t="shared" si="49"/>
        <v>2110170200</v>
      </c>
      <c r="G247" s="33"/>
      <c r="H247" s="29"/>
      <c r="I247" s="81">
        <v>187</v>
      </c>
      <c r="J247"/>
      <c r="K247" s="125"/>
      <c r="L247"/>
      <c r="M247"/>
      <c r="N247"/>
    </row>
    <row r="248" spans="1:14" s="11" customFormat="1" ht="49.5" customHeight="1">
      <c r="A248" s="15">
        <f t="shared" si="50"/>
        <v>4</v>
      </c>
      <c r="B248" s="16" t="s">
        <v>17</v>
      </c>
      <c r="C248" s="36" t="s">
        <v>255</v>
      </c>
      <c r="D248" s="24">
        <v>1020300000</v>
      </c>
      <c r="E248" s="24">
        <f>E260+(8.5*$H$254)</f>
        <v>1241000000</v>
      </c>
      <c r="F248" s="37" t="str">
        <f t="shared" si="49"/>
        <v>2110170100</v>
      </c>
      <c r="G248" s="33"/>
      <c r="H248" s="29"/>
      <c r="I248" s="81">
        <v>188</v>
      </c>
      <c r="J248"/>
      <c r="K248" s="125"/>
      <c r="L248"/>
      <c r="M248"/>
      <c r="N248"/>
    </row>
    <row r="249" spans="1:14" s="11" customFormat="1" ht="49.5" customHeight="1">
      <c r="A249" s="15"/>
      <c r="B249" s="16" t="s">
        <v>1571</v>
      </c>
      <c r="C249" s="36" t="s">
        <v>1572</v>
      </c>
      <c r="D249" s="24">
        <v>590900000</v>
      </c>
      <c r="E249" s="24">
        <f>ROUND(((100%+$H$255)*D249)*(100%+$H$256),-6)</f>
        <v>709000000</v>
      </c>
      <c r="F249" s="43"/>
      <c r="G249" s="33"/>
      <c r="H249" s="29"/>
      <c r="I249" s="81"/>
      <c r="J249"/>
      <c r="K249" s="125"/>
      <c r="L249"/>
      <c r="M249"/>
      <c r="N249"/>
    </row>
    <row r="250" spans="1:14" s="11" customFormat="1" ht="49.5" customHeight="1">
      <c r="A250" s="15"/>
      <c r="B250" s="16" t="s">
        <v>1573</v>
      </c>
      <c r="C250" s="36" t="s">
        <v>1574</v>
      </c>
      <c r="D250" s="24">
        <v>471800000</v>
      </c>
      <c r="E250" s="24">
        <f>ROUND(((100%+$H$255)*D250)*(100%+$H$256),-6)</f>
        <v>566000000</v>
      </c>
      <c r="F250" s="43"/>
      <c r="G250" s="33"/>
      <c r="H250" s="29"/>
      <c r="I250" s="81"/>
      <c r="J250"/>
      <c r="K250" s="125"/>
      <c r="L250"/>
      <c r="M250"/>
      <c r="N250"/>
    </row>
    <row r="251" spans="1:14" s="11" customFormat="1" ht="49.5" customHeight="1">
      <c r="A251" s="15">
        <f>A248+1</f>
        <v>5</v>
      </c>
      <c r="B251" s="16" t="s">
        <v>261</v>
      </c>
      <c r="C251" s="36" t="s">
        <v>349</v>
      </c>
      <c r="D251" s="24" t="s">
        <v>350</v>
      </c>
      <c r="E251" s="24" t="s">
        <v>350</v>
      </c>
      <c r="F251" s="38"/>
      <c r="G251" s="33"/>
      <c r="H251" s="29"/>
      <c r="I251" s="81">
        <v>189</v>
      </c>
      <c r="J251"/>
      <c r="K251" s="125"/>
      <c r="L251"/>
      <c r="M251"/>
      <c r="N251"/>
    </row>
    <row r="252" spans="1:14" s="11" customFormat="1" ht="49.5" customHeight="1">
      <c r="A252" s="15">
        <f t="shared" si="50"/>
        <v>6</v>
      </c>
      <c r="B252" s="16" t="s">
        <v>261</v>
      </c>
      <c r="C252" s="36" t="s">
        <v>351</v>
      </c>
      <c r="D252" s="24" t="s">
        <v>352</v>
      </c>
      <c r="E252" s="24" t="s">
        <v>352</v>
      </c>
      <c r="F252" s="38"/>
      <c r="G252" s="33"/>
      <c r="H252" s="29"/>
      <c r="I252" s="81">
        <v>190</v>
      </c>
      <c r="J252"/>
      <c r="K252" s="125"/>
      <c r="L252"/>
      <c r="M252"/>
      <c r="N252"/>
    </row>
    <row r="253" spans="1:14" s="11" customFormat="1" ht="49.5" customHeight="1">
      <c r="A253" s="15">
        <f t="shared" si="50"/>
        <v>7</v>
      </c>
      <c r="B253" s="16" t="s">
        <v>261</v>
      </c>
      <c r="C253" s="36" t="s">
        <v>353</v>
      </c>
      <c r="D253" s="24" t="s">
        <v>354</v>
      </c>
      <c r="E253" s="24" t="s">
        <v>354</v>
      </c>
      <c r="F253" s="38"/>
      <c r="G253" s="33"/>
      <c r="H253" s="29"/>
      <c r="I253" s="81">
        <v>191</v>
      </c>
      <c r="J253"/>
      <c r="K253" s="125"/>
      <c r="L253"/>
      <c r="M253"/>
      <c r="N253"/>
    </row>
    <row r="254" spans="1:14" s="11" customFormat="1" ht="49.5" customHeight="1">
      <c r="A254" s="15">
        <f t="shared" si="50"/>
        <v>8</v>
      </c>
      <c r="B254" s="16" t="s">
        <v>261</v>
      </c>
      <c r="C254" s="36" t="s">
        <v>355</v>
      </c>
      <c r="D254" s="24" t="s">
        <v>287</v>
      </c>
      <c r="E254" s="24" t="s">
        <v>287</v>
      </c>
      <c r="F254" s="38"/>
      <c r="G254" s="112" t="s">
        <v>698</v>
      </c>
      <c r="H254" s="113">
        <v>50000000</v>
      </c>
      <c r="I254" s="81">
        <v>192</v>
      </c>
      <c r="J254"/>
      <c r="K254" s="125"/>
      <c r="L254"/>
      <c r="M254"/>
      <c r="N254"/>
    </row>
    <row r="255" spans="1:14" s="11" customFormat="1" ht="49.5" customHeight="1">
      <c r="A255" s="253" t="s">
        <v>18</v>
      </c>
      <c r="B255" s="253"/>
      <c r="C255" s="253"/>
      <c r="D255" s="253"/>
      <c r="E255" s="31"/>
      <c r="F255" s="32"/>
      <c r="G255" s="112" t="s">
        <v>696</v>
      </c>
      <c r="H255" s="114">
        <v>0.2</v>
      </c>
      <c r="I255"/>
      <c r="J255"/>
      <c r="K255" s="125"/>
      <c r="L255"/>
      <c r="M255"/>
      <c r="N255"/>
    </row>
    <row r="256" spans="1:14" s="11" customFormat="1" ht="49.5" customHeight="1">
      <c r="A256" s="13" t="s">
        <v>0</v>
      </c>
      <c r="B256" s="14" t="s">
        <v>1</v>
      </c>
      <c r="C256" s="34" t="s">
        <v>2</v>
      </c>
      <c r="D256" s="23" t="s">
        <v>3</v>
      </c>
      <c r="E256" s="23" t="s">
        <v>464</v>
      </c>
      <c r="F256" s="35" t="s">
        <v>716</v>
      </c>
      <c r="G256" s="112" t="s">
        <v>697</v>
      </c>
      <c r="H256" s="114">
        <v>0</v>
      </c>
      <c r="I256"/>
      <c r="J256"/>
      <c r="K256" s="125"/>
      <c r="L256"/>
      <c r="M256"/>
      <c r="N256"/>
    </row>
    <row r="257" spans="1:14" s="11" customFormat="1" ht="49.5" customHeight="1">
      <c r="A257" s="15">
        <v>1</v>
      </c>
      <c r="B257" s="16" t="s">
        <v>14</v>
      </c>
      <c r="C257" s="36" t="s">
        <v>252</v>
      </c>
      <c r="D257" s="24">
        <v>3130100000</v>
      </c>
      <c r="E257" s="24">
        <f>E258+E259+E260+E260+E261+E262</f>
        <v>5782000000</v>
      </c>
      <c r="F257" s="37"/>
      <c r="G257" s="33"/>
      <c r="H257" s="29"/>
      <c r="I257" s="81">
        <v>193</v>
      </c>
      <c r="J257"/>
      <c r="K257" s="125"/>
      <c r="L257"/>
      <c r="M257"/>
      <c r="N257"/>
    </row>
    <row r="258" spans="1:14" s="11" customFormat="1" ht="49.5" customHeight="1">
      <c r="A258" s="15">
        <f>A257+1</f>
        <v>2</v>
      </c>
      <c r="B258" s="16" t="s">
        <v>15</v>
      </c>
      <c r="C258" s="36" t="s">
        <v>253</v>
      </c>
      <c r="D258" s="24">
        <v>1394200000</v>
      </c>
      <c r="E258" s="24">
        <f>ROUND(((100%+$H$255)*D258)*(100%+$H$256),-6)</f>
        <v>1673000000</v>
      </c>
      <c r="F258" s="37" t="str">
        <f t="shared" ref="F258:F260" si="51">LEFT(B258,8)&amp;"00"</f>
        <v>2110170300</v>
      </c>
      <c r="G258" s="33"/>
      <c r="H258" s="29"/>
      <c r="I258" s="81">
        <v>194</v>
      </c>
      <c r="J258"/>
      <c r="K258" s="125"/>
      <c r="L258"/>
      <c r="M258"/>
      <c r="N258"/>
    </row>
    <row r="259" spans="1:14" s="11" customFormat="1" ht="49.5" customHeight="1">
      <c r="A259" s="15">
        <f t="shared" ref="A259:A266" si="52">A258+1</f>
        <v>3</v>
      </c>
      <c r="B259" s="16" t="s">
        <v>16</v>
      </c>
      <c r="C259" s="36" t="s">
        <v>254</v>
      </c>
      <c r="D259" s="24">
        <v>1001400000</v>
      </c>
      <c r="E259" s="24">
        <f>ROUND(((100%+$H$255)*D259)*(100%+$H$256),-6)</f>
        <v>1202000000</v>
      </c>
      <c r="F259" s="37" t="str">
        <f t="shared" si="51"/>
        <v>2110170200</v>
      </c>
      <c r="G259" s="33"/>
      <c r="H259" s="29"/>
      <c r="I259" s="81">
        <v>195</v>
      </c>
      <c r="J259"/>
      <c r="K259" s="125"/>
      <c r="L259"/>
      <c r="M259"/>
      <c r="N259"/>
    </row>
    <row r="260" spans="1:14" s="11" customFormat="1" ht="49.5" customHeight="1">
      <c r="A260" s="15">
        <f t="shared" si="52"/>
        <v>4</v>
      </c>
      <c r="B260" s="16" t="s">
        <v>17</v>
      </c>
      <c r="C260" s="36" t="s">
        <v>255</v>
      </c>
      <c r="D260" s="24">
        <v>680300000</v>
      </c>
      <c r="E260" s="24">
        <f>ROUND(((100%+$H$255)*D260)*(100%+$H$256),-6)</f>
        <v>816000000</v>
      </c>
      <c r="F260" s="37" t="str">
        <f t="shared" si="51"/>
        <v>2110170100</v>
      </c>
      <c r="G260" s="33"/>
      <c r="H260" s="29"/>
      <c r="I260" s="81">
        <v>196</v>
      </c>
      <c r="J260"/>
      <c r="K260" s="125"/>
      <c r="L260"/>
      <c r="M260"/>
      <c r="N260"/>
    </row>
    <row r="261" spans="1:14" s="11" customFormat="1" ht="49.5" customHeight="1">
      <c r="A261" s="15"/>
      <c r="B261" s="16" t="s">
        <v>1571</v>
      </c>
      <c r="C261" s="36" t="s">
        <v>1572</v>
      </c>
      <c r="D261" s="24">
        <v>590900000</v>
      </c>
      <c r="E261" s="24">
        <f>ROUND(((100%+$H$255)*D261)*(100%+$H$256),-6)</f>
        <v>709000000</v>
      </c>
      <c r="F261" s="43"/>
      <c r="G261" s="33"/>
      <c r="H261" s="29"/>
      <c r="I261" s="81"/>
      <c r="J261"/>
      <c r="K261" s="125"/>
      <c r="L261"/>
      <c r="M261"/>
      <c r="N261"/>
    </row>
    <row r="262" spans="1:14" s="11" customFormat="1" ht="49.5" customHeight="1">
      <c r="A262" s="15"/>
      <c r="B262" s="16" t="s">
        <v>1573</v>
      </c>
      <c r="C262" s="36" t="s">
        <v>1574</v>
      </c>
      <c r="D262" s="24">
        <v>471800000</v>
      </c>
      <c r="E262" s="24">
        <f>ROUND(((100%+$H$255)*D262)*(100%+$H$256),-6)</f>
        <v>566000000</v>
      </c>
      <c r="F262" s="43"/>
      <c r="G262" s="33"/>
      <c r="H262" s="29"/>
      <c r="I262" s="81"/>
      <c r="J262"/>
      <c r="K262" s="125"/>
      <c r="L262"/>
      <c r="M262"/>
      <c r="N262"/>
    </row>
    <row r="263" spans="1:14" s="11" customFormat="1" ht="49.5" customHeight="1">
      <c r="A263" s="15">
        <f>A260+1</f>
        <v>5</v>
      </c>
      <c r="B263" s="16" t="s">
        <v>261</v>
      </c>
      <c r="C263" s="36" t="s">
        <v>349</v>
      </c>
      <c r="D263" s="24" t="s">
        <v>350</v>
      </c>
      <c r="E263" s="24" t="s">
        <v>350</v>
      </c>
      <c r="F263" s="38"/>
      <c r="G263" s="33"/>
      <c r="H263" s="29"/>
      <c r="I263" s="81">
        <v>197</v>
      </c>
      <c r="J263"/>
      <c r="K263" s="125"/>
      <c r="L263"/>
      <c r="M263"/>
      <c r="N263"/>
    </row>
    <row r="264" spans="1:14" s="11" customFormat="1" ht="49.5" customHeight="1">
      <c r="A264" s="15">
        <f t="shared" si="52"/>
        <v>6</v>
      </c>
      <c r="B264" s="16" t="s">
        <v>261</v>
      </c>
      <c r="C264" s="36" t="s">
        <v>351</v>
      </c>
      <c r="D264" s="24" t="s">
        <v>352</v>
      </c>
      <c r="E264" s="24" t="s">
        <v>352</v>
      </c>
      <c r="F264" s="38"/>
      <c r="G264" s="33"/>
      <c r="H264" s="29"/>
      <c r="I264" s="81">
        <v>198</v>
      </c>
      <c r="J264"/>
      <c r="K264" s="125"/>
      <c r="L264"/>
      <c r="M264"/>
      <c r="N264"/>
    </row>
    <row r="265" spans="1:14" s="11" customFormat="1" ht="49.5" customHeight="1">
      <c r="A265" s="15">
        <f t="shared" si="52"/>
        <v>7</v>
      </c>
      <c r="B265" s="16" t="s">
        <v>261</v>
      </c>
      <c r="C265" s="36" t="s">
        <v>353</v>
      </c>
      <c r="D265" s="24" t="s">
        <v>354</v>
      </c>
      <c r="E265" s="24" t="s">
        <v>354</v>
      </c>
      <c r="F265" s="38"/>
      <c r="G265" s="33"/>
      <c r="H265" s="29"/>
      <c r="I265" s="81">
        <v>199</v>
      </c>
      <c r="J265"/>
      <c r="K265" s="125"/>
      <c r="L265"/>
      <c r="M265"/>
      <c r="N265"/>
    </row>
    <row r="266" spans="1:14" s="11" customFormat="1" ht="49.5" customHeight="1">
      <c r="A266" s="15">
        <f t="shared" si="52"/>
        <v>8</v>
      </c>
      <c r="B266" s="16" t="s">
        <v>261</v>
      </c>
      <c r="C266" s="36" t="s">
        <v>355</v>
      </c>
      <c r="D266" s="24" t="s">
        <v>287</v>
      </c>
      <c r="E266" s="24" t="s">
        <v>287</v>
      </c>
      <c r="F266" s="38"/>
      <c r="G266" s="33"/>
      <c r="H266" s="29"/>
      <c r="I266" s="81">
        <v>200</v>
      </c>
      <c r="J266"/>
      <c r="K266" s="125"/>
      <c r="L266"/>
      <c r="M266"/>
      <c r="N266"/>
    </row>
    <row r="267" spans="1:14" s="11" customFormat="1" ht="49.5" customHeight="1">
      <c r="A267" s="253" t="s">
        <v>467</v>
      </c>
      <c r="B267" s="253"/>
      <c r="C267" s="253"/>
      <c r="D267" s="253"/>
      <c r="E267" s="24"/>
      <c r="F267" s="38"/>
      <c r="G267" s="33"/>
      <c r="H267" s="29"/>
      <c r="I267"/>
      <c r="J267"/>
      <c r="K267" s="125"/>
      <c r="L267"/>
      <c r="M267"/>
      <c r="N267"/>
    </row>
    <row r="268" spans="1:14" s="11" customFormat="1" ht="49.5" customHeight="1">
      <c r="A268" s="13" t="s">
        <v>0</v>
      </c>
      <c r="B268" s="14" t="s">
        <v>1</v>
      </c>
      <c r="C268" s="34" t="s">
        <v>448</v>
      </c>
      <c r="D268" s="23" t="s">
        <v>251</v>
      </c>
      <c r="E268" s="23" t="s">
        <v>464</v>
      </c>
      <c r="F268" s="35" t="s">
        <v>716</v>
      </c>
      <c r="G268" s="33"/>
      <c r="H268" s="29"/>
      <c r="I268"/>
      <c r="J268"/>
      <c r="K268" s="125"/>
      <c r="L268"/>
      <c r="M268"/>
      <c r="N268"/>
    </row>
    <row r="269" spans="1:14" s="11" customFormat="1" ht="49.5" customHeight="1">
      <c r="A269" s="15">
        <v>1</v>
      </c>
      <c r="B269" s="16">
        <v>2110190100</v>
      </c>
      <c r="C269" s="36" t="s">
        <v>468</v>
      </c>
      <c r="D269" s="24">
        <v>705600000</v>
      </c>
      <c r="E269" s="24">
        <f>E288+(5.5*$H$285)</f>
        <v>814000000</v>
      </c>
      <c r="F269" s="37" t="str">
        <f>LEFT(B269,8)&amp;"00"</f>
        <v>2110190100</v>
      </c>
      <c r="G269" s="33"/>
      <c r="H269" s="29"/>
      <c r="I269" s="81">
        <v>201</v>
      </c>
      <c r="J269"/>
      <c r="K269" s="125"/>
      <c r="L269"/>
      <c r="M269"/>
      <c r="N269"/>
    </row>
    <row r="270" spans="1:14" s="11" customFormat="1" ht="49.5" customHeight="1">
      <c r="A270" s="15">
        <f>A269+1</f>
        <v>2</v>
      </c>
      <c r="B270" s="16">
        <v>2110191200</v>
      </c>
      <c r="C270" s="36" t="s">
        <v>469</v>
      </c>
      <c r="D270" s="24">
        <v>899500000</v>
      </c>
      <c r="E270" s="24">
        <f>E289+(9*$H$285)</f>
        <v>1025000000</v>
      </c>
      <c r="F270" s="37" t="str">
        <f t="shared" ref="F270:F277" si="53">LEFT(B270,8)&amp;"00"</f>
        <v>2110191200</v>
      </c>
      <c r="G270" s="33"/>
      <c r="H270" s="29"/>
      <c r="I270" s="81">
        <v>202</v>
      </c>
      <c r="J270"/>
      <c r="K270" s="125"/>
      <c r="L270"/>
      <c r="M270"/>
      <c r="N270"/>
    </row>
    <row r="271" spans="1:14" s="11" customFormat="1" ht="49.5" customHeight="1">
      <c r="A271" s="15">
        <f t="shared" ref="A271:A284" si="54">A270+1</f>
        <v>3</v>
      </c>
      <c r="B271" s="16">
        <v>2110192100</v>
      </c>
      <c r="C271" s="36" t="s">
        <v>470</v>
      </c>
      <c r="D271" s="24">
        <v>1289600000</v>
      </c>
      <c r="E271" s="24">
        <f>E290+(11.5*$H$285)</f>
        <v>1479000000</v>
      </c>
      <c r="F271" s="37" t="str">
        <f t="shared" si="53"/>
        <v>2110192100</v>
      </c>
      <c r="G271" s="33"/>
      <c r="H271" s="29"/>
      <c r="I271" s="81">
        <v>203</v>
      </c>
      <c r="J271"/>
      <c r="K271" s="125"/>
      <c r="L271"/>
      <c r="M271"/>
      <c r="N271"/>
    </row>
    <row r="272" spans="1:14" s="11" customFormat="1" ht="49.5" customHeight="1">
      <c r="A272" s="15">
        <f t="shared" si="54"/>
        <v>4</v>
      </c>
      <c r="B272" s="16">
        <v>2110190200</v>
      </c>
      <c r="C272" s="36" t="s">
        <v>471</v>
      </c>
      <c r="D272" s="24">
        <v>1065500000</v>
      </c>
      <c r="E272" s="24">
        <f>E291+(8.5*$H$285)</f>
        <v>1228000000</v>
      </c>
      <c r="F272" s="37" t="str">
        <f t="shared" si="53"/>
        <v>2110190200</v>
      </c>
      <c r="G272" s="33"/>
      <c r="H272" s="29"/>
      <c r="I272" s="81">
        <v>204</v>
      </c>
      <c r="J272"/>
      <c r="K272" s="125"/>
      <c r="L272"/>
      <c r="M272"/>
      <c r="N272"/>
    </row>
    <row r="273" spans="1:14" s="11" customFormat="1" ht="49.5" customHeight="1">
      <c r="A273" s="15">
        <f t="shared" si="54"/>
        <v>5</v>
      </c>
      <c r="B273" s="16">
        <v>2110191300</v>
      </c>
      <c r="C273" s="36" t="s">
        <v>472</v>
      </c>
      <c r="D273" s="24">
        <v>424700000</v>
      </c>
      <c r="E273" s="24">
        <f>E292+(3.5*$H$285)</f>
        <v>489000000</v>
      </c>
      <c r="F273" s="37" t="str">
        <f t="shared" si="53"/>
        <v>2110191300</v>
      </c>
      <c r="G273" s="33"/>
      <c r="H273" s="29"/>
      <c r="I273" s="81">
        <v>205</v>
      </c>
      <c r="J273"/>
      <c r="K273" s="125"/>
      <c r="L273"/>
      <c r="M273"/>
      <c r="N273"/>
    </row>
    <row r="274" spans="1:14" s="11" customFormat="1" ht="49.5" customHeight="1">
      <c r="A274" s="15">
        <f t="shared" si="54"/>
        <v>6</v>
      </c>
      <c r="B274" s="16">
        <v>2110191600</v>
      </c>
      <c r="C274" s="36" t="s">
        <v>473</v>
      </c>
      <c r="D274" s="24">
        <v>658900000</v>
      </c>
      <c r="E274" s="24">
        <f>E293+(2.5*$H$285)</f>
        <v>776000000</v>
      </c>
      <c r="F274" s="37" t="str">
        <f t="shared" si="53"/>
        <v>2110191600</v>
      </c>
      <c r="G274" s="33"/>
      <c r="H274" s="29"/>
      <c r="I274" s="81">
        <v>206</v>
      </c>
      <c r="J274"/>
      <c r="K274" s="125"/>
      <c r="L274"/>
      <c r="M274"/>
      <c r="N274"/>
    </row>
    <row r="275" spans="1:14" s="11" customFormat="1" ht="49.5" customHeight="1">
      <c r="A275" s="15">
        <v>7</v>
      </c>
      <c r="B275" s="16">
        <v>2110191400</v>
      </c>
      <c r="C275" s="36" t="s">
        <v>474</v>
      </c>
      <c r="D275" s="24">
        <v>400000000</v>
      </c>
      <c r="E275" s="24">
        <f>E294+(3.5*$H$285)</f>
        <v>459000000</v>
      </c>
      <c r="F275" s="37" t="str">
        <f t="shared" si="53"/>
        <v>2110191400</v>
      </c>
      <c r="G275" s="33"/>
      <c r="H275" s="29"/>
      <c r="I275" s="81">
        <v>208</v>
      </c>
      <c r="J275"/>
      <c r="K275" s="125"/>
      <c r="L275"/>
      <c r="M275"/>
      <c r="N275"/>
    </row>
    <row r="276" spans="1:14" s="11" customFormat="1" ht="49.5" customHeight="1">
      <c r="A276" s="15">
        <f t="shared" si="54"/>
        <v>8</v>
      </c>
      <c r="B276" s="16">
        <v>2110191700</v>
      </c>
      <c r="C276" s="36" t="s">
        <v>475</v>
      </c>
      <c r="D276" s="24">
        <v>597700000</v>
      </c>
      <c r="E276" s="24">
        <f>E295+(2.5*$H$285)</f>
        <v>702000000</v>
      </c>
      <c r="F276" s="37" t="str">
        <f t="shared" si="53"/>
        <v>2110191700</v>
      </c>
      <c r="G276" s="33"/>
      <c r="H276" s="29"/>
      <c r="I276" s="81">
        <v>209</v>
      </c>
      <c r="J276"/>
      <c r="K276" s="125"/>
      <c r="L276"/>
      <c r="M276"/>
      <c r="N276"/>
    </row>
    <row r="277" spans="1:14" s="11" customFormat="1" ht="49.5" customHeight="1">
      <c r="A277" s="15">
        <f t="shared" si="54"/>
        <v>9</v>
      </c>
      <c r="B277" s="16" t="s">
        <v>1631</v>
      </c>
      <c r="C277" s="36" t="s">
        <v>476</v>
      </c>
      <c r="D277" s="24">
        <v>259700000</v>
      </c>
      <c r="E277" s="24">
        <f>E296+(1*$H$285)</f>
        <v>306000000</v>
      </c>
      <c r="F277" s="37" t="str">
        <f t="shared" si="53"/>
        <v>2110191800</v>
      </c>
      <c r="G277" s="33"/>
      <c r="H277" s="29"/>
      <c r="I277" s="81">
        <v>210</v>
      </c>
      <c r="J277"/>
      <c r="K277" s="125"/>
      <c r="L277"/>
      <c r="M277"/>
      <c r="N277"/>
    </row>
    <row r="278" spans="1:14" s="11" customFormat="1" ht="49.5" customHeight="1">
      <c r="A278" s="15">
        <f t="shared" si="54"/>
        <v>10</v>
      </c>
      <c r="B278" s="16" t="s">
        <v>261</v>
      </c>
      <c r="C278" s="36" t="s">
        <v>477</v>
      </c>
      <c r="D278" s="24" t="s">
        <v>478</v>
      </c>
      <c r="E278" s="24" t="s">
        <v>478</v>
      </c>
      <c r="F278" s="38"/>
      <c r="G278" s="33"/>
      <c r="H278" s="29"/>
      <c r="I278" s="81">
        <v>211</v>
      </c>
      <c r="J278"/>
      <c r="K278" s="125"/>
      <c r="L278"/>
      <c r="M278"/>
      <c r="N278"/>
    </row>
    <row r="279" spans="1:14" s="11" customFormat="1" ht="49.5" customHeight="1">
      <c r="A279" s="15">
        <f t="shared" si="54"/>
        <v>11</v>
      </c>
      <c r="B279" s="16" t="s">
        <v>261</v>
      </c>
      <c r="C279" s="36" t="s">
        <v>488</v>
      </c>
      <c r="D279" s="24" t="s">
        <v>479</v>
      </c>
      <c r="E279" s="24" t="s">
        <v>479</v>
      </c>
      <c r="F279" s="38"/>
      <c r="G279" s="33"/>
      <c r="H279" s="29"/>
      <c r="I279" s="81">
        <v>212</v>
      </c>
      <c r="J279"/>
      <c r="K279" s="125"/>
      <c r="L279"/>
      <c r="M279"/>
      <c r="N279"/>
    </row>
    <row r="280" spans="1:14" s="11" customFormat="1" ht="49.5" customHeight="1">
      <c r="A280" s="15">
        <f t="shared" si="54"/>
        <v>12</v>
      </c>
      <c r="B280" s="16" t="s">
        <v>261</v>
      </c>
      <c r="C280" s="36" t="s">
        <v>489</v>
      </c>
      <c r="D280" s="24" t="s">
        <v>480</v>
      </c>
      <c r="E280" s="24" t="s">
        <v>480</v>
      </c>
      <c r="F280" s="38"/>
      <c r="G280" s="33"/>
      <c r="H280" s="29"/>
      <c r="I280" s="81">
        <v>213</v>
      </c>
      <c r="J280"/>
      <c r="K280" s="125"/>
      <c r="L280"/>
      <c r="M280"/>
      <c r="N280"/>
    </row>
    <row r="281" spans="1:14" s="11" customFormat="1" ht="49.5" customHeight="1">
      <c r="A281" s="15">
        <f t="shared" si="54"/>
        <v>13</v>
      </c>
      <c r="B281" s="16" t="s">
        <v>261</v>
      </c>
      <c r="C281" s="36" t="s">
        <v>492</v>
      </c>
      <c r="D281" s="24" t="s">
        <v>481</v>
      </c>
      <c r="E281" s="24" t="s">
        <v>481</v>
      </c>
      <c r="F281" s="38"/>
      <c r="G281" s="33"/>
      <c r="H281" s="29"/>
      <c r="I281" s="81">
        <v>214</v>
      </c>
      <c r="J281"/>
      <c r="K281" s="125"/>
      <c r="L281"/>
      <c r="M281"/>
      <c r="N281"/>
    </row>
    <row r="282" spans="1:14" s="11" customFormat="1" ht="49.5" customHeight="1">
      <c r="A282" s="15">
        <f t="shared" si="54"/>
        <v>14</v>
      </c>
      <c r="B282" s="16" t="s">
        <v>261</v>
      </c>
      <c r="C282" s="36" t="s">
        <v>482</v>
      </c>
      <c r="D282" s="24" t="s">
        <v>483</v>
      </c>
      <c r="E282" s="24" t="s">
        <v>483</v>
      </c>
      <c r="F282" s="38"/>
      <c r="G282" s="33"/>
      <c r="H282" s="29"/>
      <c r="I282" s="81">
        <v>215</v>
      </c>
      <c r="J282"/>
      <c r="K282" s="125"/>
      <c r="L282"/>
      <c r="M282"/>
      <c r="N282"/>
    </row>
    <row r="283" spans="1:14" s="11" customFormat="1" ht="49.5" customHeight="1">
      <c r="A283" s="15">
        <f t="shared" si="54"/>
        <v>15</v>
      </c>
      <c r="B283" s="16" t="s">
        <v>261</v>
      </c>
      <c r="C283" s="36" t="s">
        <v>484</v>
      </c>
      <c r="D283" s="24" t="s">
        <v>459</v>
      </c>
      <c r="E283" s="24" t="s">
        <v>459</v>
      </c>
      <c r="F283" s="38"/>
      <c r="G283" s="33"/>
      <c r="H283" s="29"/>
      <c r="I283" s="81">
        <v>216</v>
      </c>
      <c r="J283"/>
      <c r="K283" s="125"/>
      <c r="L283"/>
      <c r="M283"/>
      <c r="N283"/>
    </row>
    <row r="284" spans="1:14" s="11" customFormat="1" ht="49.5" customHeight="1">
      <c r="A284" s="15">
        <f t="shared" si="54"/>
        <v>16</v>
      </c>
      <c r="B284" s="16" t="s">
        <v>261</v>
      </c>
      <c r="C284" s="36" t="s">
        <v>485</v>
      </c>
      <c r="D284" s="24" t="s">
        <v>486</v>
      </c>
      <c r="E284" s="24" t="s">
        <v>486</v>
      </c>
      <c r="F284" s="38"/>
      <c r="G284" s="33"/>
      <c r="H284" s="29"/>
      <c r="I284" s="81">
        <v>217</v>
      </c>
      <c r="J284"/>
      <c r="K284" s="125"/>
      <c r="L284"/>
      <c r="M284"/>
      <c r="N284"/>
    </row>
    <row r="285" spans="1:14" s="11" customFormat="1" ht="49.5" customHeight="1">
      <c r="A285" s="15"/>
      <c r="B285" s="16"/>
      <c r="C285" s="36"/>
      <c r="D285" s="24"/>
      <c r="E285" s="24"/>
      <c r="F285" s="38"/>
      <c r="G285" s="112" t="s">
        <v>698</v>
      </c>
      <c r="H285" s="113">
        <v>30000000</v>
      </c>
      <c r="I285"/>
      <c r="J285"/>
      <c r="K285" s="125"/>
      <c r="L285"/>
      <c r="M285"/>
      <c r="N285"/>
    </row>
    <row r="286" spans="1:14" s="11" customFormat="1" ht="49.5" customHeight="1">
      <c r="A286" s="253" t="s">
        <v>487</v>
      </c>
      <c r="B286" s="253"/>
      <c r="C286" s="253"/>
      <c r="D286" s="253"/>
      <c r="E286" s="24"/>
      <c r="F286" s="38"/>
      <c r="G286" s="112" t="s">
        <v>696</v>
      </c>
      <c r="H286" s="114">
        <v>0.2</v>
      </c>
      <c r="I286"/>
      <c r="J286"/>
      <c r="K286" s="125"/>
      <c r="L286"/>
      <c r="M286"/>
      <c r="N286"/>
    </row>
    <row r="287" spans="1:14" s="11" customFormat="1" ht="49.5" customHeight="1">
      <c r="A287" s="13" t="s">
        <v>0</v>
      </c>
      <c r="B287" s="14" t="s">
        <v>1</v>
      </c>
      <c r="C287" s="34" t="s">
        <v>448</v>
      </c>
      <c r="D287" s="23" t="s">
        <v>251</v>
      </c>
      <c r="E287" s="23" t="s">
        <v>464</v>
      </c>
      <c r="F287" s="35" t="s">
        <v>716</v>
      </c>
      <c r="G287" s="112" t="s">
        <v>697</v>
      </c>
      <c r="H287" s="114">
        <v>0</v>
      </c>
      <c r="I287"/>
      <c r="J287"/>
      <c r="K287" s="125"/>
      <c r="L287"/>
      <c r="M287"/>
      <c r="N287"/>
    </row>
    <row r="288" spans="1:14" s="11" customFormat="1" ht="49.5" customHeight="1">
      <c r="A288" s="15">
        <v>1</v>
      </c>
      <c r="B288" s="16">
        <v>2110190100</v>
      </c>
      <c r="C288" s="36" t="s">
        <v>468</v>
      </c>
      <c r="D288" s="24">
        <v>540600000</v>
      </c>
      <c r="E288" s="24">
        <f t="shared" ref="E288:E296" si="55">ROUND(((100%+$H$286)*D288)*(100%+$H$287),-6)</f>
        <v>649000000</v>
      </c>
      <c r="F288" s="37" t="str">
        <f>LEFT(B288,8)&amp;"00"</f>
        <v>2110190100</v>
      </c>
      <c r="G288" s="33"/>
      <c r="H288" s="29"/>
      <c r="I288" s="81">
        <v>219</v>
      </c>
      <c r="J288"/>
      <c r="K288" s="125"/>
      <c r="L288"/>
      <c r="M288"/>
      <c r="N288"/>
    </row>
    <row r="289" spans="1:14" s="11" customFormat="1" ht="49.5" customHeight="1">
      <c r="A289" s="15">
        <f>A288+1</f>
        <v>2</v>
      </c>
      <c r="B289" s="16">
        <v>2110191200</v>
      </c>
      <c r="C289" s="36" t="s">
        <v>469</v>
      </c>
      <c r="D289" s="24">
        <v>629500000</v>
      </c>
      <c r="E289" s="24">
        <f t="shared" si="55"/>
        <v>755000000</v>
      </c>
      <c r="F289" s="37" t="str">
        <f t="shared" ref="F289:F295" si="56">LEFT(B289,8)&amp;"00"</f>
        <v>2110191200</v>
      </c>
      <c r="G289" s="33"/>
      <c r="H289" s="29"/>
      <c r="I289" s="81">
        <v>220</v>
      </c>
      <c r="J289"/>
      <c r="K289" s="125"/>
      <c r="L289"/>
      <c r="M289"/>
      <c r="N289"/>
    </row>
    <row r="290" spans="1:14" s="11" customFormat="1" ht="49.5" customHeight="1">
      <c r="A290" s="15">
        <f t="shared" ref="A290:A303" si="57">A289+1</f>
        <v>3</v>
      </c>
      <c r="B290" s="16">
        <v>2110192100</v>
      </c>
      <c r="C290" s="36" t="s">
        <v>470</v>
      </c>
      <c r="D290" s="24">
        <v>944600000</v>
      </c>
      <c r="E290" s="24">
        <f t="shared" si="55"/>
        <v>1134000000</v>
      </c>
      <c r="F290" s="37" t="str">
        <f t="shared" si="56"/>
        <v>2110192100</v>
      </c>
      <c r="G290" s="33"/>
      <c r="H290" s="29"/>
      <c r="I290" s="81">
        <v>221</v>
      </c>
      <c r="J290"/>
      <c r="K290" s="125"/>
      <c r="L290"/>
      <c r="M290"/>
      <c r="N290"/>
    </row>
    <row r="291" spans="1:14" s="11" customFormat="1" ht="49.5" customHeight="1">
      <c r="A291" s="15">
        <f t="shared" si="57"/>
        <v>4</v>
      </c>
      <c r="B291" s="16">
        <v>2110190200</v>
      </c>
      <c r="C291" s="36" t="s">
        <v>471</v>
      </c>
      <c r="D291" s="24">
        <v>810500000</v>
      </c>
      <c r="E291" s="24">
        <f t="shared" si="55"/>
        <v>973000000</v>
      </c>
      <c r="F291" s="37" t="str">
        <f t="shared" si="56"/>
        <v>2110190200</v>
      </c>
      <c r="G291" s="33"/>
      <c r="H291" s="29"/>
      <c r="I291" s="81">
        <v>222</v>
      </c>
      <c r="J291"/>
      <c r="K291" s="125"/>
      <c r="L291"/>
      <c r="M291"/>
      <c r="N291"/>
    </row>
    <row r="292" spans="1:14" s="11" customFormat="1" ht="49.5" customHeight="1">
      <c r="A292" s="15">
        <f t="shared" si="57"/>
        <v>5</v>
      </c>
      <c r="B292" s="16">
        <v>2110191300</v>
      </c>
      <c r="C292" s="36" t="s">
        <v>472</v>
      </c>
      <c r="D292" s="24">
        <v>319700000</v>
      </c>
      <c r="E292" s="24">
        <f t="shared" si="55"/>
        <v>384000000</v>
      </c>
      <c r="F292" s="37" t="str">
        <f t="shared" si="56"/>
        <v>2110191300</v>
      </c>
      <c r="G292" s="33"/>
      <c r="H292" s="29"/>
      <c r="I292" s="81">
        <v>223</v>
      </c>
      <c r="J292"/>
      <c r="K292" s="125"/>
      <c r="L292"/>
      <c r="M292"/>
      <c r="N292"/>
    </row>
    <row r="293" spans="1:14" s="11" customFormat="1" ht="49.5" customHeight="1">
      <c r="A293" s="15">
        <f t="shared" si="57"/>
        <v>6</v>
      </c>
      <c r="B293" s="16">
        <v>2110191600</v>
      </c>
      <c r="C293" s="36" t="s">
        <v>473</v>
      </c>
      <c r="D293" s="24">
        <v>583900000</v>
      </c>
      <c r="E293" s="24">
        <f t="shared" si="55"/>
        <v>701000000</v>
      </c>
      <c r="F293" s="37" t="str">
        <f t="shared" si="56"/>
        <v>2110191600</v>
      </c>
      <c r="G293" s="33"/>
      <c r="H293" s="29"/>
      <c r="I293" s="81">
        <v>224</v>
      </c>
      <c r="J293"/>
      <c r="K293" s="125"/>
      <c r="L293"/>
      <c r="M293"/>
      <c r="N293"/>
    </row>
    <row r="294" spans="1:14" s="11" customFormat="1" ht="49.5" customHeight="1">
      <c r="A294" s="15">
        <v>5</v>
      </c>
      <c r="B294" s="16">
        <v>2110191400</v>
      </c>
      <c r="C294" s="36" t="s">
        <v>474</v>
      </c>
      <c r="D294" s="24">
        <v>295000000</v>
      </c>
      <c r="E294" s="24">
        <f t="shared" si="55"/>
        <v>354000000</v>
      </c>
      <c r="F294" s="37" t="str">
        <f t="shared" si="56"/>
        <v>2110191400</v>
      </c>
      <c r="G294" s="33"/>
      <c r="H294" s="29"/>
      <c r="I294" s="81">
        <v>226</v>
      </c>
      <c r="J294"/>
      <c r="K294" s="125"/>
      <c r="L294"/>
      <c r="M294"/>
      <c r="N294"/>
    </row>
    <row r="295" spans="1:14" s="11" customFormat="1" ht="49.5" customHeight="1">
      <c r="A295" s="15">
        <f t="shared" si="57"/>
        <v>6</v>
      </c>
      <c r="B295" s="16">
        <v>2110191700</v>
      </c>
      <c r="C295" s="36" t="s">
        <v>475</v>
      </c>
      <c r="D295" s="24">
        <v>522700000</v>
      </c>
      <c r="E295" s="24">
        <f t="shared" si="55"/>
        <v>627000000</v>
      </c>
      <c r="F295" s="37" t="str">
        <f t="shared" si="56"/>
        <v>2110191700</v>
      </c>
      <c r="G295" s="33"/>
      <c r="H295" s="29"/>
      <c r="I295" s="81">
        <v>227</v>
      </c>
      <c r="J295"/>
      <c r="K295" s="125"/>
      <c r="L295"/>
      <c r="M295"/>
      <c r="N295"/>
    </row>
    <row r="296" spans="1:14" s="11" customFormat="1" ht="49.5" customHeight="1">
      <c r="A296" s="15">
        <f t="shared" si="57"/>
        <v>7</v>
      </c>
      <c r="B296" s="16">
        <v>2110191500</v>
      </c>
      <c r="C296" s="36" t="s">
        <v>476</v>
      </c>
      <c r="D296" s="24">
        <v>229700000</v>
      </c>
      <c r="E296" s="24">
        <f t="shared" si="55"/>
        <v>276000000</v>
      </c>
      <c r="F296" s="37" t="str">
        <f>LEFT(B296,8)&amp;"00"</f>
        <v>2110191500</v>
      </c>
      <c r="G296" s="33"/>
      <c r="H296" s="29"/>
      <c r="I296" s="81">
        <v>228</v>
      </c>
      <c r="J296"/>
      <c r="K296" s="125"/>
      <c r="L296"/>
      <c r="M296"/>
      <c r="N296"/>
    </row>
    <row r="297" spans="1:14" s="11" customFormat="1" ht="49.5" customHeight="1">
      <c r="A297" s="15">
        <f t="shared" si="57"/>
        <v>8</v>
      </c>
      <c r="B297" s="16" t="s">
        <v>261</v>
      </c>
      <c r="C297" s="36" t="s">
        <v>477</v>
      </c>
      <c r="D297" s="24" t="s">
        <v>478</v>
      </c>
      <c r="E297" s="24" t="s">
        <v>478</v>
      </c>
      <c r="F297" s="38"/>
      <c r="G297" s="33"/>
      <c r="H297" s="29"/>
      <c r="I297" s="81">
        <v>229</v>
      </c>
      <c r="J297"/>
      <c r="K297" s="125"/>
      <c r="L297"/>
      <c r="M297"/>
      <c r="N297"/>
    </row>
    <row r="298" spans="1:14" s="11" customFormat="1" ht="49.5" customHeight="1">
      <c r="A298" s="15">
        <f t="shared" si="57"/>
        <v>9</v>
      </c>
      <c r="B298" s="16" t="s">
        <v>261</v>
      </c>
      <c r="C298" s="36" t="s">
        <v>488</v>
      </c>
      <c r="D298" s="24" t="s">
        <v>479</v>
      </c>
      <c r="E298" s="24" t="s">
        <v>479</v>
      </c>
      <c r="F298" s="38"/>
      <c r="G298" s="33"/>
      <c r="H298" s="29"/>
      <c r="I298" s="81">
        <v>230</v>
      </c>
      <c r="J298"/>
      <c r="K298" s="125"/>
      <c r="L298"/>
      <c r="M298"/>
      <c r="N298"/>
    </row>
    <row r="299" spans="1:14" s="11" customFormat="1" ht="49.5" customHeight="1">
      <c r="A299" s="15">
        <f t="shared" si="57"/>
        <v>10</v>
      </c>
      <c r="B299" s="16" t="s">
        <v>261</v>
      </c>
      <c r="C299" s="36" t="s">
        <v>489</v>
      </c>
      <c r="D299" s="24" t="s">
        <v>480</v>
      </c>
      <c r="E299" s="24" t="s">
        <v>480</v>
      </c>
      <c r="F299" s="38"/>
      <c r="G299" s="33"/>
      <c r="H299" s="29"/>
      <c r="I299" s="81">
        <v>231</v>
      </c>
      <c r="J299"/>
      <c r="K299" s="125"/>
      <c r="L299"/>
      <c r="M299"/>
      <c r="N299"/>
    </row>
    <row r="300" spans="1:14" s="11" customFormat="1" ht="49.5" customHeight="1">
      <c r="A300" s="15">
        <f t="shared" si="57"/>
        <v>11</v>
      </c>
      <c r="B300" s="16" t="s">
        <v>261</v>
      </c>
      <c r="C300" s="36" t="s">
        <v>492</v>
      </c>
      <c r="D300" s="24" t="s">
        <v>481</v>
      </c>
      <c r="E300" s="24" t="s">
        <v>481</v>
      </c>
      <c r="F300" s="38"/>
      <c r="G300" s="33"/>
      <c r="H300" s="29"/>
      <c r="I300" s="81">
        <v>232</v>
      </c>
      <c r="J300"/>
      <c r="K300" s="125"/>
      <c r="L300"/>
      <c r="M300"/>
      <c r="N300"/>
    </row>
    <row r="301" spans="1:14" s="11" customFormat="1" ht="49.5" customHeight="1">
      <c r="A301" s="15">
        <f t="shared" si="57"/>
        <v>12</v>
      </c>
      <c r="B301" s="16" t="s">
        <v>261</v>
      </c>
      <c r="C301" s="36" t="s">
        <v>482</v>
      </c>
      <c r="D301" s="24" t="s">
        <v>483</v>
      </c>
      <c r="E301" s="24" t="s">
        <v>483</v>
      </c>
      <c r="F301" s="38"/>
      <c r="G301" s="33"/>
      <c r="H301" s="29"/>
      <c r="I301" s="81">
        <v>233</v>
      </c>
      <c r="J301"/>
      <c r="K301" s="125"/>
      <c r="L301"/>
      <c r="M301"/>
      <c r="N301"/>
    </row>
    <row r="302" spans="1:14" s="11" customFormat="1" ht="49.5" customHeight="1">
      <c r="A302" s="15">
        <f t="shared" si="57"/>
        <v>13</v>
      </c>
      <c r="B302" s="16" t="s">
        <v>261</v>
      </c>
      <c r="C302" s="36" t="s">
        <v>484</v>
      </c>
      <c r="D302" s="24" t="s">
        <v>459</v>
      </c>
      <c r="E302" s="24" t="s">
        <v>459</v>
      </c>
      <c r="F302" s="38"/>
      <c r="G302" s="33"/>
      <c r="H302" s="29"/>
      <c r="I302" s="81">
        <v>234</v>
      </c>
      <c r="J302"/>
      <c r="K302" s="125"/>
      <c r="L302"/>
      <c r="M302"/>
      <c r="N302"/>
    </row>
    <row r="303" spans="1:14" s="11" customFormat="1" ht="49.5" customHeight="1">
      <c r="A303" s="15">
        <f t="shared" si="57"/>
        <v>14</v>
      </c>
      <c r="B303" s="16" t="s">
        <v>261</v>
      </c>
      <c r="C303" s="36" t="s">
        <v>485</v>
      </c>
      <c r="D303" s="24" t="s">
        <v>486</v>
      </c>
      <c r="E303" s="24" t="s">
        <v>486</v>
      </c>
      <c r="F303" s="38"/>
      <c r="G303" s="33"/>
      <c r="H303" s="29"/>
      <c r="I303" s="81">
        <v>235</v>
      </c>
      <c r="J303"/>
      <c r="K303" s="125"/>
      <c r="L303"/>
      <c r="M303"/>
      <c r="N303"/>
    </row>
    <row r="304" spans="1:14" s="11" customFormat="1" ht="49.5" customHeight="1">
      <c r="A304" s="253" t="s">
        <v>1543</v>
      </c>
      <c r="B304" s="253"/>
      <c r="C304" s="253"/>
      <c r="D304" s="253"/>
      <c r="E304"/>
      <c r="F304" s="38"/>
      <c r="G304" s="33"/>
      <c r="H304" s="29"/>
      <c r="I304" s="81"/>
      <c r="J304"/>
      <c r="K304" s="125"/>
      <c r="L304"/>
      <c r="M304"/>
      <c r="N304"/>
    </row>
    <row r="305" spans="1:14" s="11" customFormat="1" ht="49.5" customHeight="1">
      <c r="A305" s="13" t="s">
        <v>0</v>
      </c>
      <c r="B305" s="14" t="s">
        <v>1</v>
      </c>
      <c r="C305" s="34" t="s">
        <v>448</v>
      </c>
      <c r="D305" s="23" t="s">
        <v>251</v>
      </c>
      <c r="E305" s="23" t="s">
        <v>464</v>
      </c>
      <c r="F305" s="38"/>
      <c r="G305" s="33"/>
      <c r="H305" s="29"/>
      <c r="I305" s="81"/>
      <c r="J305"/>
      <c r="K305" s="125"/>
      <c r="L305"/>
      <c r="M305"/>
      <c r="N305"/>
    </row>
    <row r="306" spans="1:14" s="11" customFormat="1" ht="99">
      <c r="A306" s="15">
        <v>1</v>
      </c>
      <c r="B306" s="16">
        <v>2110230000</v>
      </c>
      <c r="C306" s="36" t="s">
        <v>1544</v>
      </c>
      <c r="D306" s="24">
        <v>4295600000</v>
      </c>
      <c r="E306" s="24">
        <f>E307+E309+E312+E314+E315</f>
        <v>5285000000</v>
      </c>
      <c r="F306" s="38"/>
      <c r="G306" s="33"/>
      <c r="H306" s="29"/>
      <c r="I306" s="81"/>
      <c r="J306"/>
      <c r="K306" s="125"/>
      <c r="L306"/>
      <c r="M306"/>
      <c r="N306"/>
    </row>
    <row r="307" spans="1:14" s="11" customFormat="1" ht="49.5" customHeight="1">
      <c r="A307" s="15">
        <v>2</v>
      </c>
      <c r="B307" s="16">
        <v>2110231900</v>
      </c>
      <c r="C307" s="36" t="s">
        <v>1545</v>
      </c>
      <c r="D307" s="24">
        <v>1278500000</v>
      </c>
      <c r="E307" s="24">
        <f>E327+(9*$H$320)</f>
        <v>1579000000</v>
      </c>
      <c r="F307" s="38"/>
      <c r="G307" s="33"/>
      <c r="H307" s="29"/>
      <c r="I307" s="81"/>
      <c r="J307"/>
      <c r="K307" s="125"/>
      <c r="L307"/>
      <c r="M307"/>
      <c r="N307"/>
    </row>
    <row r="308" spans="1:14" s="11" customFormat="1" ht="49.5" customHeight="1">
      <c r="A308" s="15">
        <v>3</v>
      </c>
      <c r="B308" s="16">
        <v>2110232000</v>
      </c>
      <c r="C308" s="36" t="s">
        <v>1546</v>
      </c>
      <c r="D308" s="24">
        <v>1278500000</v>
      </c>
      <c r="E308" s="24">
        <f>E328+(9*$H$320)</f>
        <v>1579000000</v>
      </c>
      <c r="F308" s="38"/>
      <c r="G308" s="33"/>
      <c r="H308" s="29"/>
      <c r="I308" s="81"/>
      <c r="J308"/>
      <c r="K308" s="125"/>
      <c r="L308"/>
      <c r="M308"/>
      <c r="N308"/>
    </row>
    <row r="309" spans="1:14" s="11" customFormat="1" ht="49.5" customHeight="1">
      <c r="A309" s="15">
        <v>4</v>
      </c>
      <c r="B309" s="16">
        <v>2110232200</v>
      </c>
      <c r="C309" s="36" t="s">
        <v>1547</v>
      </c>
      <c r="D309" s="24">
        <v>1023400000</v>
      </c>
      <c r="E309" s="24">
        <f>E329+(7.5*$H$320)</f>
        <v>1265500000</v>
      </c>
      <c r="F309" s="38"/>
      <c r="G309" s="33"/>
      <c r="H309" s="29"/>
      <c r="I309" s="81"/>
      <c r="J309"/>
      <c r="K309" s="125"/>
      <c r="L309"/>
      <c r="M309"/>
      <c r="N309"/>
    </row>
    <row r="310" spans="1:14" s="11" customFormat="1" ht="49.5" customHeight="1">
      <c r="A310" s="15">
        <v>5</v>
      </c>
      <c r="B310" s="16">
        <v>2110230100</v>
      </c>
      <c r="C310" s="36" t="s">
        <v>1548</v>
      </c>
      <c r="D310" s="24">
        <v>616000000</v>
      </c>
      <c r="E310" s="24">
        <f>E330+(3.5*$H$320)</f>
        <v>756500000</v>
      </c>
      <c r="F310" s="38"/>
      <c r="G310" s="33"/>
      <c r="H310" s="29"/>
      <c r="I310" s="81"/>
      <c r="J310"/>
      <c r="K310" s="125"/>
      <c r="L310"/>
      <c r="M310"/>
      <c r="N310"/>
    </row>
    <row r="311" spans="1:14" s="11" customFormat="1" ht="49.5" customHeight="1">
      <c r="A311" s="15">
        <v>6</v>
      </c>
      <c r="B311" s="16">
        <v>2110231200</v>
      </c>
      <c r="C311" s="36" t="s">
        <v>1549</v>
      </c>
      <c r="D311" s="24">
        <v>951400000</v>
      </c>
      <c r="E311" s="24">
        <f>E331+(6.5*$H$320)</f>
        <v>1174500000</v>
      </c>
      <c r="F311" s="38"/>
      <c r="G311" s="33"/>
      <c r="H311" s="29"/>
      <c r="I311" s="81"/>
      <c r="J311"/>
      <c r="K311" s="125"/>
      <c r="L311"/>
      <c r="M311"/>
      <c r="N311"/>
    </row>
    <row r="312" spans="1:14" s="11" customFormat="1" ht="49.5" customHeight="1">
      <c r="A312" s="15">
        <v>7</v>
      </c>
      <c r="B312" s="16">
        <v>2110232300</v>
      </c>
      <c r="C312" s="36" t="s">
        <v>1550</v>
      </c>
      <c r="D312" s="24">
        <v>1074700000</v>
      </c>
      <c r="E312" s="24">
        <f>E332+(7.5*$H$320)</f>
        <v>1327500000</v>
      </c>
      <c r="F312" s="38"/>
      <c r="G312" s="33"/>
      <c r="H312" s="29"/>
      <c r="I312" s="81"/>
      <c r="J312"/>
      <c r="K312" s="125"/>
      <c r="L312"/>
      <c r="M312"/>
      <c r="N312"/>
    </row>
    <row r="313" spans="1:14" s="11" customFormat="1" ht="49.5" customHeight="1">
      <c r="A313" s="15">
        <v>8</v>
      </c>
      <c r="B313" s="16">
        <v>2110232500</v>
      </c>
      <c r="C313" s="36" t="s">
        <v>1551</v>
      </c>
      <c r="D313" s="24">
        <v>1074700000</v>
      </c>
      <c r="E313" s="24">
        <f>E333+(7.5*$H$320)</f>
        <v>1327500000</v>
      </c>
      <c r="F313" s="38"/>
      <c r="G313" s="33"/>
      <c r="H313" s="29"/>
      <c r="I313" s="81"/>
      <c r="J313"/>
      <c r="K313" s="125"/>
      <c r="L313"/>
      <c r="M313"/>
      <c r="N313"/>
    </row>
    <row r="314" spans="1:14" s="11" customFormat="1" ht="49.5" customHeight="1">
      <c r="A314" s="15">
        <v>9</v>
      </c>
      <c r="B314" s="16">
        <v>2110231300</v>
      </c>
      <c r="C314" s="36" t="s">
        <v>1552</v>
      </c>
      <c r="D314" s="24">
        <v>534000000</v>
      </c>
      <c r="E314" s="24">
        <f>E334+(2*$H$320)</f>
        <v>651000000</v>
      </c>
      <c r="F314" s="38"/>
      <c r="G314" s="33"/>
      <c r="H314" s="29"/>
      <c r="I314" s="81"/>
      <c r="J314"/>
      <c r="K314" s="125"/>
      <c r="L314"/>
      <c r="M314"/>
      <c r="N314"/>
    </row>
    <row r="315" spans="1:14" s="11" customFormat="1" ht="49.5" customHeight="1">
      <c r="A315" s="15">
        <v>10</v>
      </c>
      <c r="B315" s="16">
        <v>2110230600</v>
      </c>
      <c r="C315" s="36" t="s">
        <v>1553</v>
      </c>
      <c r="D315" s="24">
        <v>385000000</v>
      </c>
      <c r="E315" s="24">
        <f>ROUND(((100%+$H$321)*D315)*(100%+$H$322),-6)</f>
        <v>462000000</v>
      </c>
      <c r="F315" s="38"/>
      <c r="G315" s="33"/>
      <c r="H315" s="29"/>
      <c r="I315" s="81"/>
      <c r="J315"/>
      <c r="K315" s="125"/>
      <c r="L315"/>
      <c r="M315"/>
      <c r="N315"/>
    </row>
    <row r="316" spans="1:14" s="11" customFormat="1" ht="49.5" customHeight="1">
      <c r="A316" s="15">
        <v>11</v>
      </c>
      <c r="B316" s="16">
        <v>2110231000</v>
      </c>
      <c r="C316" s="36" t="s">
        <v>1554</v>
      </c>
      <c r="D316" s="24">
        <v>353600000</v>
      </c>
      <c r="E316" s="24">
        <f>ROUND(((100%+$H$321)*D316)*(100%+$H$322),-6)</f>
        <v>424000000</v>
      </c>
      <c r="F316" s="38"/>
      <c r="G316" s="33"/>
      <c r="H316" s="29"/>
      <c r="I316" s="81"/>
      <c r="J316"/>
      <c r="K316" s="125"/>
      <c r="L316"/>
      <c r="M316"/>
      <c r="N316"/>
    </row>
    <row r="317" spans="1:14" s="11" customFormat="1" ht="49.5" customHeight="1">
      <c r="A317" s="15">
        <v>12</v>
      </c>
      <c r="B317" s="16" t="s">
        <v>261</v>
      </c>
      <c r="C317" s="36" t="s">
        <v>1555</v>
      </c>
      <c r="D317" s="24" t="s">
        <v>479</v>
      </c>
      <c r="E317" s="24" t="s">
        <v>479</v>
      </c>
      <c r="F317" s="38"/>
      <c r="G317" s="33"/>
      <c r="H317" s="29"/>
      <c r="I317" s="81"/>
      <c r="J317"/>
      <c r="K317" s="125"/>
      <c r="L317"/>
      <c r="M317"/>
      <c r="N317"/>
    </row>
    <row r="318" spans="1:14" s="11" customFormat="1" ht="49.5" customHeight="1">
      <c r="A318" s="15">
        <v>13</v>
      </c>
      <c r="B318" s="16" t="s">
        <v>261</v>
      </c>
      <c r="C318" s="36" t="s">
        <v>1556</v>
      </c>
      <c r="D318" s="24" t="s">
        <v>1561</v>
      </c>
      <c r="E318" s="24" t="s">
        <v>1561</v>
      </c>
      <c r="F318" s="38"/>
      <c r="G318" s="33"/>
      <c r="H318" s="29"/>
      <c r="I318" s="81"/>
      <c r="J318"/>
      <c r="K318" s="125"/>
      <c r="L318"/>
      <c r="M318"/>
      <c r="N318"/>
    </row>
    <row r="319" spans="1:14" s="11" customFormat="1" ht="49.5" customHeight="1">
      <c r="A319" s="15">
        <v>14</v>
      </c>
      <c r="B319" s="16" t="s">
        <v>261</v>
      </c>
      <c r="C319" s="36" t="s">
        <v>1557</v>
      </c>
      <c r="D319" s="24" t="s">
        <v>483</v>
      </c>
      <c r="E319" s="24" t="s">
        <v>483</v>
      </c>
      <c r="F319" s="38"/>
      <c r="G319" s="33"/>
      <c r="H319" s="29"/>
      <c r="I319" s="81"/>
      <c r="J319"/>
      <c r="K319" s="125"/>
      <c r="L319"/>
      <c r="M319"/>
      <c r="N319"/>
    </row>
    <row r="320" spans="1:14" s="11" customFormat="1" ht="49.5" customHeight="1">
      <c r="A320" s="15">
        <v>15</v>
      </c>
      <c r="B320" s="16" t="s">
        <v>261</v>
      </c>
      <c r="C320" s="36" t="s">
        <v>1558</v>
      </c>
      <c r="D320" s="24" t="s">
        <v>446</v>
      </c>
      <c r="E320" s="24" t="s">
        <v>446</v>
      </c>
      <c r="F320" s="38"/>
      <c r="G320" s="112" t="s">
        <v>698</v>
      </c>
      <c r="H320" s="113">
        <v>35000000</v>
      </c>
      <c r="I320" s="81"/>
      <c r="J320"/>
      <c r="K320" s="125"/>
      <c r="L320"/>
      <c r="M320"/>
      <c r="N320"/>
    </row>
    <row r="321" spans="1:14" s="11" customFormat="1" ht="49.5" customHeight="1">
      <c r="A321" s="15">
        <v>16</v>
      </c>
      <c r="B321" s="16" t="s">
        <v>261</v>
      </c>
      <c r="C321" s="36" t="s">
        <v>1559</v>
      </c>
      <c r="D321" s="24" t="s">
        <v>1561</v>
      </c>
      <c r="E321" s="24" t="s">
        <v>1561</v>
      </c>
      <c r="F321" s="38"/>
      <c r="G321" s="112" t="s">
        <v>696</v>
      </c>
      <c r="H321" s="114">
        <v>0.2</v>
      </c>
      <c r="I321" s="81"/>
      <c r="J321"/>
      <c r="K321" s="125"/>
      <c r="L321"/>
      <c r="M321"/>
      <c r="N321"/>
    </row>
    <row r="322" spans="1:14" s="11" customFormat="1" ht="49.5" customHeight="1">
      <c r="A322" s="15">
        <v>17</v>
      </c>
      <c r="B322" s="16" t="s">
        <v>261</v>
      </c>
      <c r="C322" s="36" t="s">
        <v>1560</v>
      </c>
      <c r="D322" s="24" t="s">
        <v>458</v>
      </c>
      <c r="E322" s="24" t="s">
        <v>458</v>
      </c>
      <c r="F322" s="38"/>
      <c r="G322" s="112" t="s">
        <v>697</v>
      </c>
      <c r="H322" s="114">
        <v>0</v>
      </c>
      <c r="I322" s="81"/>
      <c r="J322"/>
      <c r="K322" s="125"/>
      <c r="L322"/>
      <c r="M322"/>
      <c r="N322"/>
    </row>
    <row r="323" spans="1:14" s="11" customFormat="1" ht="49.5" customHeight="1">
      <c r="A323"/>
      <c r="B323"/>
      <c r="C323"/>
      <c r="D323"/>
      <c r="E323"/>
      <c r="F323" s="38"/>
      <c r="G323" s="33"/>
      <c r="H323" s="29"/>
      <c r="I323" s="81"/>
      <c r="J323"/>
      <c r="K323" s="125"/>
      <c r="L323"/>
      <c r="M323"/>
      <c r="N323"/>
    </row>
    <row r="324" spans="1:14" s="11" customFormat="1" ht="49.5" customHeight="1">
      <c r="A324" s="253" t="s">
        <v>1542</v>
      </c>
      <c r="B324" s="253"/>
      <c r="C324" s="253"/>
      <c r="D324" s="253"/>
      <c r="E324"/>
      <c r="F324" s="38"/>
      <c r="G324" s="33"/>
      <c r="H324" s="29"/>
      <c r="I324" s="81"/>
      <c r="J324"/>
      <c r="K324" s="125"/>
      <c r="L324"/>
      <c r="M324"/>
      <c r="N324"/>
    </row>
    <row r="325" spans="1:14" s="11" customFormat="1" ht="49.5" customHeight="1">
      <c r="A325" s="13" t="s">
        <v>0</v>
      </c>
      <c r="B325" s="14" t="s">
        <v>1</v>
      </c>
      <c r="C325" s="34" t="s">
        <v>448</v>
      </c>
      <c r="D325" s="23" t="s">
        <v>251</v>
      </c>
      <c r="E325" s="23" t="s">
        <v>464</v>
      </c>
      <c r="F325" s="38"/>
      <c r="G325" s="33"/>
      <c r="H325" s="29"/>
      <c r="I325" s="81"/>
      <c r="J325"/>
      <c r="K325" s="125"/>
      <c r="L325"/>
      <c r="M325"/>
      <c r="N325"/>
    </row>
    <row r="326" spans="1:14" s="11" customFormat="1" ht="99">
      <c r="A326" s="15">
        <v>1</v>
      </c>
      <c r="B326" s="16">
        <v>2110230000</v>
      </c>
      <c r="C326" s="36" t="s">
        <v>1544</v>
      </c>
      <c r="D326" s="24">
        <v>3645600000</v>
      </c>
      <c r="E326" s="24">
        <f>E327+E329+E332+E334+E335</f>
        <v>4375000000</v>
      </c>
      <c r="F326" s="38"/>
      <c r="G326" s="33"/>
      <c r="H326" s="29"/>
      <c r="I326" s="81"/>
      <c r="J326"/>
      <c r="K326" s="125"/>
      <c r="L326"/>
      <c r="M326"/>
      <c r="N326"/>
    </row>
    <row r="327" spans="1:14" s="11" customFormat="1" ht="49.5" customHeight="1">
      <c r="A327" s="15">
        <v>2</v>
      </c>
      <c r="B327" s="16">
        <v>2110231900</v>
      </c>
      <c r="C327" s="36" t="s">
        <v>1545</v>
      </c>
      <c r="D327" s="24">
        <v>1053500000</v>
      </c>
      <c r="E327" s="24">
        <f t="shared" ref="E327:E336" si="58">ROUND(((100%+$H$321)*D327)*(100%+$H$322),-6)</f>
        <v>1264000000</v>
      </c>
      <c r="F327" s="38"/>
      <c r="G327" s="33"/>
      <c r="H327" s="29"/>
      <c r="I327" s="81"/>
      <c r="J327"/>
      <c r="K327" s="125"/>
      <c r="L327"/>
      <c r="M327"/>
      <c r="N327"/>
    </row>
    <row r="328" spans="1:14" s="11" customFormat="1" ht="49.5" customHeight="1">
      <c r="A328" s="15">
        <v>3</v>
      </c>
      <c r="B328" s="16">
        <v>2110232000</v>
      </c>
      <c r="C328" s="36" t="s">
        <v>1546</v>
      </c>
      <c r="D328" s="24">
        <v>1053500000</v>
      </c>
      <c r="E328" s="24">
        <f t="shared" si="58"/>
        <v>1264000000</v>
      </c>
      <c r="F328" s="38"/>
      <c r="G328" s="33"/>
      <c r="H328" s="29"/>
      <c r="I328" s="81"/>
      <c r="J328"/>
      <c r="K328" s="125"/>
      <c r="L328"/>
      <c r="M328"/>
      <c r="N328"/>
    </row>
    <row r="329" spans="1:14" s="11" customFormat="1" ht="49.5" customHeight="1">
      <c r="A329" s="15">
        <v>4</v>
      </c>
      <c r="B329" s="16">
        <v>2110232200</v>
      </c>
      <c r="C329" s="36" t="s">
        <v>1547</v>
      </c>
      <c r="D329" s="24">
        <v>835900000</v>
      </c>
      <c r="E329" s="24">
        <f t="shared" si="58"/>
        <v>1003000000</v>
      </c>
      <c r="F329" s="38"/>
      <c r="G329" s="33"/>
      <c r="H329" s="29"/>
      <c r="I329" s="81"/>
      <c r="J329"/>
      <c r="K329" s="125"/>
      <c r="L329"/>
      <c r="M329"/>
      <c r="N329"/>
    </row>
    <row r="330" spans="1:14" s="11" customFormat="1" ht="49.5" customHeight="1">
      <c r="A330" s="15">
        <v>5</v>
      </c>
      <c r="B330" s="16">
        <v>2110230100</v>
      </c>
      <c r="C330" s="36" t="s">
        <v>1548</v>
      </c>
      <c r="D330" s="24">
        <v>528500000</v>
      </c>
      <c r="E330" s="24">
        <f t="shared" si="58"/>
        <v>634000000</v>
      </c>
      <c r="F330" s="38"/>
      <c r="G330" s="33"/>
      <c r="H330" s="29"/>
      <c r="I330" s="81"/>
      <c r="J330"/>
      <c r="K330" s="125"/>
      <c r="L330"/>
      <c r="M330"/>
      <c r="N330"/>
    </row>
    <row r="331" spans="1:14" s="11" customFormat="1" ht="49.5" customHeight="1">
      <c r="A331" s="15">
        <v>6</v>
      </c>
      <c r="B331" s="16">
        <v>2110231200</v>
      </c>
      <c r="C331" s="36" t="s">
        <v>1549</v>
      </c>
      <c r="D331" s="24">
        <v>788900000</v>
      </c>
      <c r="E331" s="24">
        <f t="shared" si="58"/>
        <v>947000000</v>
      </c>
      <c r="F331" s="38"/>
      <c r="G331" s="33"/>
      <c r="H331" s="29"/>
      <c r="I331" s="81"/>
      <c r="J331"/>
      <c r="K331" s="125"/>
      <c r="L331"/>
      <c r="M331"/>
      <c r="N331"/>
    </row>
    <row r="332" spans="1:14" s="11" customFormat="1" ht="49.5" customHeight="1">
      <c r="A332" s="15">
        <v>7</v>
      </c>
      <c r="B332" s="16">
        <v>2110232300</v>
      </c>
      <c r="C332" s="36" t="s">
        <v>1550</v>
      </c>
      <c r="D332" s="24">
        <v>887200000</v>
      </c>
      <c r="E332" s="24">
        <f t="shared" si="58"/>
        <v>1065000000</v>
      </c>
      <c r="F332" s="38"/>
      <c r="G332" s="33"/>
      <c r="H332" s="29"/>
      <c r="I332" s="81"/>
      <c r="J332"/>
      <c r="K332" s="125"/>
      <c r="L332"/>
      <c r="M332"/>
      <c r="N332"/>
    </row>
    <row r="333" spans="1:14" s="11" customFormat="1" ht="49.5" customHeight="1">
      <c r="A333" s="15">
        <v>8</v>
      </c>
      <c r="B333" s="16">
        <v>2110232500</v>
      </c>
      <c r="C333" s="36" t="s">
        <v>1551</v>
      </c>
      <c r="D333" s="24">
        <v>887200000</v>
      </c>
      <c r="E333" s="24">
        <f t="shared" si="58"/>
        <v>1065000000</v>
      </c>
      <c r="F333" s="38"/>
      <c r="G333" s="33"/>
      <c r="H333" s="29"/>
      <c r="I333" s="81"/>
      <c r="J333"/>
      <c r="K333" s="125"/>
      <c r="L333"/>
      <c r="M333"/>
      <c r="N333"/>
    </row>
    <row r="334" spans="1:14" s="11" customFormat="1" ht="49.5" customHeight="1">
      <c r="A334" s="15">
        <v>9</v>
      </c>
      <c r="B334" s="16">
        <v>2110231300</v>
      </c>
      <c r="C334" s="36" t="s">
        <v>1552</v>
      </c>
      <c r="D334" s="24">
        <v>484000000</v>
      </c>
      <c r="E334" s="24">
        <f t="shared" si="58"/>
        <v>581000000</v>
      </c>
      <c r="F334" s="38"/>
      <c r="G334" s="33"/>
      <c r="H334" s="29"/>
      <c r="I334" s="81"/>
      <c r="J334"/>
      <c r="K334" s="125"/>
      <c r="L334"/>
      <c r="M334"/>
      <c r="N334"/>
    </row>
    <row r="335" spans="1:14" s="11" customFormat="1" ht="49.5" customHeight="1">
      <c r="A335" s="15">
        <v>10</v>
      </c>
      <c r="B335" s="16">
        <v>2110230600</v>
      </c>
      <c r="C335" s="36" t="s">
        <v>1553</v>
      </c>
      <c r="D335" s="24">
        <v>385000000</v>
      </c>
      <c r="E335" s="24">
        <f t="shared" si="58"/>
        <v>462000000</v>
      </c>
      <c r="F335" s="38"/>
      <c r="G335" s="33"/>
      <c r="H335" s="29"/>
      <c r="I335" s="81"/>
      <c r="J335"/>
      <c r="K335" s="125"/>
      <c r="L335"/>
      <c r="M335"/>
      <c r="N335"/>
    </row>
    <row r="336" spans="1:14" s="11" customFormat="1" ht="49.5" customHeight="1">
      <c r="A336" s="15">
        <v>11</v>
      </c>
      <c r="B336" s="16">
        <v>2110231000</v>
      </c>
      <c r="C336" s="36" t="s">
        <v>1554</v>
      </c>
      <c r="D336" s="24">
        <v>353600000</v>
      </c>
      <c r="E336" s="24">
        <f t="shared" si="58"/>
        <v>424000000</v>
      </c>
      <c r="F336" s="38"/>
      <c r="G336" s="33"/>
      <c r="H336" s="29"/>
      <c r="I336" s="81"/>
      <c r="J336"/>
      <c r="K336" s="125"/>
      <c r="L336"/>
      <c r="M336"/>
      <c r="N336"/>
    </row>
    <row r="337" spans="1:14" s="11" customFormat="1" ht="49.5" customHeight="1">
      <c r="A337" s="15">
        <v>12</v>
      </c>
      <c r="B337" s="16" t="s">
        <v>261</v>
      </c>
      <c r="C337" s="36" t="s">
        <v>1555</v>
      </c>
      <c r="D337" s="24" t="s">
        <v>479</v>
      </c>
      <c r="E337" s="24" t="s">
        <v>479</v>
      </c>
      <c r="F337" s="38"/>
      <c r="G337" s="33"/>
      <c r="H337" s="29"/>
      <c r="I337" s="81"/>
      <c r="J337"/>
      <c r="K337" s="125"/>
      <c r="L337"/>
      <c r="M337"/>
      <c r="N337"/>
    </row>
    <row r="338" spans="1:14" s="11" customFormat="1" ht="49.5" customHeight="1">
      <c r="A338" s="15">
        <v>13</v>
      </c>
      <c r="B338" s="16" t="s">
        <v>261</v>
      </c>
      <c r="C338" s="36" t="s">
        <v>1562</v>
      </c>
      <c r="D338" s="24" t="s">
        <v>1561</v>
      </c>
      <c r="E338" s="24" t="s">
        <v>1561</v>
      </c>
      <c r="F338" s="38"/>
      <c r="G338" s="33"/>
      <c r="H338" s="29"/>
      <c r="I338" s="81"/>
      <c r="J338"/>
      <c r="K338" s="125"/>
      <c r="L338"/>
      <c r="M338"/>
      <c r="N338"/>
    </row>
    <row r="339" spans="1:14" s="11" customFormat="1" ht="49.5" customHeight="1">
      <c r="A339" s="15">
        <v>14</v>
      </c>
      <c r="B339" s="16" t="s">
        <v>261</v>
      </c>
      <c r="C339" s="36" t="s">
        <v>1557</v>
      </c>
      <c r="D339" s="24" t="s">
        <v>483</v>
      </c>
      <c r="E339" s="24" t="s">
        <v>483</v>
      </c>
      <c r="F339" s="38"/>
      <c r="G339" s="33"/>
      <c r="H339" s="29"/>
      <c r="I339" s="81"/>
      <c r="J339"/>
      <c r="K339" s="125"/>
      <c r="L339"/>
      <c r="M339"/>
      <c r="N339"/>
    </row>
    <row r="340" spans="1:14" s="11" customFormat="1" ht="49.5" customHeight="1">
      <c r="A340" s="15">
        <v>15</v>
      </c>
      <c r="B340" s="16" t="s">
        <v>261</v>
      </c>
      <c r="C340" s="36" t="s">
        <v>1558</v>
      </c>
      <c r="D340" s="24" t="s">
        <v>446</v>
      </c>
      <c r="E340" s="24" t="s">
        <v>446</v>
      </c>
      <c r="F340" s="38"/>
      <c r="G340" s="33"/>
      <c r="H340" s="29"/>
      <c r="I340" s="81"/>
      <c r="J340"/>
      <c r="K340" s="125"/>
      <c r="L340"/>
      <c r="M340"/>
      <c r="N340"/>
    </row>
    <row r="341" spans="1:14" s="11" customFormat="1" ht="49.5" customHeight="1">
      <c r="A341" s="15">
        <v>16</v>
      </c>
      <c r="B341" s="16" t="s">
        <v>261</v>
      </c>
      <c r="C341" s="36" t="s">
        <v>1559</v>
      </c>
      <c r="D341" s="24" t="s">
        <v>1561</v>
      </c>
      <c r="E341" s="24" t="s">
        <v>1561</v>
      </c>
      <c r="F341" s="38"/>
      <c r="G341" s="33"/>
      <c r="H341" s="29"/>
      <c r="I341" s="81"/>
      <c r="J341"/>
      <c r="K341" s="125"/>
      <c r="L341"/>
      <c r="M341"/>
      <c r="N341"/>
    </row>
    <row r="342" spans="1:14" s="11" customFormat="1" ht="49.5" customHeight="1">
      <c r="A342" s="15">
        <v>17</v>
      </c>
      <c r="B342" s="16" t="s">
        <v>261</v>
      </c>
      <c r="C342" s="36" t="s">
        <v>1560</v>
      </c>
      <c r="D342" s="24" t="s">
        <v>458</v>
      </c>
      <c r="E342" s="24" t="s">
        <v>458</v>
      </c>
      <c r="F342" s="38"/>
      <c r="G342" s="33"/>
      <c r="H342" s="29"/>
      <c r="I342" s="81"/>
      <c r="J342"/>
      <c r="K342" s="125"/>
      <c r="L342"/>
      <c r="M342"/>
      <c r="N342"/>
    </row>
    <row r="343" spans="1:14" s="11" customFormat="1" ht="49.5" customHeight="1">
      <c r="A343"/>
      <c r="B343"/>
      <c r="C343"/>
      <c r="D343"/>
      <c r="E343"/>
      <c r="F343" s="38"/>
      <c r="G343" s="33"/>
      <c r="H343" s="29"/>
      <c r="I343" s="81"/>
      <c r="J343"/>
      <c r="K343" s="125"/>
      <c r="L343"/>
      <c r="M343"/>
      <c r="N343"/>
    </row>
    <row r="344" spans="1:14" s="11" customFormat="1" ht="49.5" customHeight="1">
      <c r="A344"/>
      <c r="B344"/>
      <c r="C344"/>
      <c r="D344"/>
      <c r="E344"/>
      <c r="F344" s="38"/>
      <c r="G344" s="33"/>
      <c r="H344" s="29"/>
      <c r="I344" s="81"/>
      <c r="J344"/>
      <c r="K344" s="125"/>
      <c r="L344"/>
      <c r="M344"/>
      <c r="N344"/>
    </row>
    <row r="345" spans="1:14" s="11" customFormat="1" ht="49.5" customHeight="1">
      <c r="A345"/>
      <c r="B345"/>
      <c r="C345"/>
      <c r="D345"/>
      <c r="E345"/>
      <c r="F345" s="38"/>
      <c r="G345" s="33"/>
      <c r="H345" s="29"/>
      <c r="I345" s="81"/>
      <c r="J345"/>
      <c r="K345" s="125"/>
      <c r="L345"/>
      <c r="M345"/>
      <c r="N345"/>
    </row>
    <row r="346" spans="1:14" s="11" customFormat="1" ht="49.5" customHeight="1">
      <c r="A346" s="253" t="s">
        <v>19</v>
      </c>
      <c r="B346" s="253"/>
      <c r="C346" s="253"/>
      <c r="D346" s="253"/>
      <c r="E346" s="31"/>
      <c r="F346" s="32"/>
      <c r="G346" s="33"/>
      <c r="H346" s="29"/>
      <c r="I346"/>
      <c r="J346"/>
      <c r="K346" s="125"/>
      <c r="L346"/>
      <c r="M346"/>
      <c r="N346"/>
    </row>
    <row r="347" spans="1:14" s="11" customFormat="1" ht="49.5" customHeight="1">
      <c r="A347" s="13" t="s">
        <v>0</v>
      </c>
      <c r="B347" s="14" t="s">
        <v>1</v>
      </c>
      <c r="C347" s="34" t="s">
        <v>2</v>
      </c>
      <c r="D347" s="23" t="s">
        <v>3</v>
      </c>
      <c r="E347" s="23" t="s">
        <v>464</v>
      </c>
      <c r="F347" s="35" t="s">
        <v>716</v>
      </c>
      <c r="G347" s="33"/>
      <c r="H347" s="29"/>
      <c r="I347"/>
      <c r="J347"/>
      <c r="K347" s="125"/>
      <c r="L347"/>
      <c r="M347"/>
      <c r="N347"/>
    </row>
    <row r="348" spans="1:14" s="11" customFormat="1" ht="49.5" customHeight="1">
      <c r="A348" s="15">
        <v>1</v>
      </c>
      <c r="B348" s="16" t="s">
        <v>20</v>
      </c>
      <c r="C348" s="36" t="s">
        <v>742</v>
      </c>
      <c r="D348" s="24">
        <v>4403200000</v>
      </c>
      <c r="E348" s="24">
        <f>E349+E350+E351+E351</f>
        <v>5284000000</v>
      </c>
      <c r="F348" s="37"/>
      <c r="G348" s="33"/>
      <c r="H348" s="29"/>
      <c r="I348" s="81">
        <v>237</v>
      </c>
      <c r="J348"/>
      <c r="K348" s="125"/>
      <c r="L348"/>
      <c r="M348"/>
      <c r="N348"/>
    </row>
    <row r="349" spans="1:14" s="11" customFormat="1" ht="49.5" customHeight="1">
      <c r="A349" s="15">
        <f>A348+1</f>
        <v>2</v>
      </c>
      <c r="B349" s="16" t="s">
        <v>21</v>
      </c>
      <c r="C349" s="36" t="s">
        <v>22</v>
      </c>
      <c r="D349" s="24">
        <v>1610900000</v>
      </c>
      <c r="E349" s="24">
        <f>E359+(12*$H$355)</f>
        <v>1933000000</v>
      </c>
      <c r="F349" s="37" t="str">
        <f t="shared" ref="F349:F351" si="59">LEFT(B349,8)&amp;"00"</f>
        <v>2110240300</v>
      </c>
      <c r="G349" s="33"/>
      <c r="H349" s="29"/>
      <c r="I349" s="81">
        <v>238</v>
      </c>
      <c r="J349"/>
      <c r="K349" s="125"/>
      <c r="L349"/>
      <c r="M349"/>
      <c r="N349"/>
    </row>
    <row r="350" spans="1:14" s="11" customFormat="1" ht="49.5" customHeight="1">
      <c r="A350" s="15">
        <f t="shared" ref="A350:A355" si="60">A349+1</f>
        <v>3</v>
      </c>
      <c r="B350" s="16" t="s">
        <v>23</v>
      </c>
      <c r="C350" s="36" t="s">
        <v>24</v>
      </c>
      <c r="D350" s="24">
        <v>1207100000</v>
      </c>
      <c r="E350" s="24">
        <f>E360+(9*$H$355)</f>
        <v>1449000000</v>
      </c>
      <c r="F350" s="37" t="str">
        <f t="shared" si="59"/>
        <v>2110240200</v>
      </c>
      <c r="G350" s="33"/>
      <c r="H350" s="29"/>
      <c r="I350" s="81">
        <v>239</v>
      </c>
      <c r="J350"/>
      <c r="K350" s="125"/>
      <c r="L350"/>
      <c r="M350"/>
      <c r="N350"/>
    </row>
    <row r="351" spans="1:14" s="11" customFormat="1" ht="49.5" customHeight="1">
      <c r="A351" s="15">
        <f t="shared" si="60"/>
        <v>4</v>
      </c>
      <c r="B351" s="16" t="s">
        <v>25</v>
      </c>
      <c r="C351" s="36" t="s">
        <v>26</v>
      </c>
      <c r="D351" s="24">
        <v>792600000</v>
      </c>
      <c r="E351" s="24">
        <f>E361+(5.5*$H$355)</f>
        <v>951000000</v>
      </c>
      <c r="F351" s="37" t="str">
        <f t="shared" si="59"/>
        <v>2110240100</v>
      </c>
      <c r="G351" s="33"/>
      <c r="H351" s="29"/>
      <c r="I351" s="81">
        <v>240</v>
      </c>
      <c r="J351"/>
      <c r="K351" s="125"/>
      <c r="L351"/>
      <c r="M351"/>
      <c r="N351"/>
    </row>
    <row r="352" spans="1:14" s="11" customFormat="1" ht="49.5" customHeight="1">
      <c r="A352" s="15">
        <f t="shared" si="60"/>
        <v>5</v>
      </c>
      <c r="B352" s="16" t="s">
        <v>322</v>
      </c>
      <c r="C352" s="36" t="s">
        <v>356</v>
      </c>
      <c r="D352" s="24" t="s">
        <v>269</v>
      </c>
      <c r="E352" s="24" t="s">
        <v>269</v>
      </c>
      <c r="F352" s="38"/>
      <c r="G352" s="33"/>
      <c r="H352" s="29"/>
      <c r="I352" s="81">
        <v>241</v>
      </c>
      <c r="J352"/>
      <c r="K352" s="125"/>
      <c r="L352"/>
      <c r="M352"/>
      <c r="N352"/>
    </row>
    <row r="353" spans="1:14" s="11" customFormat="1" ht="49.5" customHeight="1">
      <c r="A353" s="15">
        <f t="shared" si="60"/>
        <v>6</v>
      </c>
      <c r="B353" s="16" t="s">
        <v>322</v>
      </c>
      <c r="C353" s="36" t="s">
        <v>357</v>
      </c>
      <c r="D353" s="24" t="s">
        <v>338</v>
      </c>
      <c r="E353" s="24" t="s">
        <v>338</v>
      </c>
      <c r="F353" s="38"/>
      <c r="G353" s="33"/>
      <c r="H353" s="29"/>
      <c r="I353" s="81">
        <v>242</v>
      </c>
      <c r="J353"/>
      <c r="K353" s="125"/>
      <c r="L353"/>
      <c r="M353"/>
      <c r="N353"/>
    </row>
    <row r="354" spans="1:14" s="11" customFormat="1" ht="49.5" customHeight="1">
      <c r="A354" s="15">
        <f t="shared" si="60"/>
        <v>7</v>
      </c>
      <c r="B354" s="16" t="s">
        <v>322</v>
      </c>
      <c r="C354" s="36" t="s">
        <v>358</v>
      </c>
      <c r="D354" s="24" t="s">
        <v>273</v>
      </c>
      <c r="E354" s="24" t="s">
        <v>273</v>
      </c>
      <c r="F354" s="38"/>
      <c r="G354" s="33"/>
      <c r="H354" s="29"/>
      <c r="I354" s="81">
        <v>243</v>
      </c>
      <c r="J354"/>
      <c r="K354" s="125"/>
      <c r="L354"/>
      <c r="M354"/>
      <c r="N354"/>
    </row>
    <row r="355" spans="1:14" s="11" customFormat="1" ht="49.5" customHeight="1">
      <c r="A355" s="15">
        <f t="shared" si="60"/>
        <v>8</v>
      </c>
      <c r="B355" s="16" t="s">
        <v>322</v>
      </c>
      <c r="C355" s="36" t="s">
        <v>359</v>
      </c>
      <c r="D355" s="24" t="s">
        <v>360</v>
      </c>
      <c r="E355" s="24" t="s">
        <v>360</v>
      </c>
      <c r="F355" s="38"/>
      <c r="G355" s="112" t="s">
        <v>698</v>
      </c>
      <c r="H355" s="113">
        <v>30000000</v>
      </c>
      <c r="I355" s="81">
        <v>244</v>
      </c>
      <c r="J355"/>
      <c r="K355" s="125"/>
      <c r="L355"/>
      <c r="M355"/>
      <c r="N355"/>
    </row>
    <row r="356" spans="1:14" s="11" customFormat="1" ht="49.5" customHeight="1">
      <c r="A356" s="253" t="s">
        <v>27</v>
      </c>
      <c r="B356" s="253"/>
      <c r="C356" s="253"/>
      <c r="D356" s="253"/>
      <c r="E356" s="31"/>
      <c r="F356" s="32"/>
      <c r="G356" s="112" t="s">
        <v>696</v>
      </c>
      <c r="H356" s="114">
        <v>0.2</v>
      </c>
      <c r="I356"/>
      <c r="J356"/>
      <c r="K356" s="125"/>
      <c r="L356"/>
      <c r="M356"/>
      <c r="N356"/>
    </row>
    <row r="357" spans="1:14" s="11" customFormat="1" ht="49.5" customHeight="1">
      <c r="A357" s="13" t="s">
        <v>0</v>
      </c>
      <c r="B357" s="14" t="s">
        <v>1</v>
      </c>
      <c r="C357" s="34" t="s">
        <v>2</v>
      </c>
      <c r="D357" s="23" t="s">
        <v>251</v>
      </c>
      <c r="E357" s="23" t="s">
        <v>464</v>
      </c>
      <c r="F357" s="35" t="s">
        <v>716</v>
      </c>
      <c r="G357" s="112" t="s">
        <v>697</v>
      </c>
      <c r="H357" s="114">
        <v>0</v>
      </c>
      <c r="I357"/>
      <c r="J357"/>
      <c r="K357" s="125"/>
      <c r="L357"/>
      <c r="M357"/>
      <c r="N357"/>
    </row>
    <row r="358" spans="1:14" s="11" customFormat="1" ht="49.5" customHeight="1">
      <c r="A358" s="15">
        <v>1</v>
      </c>
      <c r="B358" s="16" t="s">
        <v>20</v>
      </c>
      <c r="C358" s="36" t="s">
        <v>742</v>
      </c>
      <c r="D358" s="24">
        <v>3603200000</v>
      </c>
      <c r="E358" s="24">
        <f>E359+E360+E361+E361</f>
        <v>4324000000</v>
      </c>
      <c r="F358" s="37"/>
      <c r="G358" s="33"/>
      <c r="H358" s="29"/>
      <c r="I358" s="81">
        <v>245</v>
      </c>
      <c r="J358"/>
      <c r="K358" s="125"/>
      <c r="L358"/>
      <c r="M358"/>
      <c r="N358"/>
    </row>
    <row r="359" spans="1:14" s="11" customFormat="1" ht="49.5" customHeight="1">
      <c r="A359" s="15">
        <f>A358+1</f>
        <v>2</v>
      </c>
      <c r="B359" s="16" t="s">
        <v>21</v>
      </c>
      <c r="C359" s="36" t="s">
        <v>22</v>
      </c>
      <c r="D359" s="24">
        <v>1310900000</v>
      </c>
      <c r="E359" s="24">
        <f>ROUND(((100%+$H$356)*D359)*(100%+$H$357),-6)</f>
        <v>1573000000</v>
      </c>
      <c r="F359" s="37" t="str">
        <f t="shared" ref="F359:F361" si="61">LEFT(B359,8)&amp;"00"</f>
        <v>2110240300</v>
      </c>
      <c r="G359" s="33"/>
      <c r="H359" s="29"/>
      <c r="I359" s="81">
        <v>246</v>
      </c>
      <c r="J359"/>
      <c r="K359" s="125"/>
      <c r="L359"/>
      <c r="M359"/>
      <c r="N359"/>
    </row>
    <row r="360" spans="1:14" s="11" customFormat="1" ht="49.5" customHeight="1">
      <c r="A360" s="15">
        <f t="shared" ref="A360:A365" si="62">A359+1</f>
        <v>3</v>
      </c>
      <c r="B360" s="16" t="s">
        <v>23</v>
      </c>
      <c r="C360" s="36" t="s">
        <v>24</v>
      </c>
      <c r="D360" s="24">
        <v>982100000</v>
      </c>
      <c r="E360" s="24">
        <f>ROUND(((100%+$H$356)*D360)*(100%+$H$357),-6)</f>
        <v>1179000000</v>
      </c>
      <c r="F360" s="37" t="str">
        <f t="shared" si="61"/>
        <v>2110240200</v>
      </c>
      <c r="G360" s="33"/>
      <c r="H360" s="29"/>
      <c r="I360" s="81">
        <v>247</v>
      </c>
      <c r="J360"/>
      <c r="K360" s="125"/>
      <c r="L360"/>
      <c r="M360"/>
      <c r="N360"/>
    </row>
    <row r="361" spans="1:14" s="11" customFormat="1" ht="49.5" customHeight="1">
      <c r="A361" s="15">
        <f t="shared" si="62"/>
        <v>4</v>
      </c>
      <c r="B361" s="16" t="s">
        <v>25</v>
      </c>
      <c r="C361" s="36" t="s">
        <v>26</v>
      </c>
      <c r="D361" s="24">
        <v>655100000</v>
      </c>
      <c r="E361" s="24">
        <f>ROUND(((100%+$H$356)*D361)*(100%+$H$357),-6)</f>
        <v>786000000</v>
      </c>
      <c r="F361" s="37" t="str">
        <f t="shared" si="61"/>
        <v>2110240100</v>
      </c>
      <c r="G361" s="33"/>
      <c r="H361" s="29"/>
      <c r="I361" s="81">
        <v>248</v>
      </c>
      <c r="J361"/>
      <c r="K361" s="125"/>
      <c r="L361"/>
      <c r="M361"/>
      <c r="N361"/>
    </row>
    <row r="362" spans="1:14" s="11" customFormat="1" ht="49.5" customHeight="1">
      <c r="A362" s="15">
        <f t="shared" si="62"/>
        <v>5</v>
      </c>
      <c r="B362" s="16" t="s">
        <v>322</v>
      </c>
      <c r="C362" s="36" t="s">
        <v>356</v>
      </c>
      <c r="D362" s="24" t="s">
        <v>269</v>
      </c>
      <c r="E362" s="24" t="s">
        <v>269</v>
      </c>
      <c r="F362" s="38"/>
      <c r="G362" s="33"/>
      <c r="H362" s="29"/>
      <c r="I362" s="81">
        <v>249</v>
      </c>
      <c r="J362"/>
      <c r="K362" s="125"/>
      <c r="L362"/>
      <c r="M362"/>
      <c r="N362"/>
    </row>
    <row r="363" spans="1:14" s="11" customFormat="1" ht="49.5" customHeight="1">
      <c r="A363" s="15">
        <f t="shared" si="62"/>
        <v>6</v>
      </c>
      <c r="B363" s="16" t="s">
        <v>322</v>
      </c>
      <c r="C363" s="36" t="s">
        <v>357</v>
      </c>
      <c r="D363" s="24" t="s">
        <v>338</v>
      </c>
      <c r="E363" s="24" t="s">
        <v>338</v>
      </c>
      <c r="F363" s="38"/>
      <c r="G363" s="33"/>
      <c r="H363" s="29"/>
      <c r="I363" s="81">
        <v>250</v>
      </c>
      <c r="J363"/>
      <c r="K363" s="125"/>
      <c r="L363"/>
      <c r="M363"/>
      <c r="N363"/>
    </row>
    <row r="364" spans="1:14" s="11" customFormat="1" ht="49.5" customHeight="1">
      <c r="A364" s="15">
        <f t="shared" si="62"/>
        <v>7</v>
      </c>
      <c r="B364" s="16" t="s">
        <v>322</v>
      </c>
      <c r="C364" s="36" t="s">
        <v>358</v>
      </c>
      <c r="D364" s="24" t="s">
        <v>273</v>
      </c>
      <c r="E364" s="24" t="s">
        <v>273</v>
      </c>
      <c r="F364" s="38"/>
      <c r="G364" s="33"/>
      <c r="H364" s="29"/>
      <c r="I364" s="81">
        <v>251</v>
      </c>
      <c r="J364"/>
      <c r="K364" s="125"/>
      <c r="L364"/>
      <c r="M364"/>
      <c r="N364"/>
    </row>
    <row r="365" spans="1:14" s="11" customFormat="1" ht="49.5" customHeight="1">
      <c r="A365" s="15">
        <f t="shared" si="62"/>
        <v>8</v>
      </c>
      <c r="B365" s="16" t="s">
        <v>322</v>
      </c>
      <c r="C365" s="36" t="s">
        <v>359</v>
      </c>
      <c r="D365" s="24" t="s">
        <v>360</v>
      </c>
      <c r="E365" s="24" t="s">
        <v>360</v>
      </c>
      <c r="F365" s="38"/>
      <c r="G365" s="33"/>
      <c r="H365" s="29"/>
      <c r="I365" s="81">
        <v>252</v>
      </c>
      <c r="J365"/>
      <c r="K365" s="125"/>
      <c r="L365"/>
      <c r="M365"/>
      <c r="N365"/>
    </row>
    <row r="366" spans="1:14" s="11" customFormat="1" ht="49.5" customHeight="1">
      <c r="A366" s="253" t="s">
        <v>1071</v>
      </c>
      <c r="B366" s="253"/>
      <c r="C366" s="253"/>
      <c r="D366" s="253"/>
      <c r="E366" s="24"/>
      <c r="F366" s="38"/>
      <c r="G366" s="33"/>
      <c r="H366" s="29"/>
      <c r="I366"/>
      <c r="J366"/>
      <c r="K366" s="125"/>
      <c r="L366"/>
      <c r="M366"/>
      <c r="N366"/>
    </row>
    <row r="367" spans="1:14" s="11" customFormat="1" ht="49.5" customHeight="1">
      <c r="A367" s="13" t="s">
        <v>0</v>
      </c>
      <c r="B367" s="14" t="s">
        <v>1</v>
      </c>
      <c r="C367" s="34" t="s">
        <v>2</v>
      </c>
      <c r="D367" s="23" t="s">
        <v>251</v>
      </c>
      <c r="E367" s="23" t="s">
        <v>464</v>
      </c>
      <c r="F367" s="35" t="s">
        <v>716</v>
      </c>
      <c r="G367" s="33"/>
      <c r="H367" s="29"/>
      <c r="I367"/>
      <c r="J367"/>
      <c r="K367" s="125"/>
      <c r="L367"/>
      <c r="M367"/>
      <c r="N367"/>
    </row>
    <row r="368" spans="1:14" s="11" customFormat="1" ht="49.5" customHeight="1">
      <c r="A368" s="15">
        <v>1</v>
      </c>
      <c r="B368" s="16">
        <v>2110290300</v>
      </c>
      <c r="C368" s="36" t="s">
        <v>1072</v>
      </c>
      <c r="D368" s="24">
        <v>2740700000</v>
      </c>
      <c r="E368" s="24">
        <f>E372+($H$368*16.5)</f>
        <v>3454000000</v>
      </c>
      <c r="F368" s="111" t="str">
        <f>LEFT(B368,8)&amp;"00"</f>
        <v>2110290300</v>
      </c>
      <c r="G368" s="112" t="s">
        <v>698</v>
      </c>
      <c r="H368" s="113">
        <v>40000000</v>
      </c>
      <c r="I368" s="81">
        <v>253</v>
      </c>
      <c r="J368"/>
      <c r="K368" s="125"/>
      <c r="L368"/>
      <c r="M368"/>
      <c r="N368"/>
    </row>
    <row r="369" spans="1:14" s="11" customFormat="1" ht="49.5" customHeight="1">
      <c r="A369" s="15">
        <v>2</v>
      </c>
      <c r="B369" s="16" t="s">
        <v>261</v>
      </c>
      <c r="C369" s="36" t="s">
        <v>1073</v>
      </c>
      <c r="D369" s="24" t="s">
        <v>1074</v>
      </c>
      <c r="E369" s="24" t="s">
        <v>1074</v>
      </c>
      <c r="F369" s="38"/>
      <c r="G369" s="112" t="s">
        <v>696</v>
      </c>
      <c r="H369" s="114">
        <v>0.2</v>
      </c>
      <c r="I369" s="81">
        <v>254</v>
      </c>
      <c r="J369"/>
      <c r="K369" s="125"/>
      <c r="L369"/>
      <c r="M369"/>
      <c r="N369"/>
    </row>
    <row r="370" spans="1:14" s="11" customFormat="1" ht="49.5" customHeight="1">
      <c r="A370" s="253" t="s">
        <v>1075</v>
      </c>
      <c r="B370" s="253"/>
      <c r="C370" s="253"/>
      <c r="D370" s="253"/>
      <c r="E370" s="24"/>
      <c r="F370" s="38"/>
      <c r="G370" s="112" t="s">
        <v>697</v>
      </c>
      <c r="H370" s="114">
        <v>0</v>
      </c>
      <c r="I370"/>
      <c r="J370"/>
      <c r="K370" s="125"/>
      <c r="L370"/>
      <c r="M370"/>
      <c r="N370"/>
    </row>
    <row r="371" spans="1:14" s="11" customFormat="1" ht="49.5" customHeight="1">
      <c r="A371" s="13" t="s">
        <v>0</v>
      </c>
      <c r="B371" s="14" t="s">
        <v>1</v>
      </c>
      <c r="C371" s="34" t="s">
        <v>2</v>
      </c>
      <c r="D371" s="23" t="s">
        <v>251</v>
      </c>
      <c r="E371" s="23" t="s">
        <v>464</v>
      </c>
      <c r="F371" s="35" t="s">
        <v>716</v>
      </c>
      <c r="G371" s="33"/>
      <c r="H371" s="29"/>
      <c r="I371"/>
      <c r="J371"/>
      <c r="K371" s="125"/>
      <c r="L371"/>
      <c r="M371"/>
      <c r="N371"/>
    </row>
    <row r="372" spans="1:14" s="11" customFormat="1" ht="49.5" customHeight="1">
      <c r="A372" s="15">
        <v>1</v>
      </c>
      <c r="B372" s="16">
        <v>2110290300</v>
      </c>
      <c r="C372" s="36" t="s">
        <v>1072</v>
      </c>
      <c r="D372" s="24">
        <v>2328200000</v>
      </c>
      <c r="E372" s="24">
        <f>ROUND(((100%+$H$369)*D372)*(100%+$H$370),-6)</f>
        <v>2794000000</v>
      </c>
      <c r="F372" s="37" t="str">
        <f>LEFT(B372,8)&amp;"00"</f>
        <v>2110290300</v>
      </c>
      <c r="G372" s="33"/>
      <c r="H372" s="29"/>
      <c r="I372" s="81">
        <v>255</v>
      </c>
      <c r="J372"/>
      <c r="K372" s="125"/>
      <c r="L372"/>
      <c r="M372"/>
      <c r="N372"/>
    </row>
    <row r="373" spans="1:14" s="11" customFormat="1" ht="49.5" customHeight="1">
      <c r="A373" s="15">
        <v>2</v>
      </c>
      <c r="B373" s="16" t="s">
        <v>261</v>
      </c>
      <c r="C373" s="36" t="s">
        <v>1073</v>
      </c>
      <c r="D373" s="24" t="s">
        <v>1074</v>
      </c>
      <c r="E373" s="24" t="s">
        <v>1074</v>
      </c>
      <c r="F373" s="38"/>
      <c r="G373" s="33"/>
      <c r="H373" s="29"/>
      <c r="I373" s="81">
        <v>256</v>
      </c>
      <c r="J373"/>
      <c r="K373" s="125"/>
      <c r="L373"/>
      <c r="M373"/>
      <c r="N373"/>
    </row>
    <row r="374" spans="1:14" s="11" customFormat="1" ht="49.5" customHeight="1">
      <c r="A374" s="253" t="s">
        <v>1567</v>
      </c>
      <c r="B374" s="253"/>
      <c r="C374" s="253"/>
      <c r="D374" s="253"/>
      <c r="E374" s="24"/>
      <c r="F374" s="38"/>
      <c r="G374" s="33"/>
      <c r="H374" s="29"/>
      <c r="I374" s="81"/>
      <c r="J374"/>
      <c r="K374" s="125"/>
      <c r="L374"/>
      <c r="M374"/>
      <c r="N374"/>
    </row>
    <row r="375" spans="1:14" s="11" customFormat="1" ht="49.5" customHeight="1">
      <c r="A375" s="13" t="s">
        <v>0</v>
      </c>
      <c r="B375" s="14" t="s">
        <v>1</v>
      </c>
      <c r="C375" s="34" t="s">
        <v>2</v>
      </c>
      <c r="D375" s="23" t="s">
        <v>251</v>
      </c>
      <c r="E375" s="23" t="s">
        <v>464</v>
      </c>
      <c r="F375" s="38"/>
      <c r="G375" s="112" t="s">
        <v>698</v>
      </c>
      <c r="H375" s="113"/>
      <c r="I375" s="81"/>
      <c r="J375"/>
      <c r="K375" s="125"/>
      <c r="L375"/>
      <c r="M375"/>
      <c r="N375"/>
    </row>
    <row r="376" spans="1:14" s="11" customFormat="1" ht="49.5" customHeight="1">
      <c r="A376" s="15">
        <v>1</v>
      </c>
      <c r="B376" s="16">
        <v>2160080100</v>
      </c>
      <c r="C376" s="36" t="s">
        <v>1568</v>
      </c>
      <c r="D376" s="24">
        <v>857400000</v>
      </c>
      <c r="E376" s="24">
        <f>ROUND(((100%+$H$376)*D376)*(100%+$H$377),-6)</f>
        <v>1029000000</v>
      </c>
      <c r="F376" s="38"/>
      <c r="G376" s="112" t="s">
        <v>696</v>
      </c>
      <c r="H376" s="114">
        <v>0.2</v>
      </c>
      <c r="I376" s="81"/>
      <c r="J376"/>
      <c r="K376" s="125"/>
      <c r="L376"/>
      <c r="M376"/>
      <c r="N376"/>
    </row>
    <row r="377" spans="1:14" s="11" customFormat="1" ht="49.5" customHeight="1">
      <c r="A377"/>
      <c r="B377"/>
      <c r="C377"/>
      <c r="D377"/>
      <c r="E377" s="24"/>
      <c r="F377" s="38"/>
      <c r="G377" s="112" t="s">
        <v>697</v>
      </c>
      <c r="H377" s="114">
        <v>0</v>
      </c>
      <c r="I377" s="81"/>
      <c r="J377"/>
      <c r="K377" s="125"/>
      <c r="L377"/>
      <c r="M377"/>
      <c r="N377"/>
    </row>
    <row r="378" spans="1:14" s="11" customFormat="1" ht="49.5" customHeight="1">
      <c r="A378" s="253" t="s">
        <v>361</v>
      </c>
      <c r="B378" s="253"/>
      <c r="C378" s="253"/>
      <c r="D378" s="253"/>
      <c r="E378" s="31"/>
      <c r="F378" s="32"/>
      <c r="G378" s="33"/>
      <c r="H378" s="29"/>
      <c r="I378"/>
      <c r="J378"/>
      <c r="K378" s="125"/>
      <c r="L378"/>
      <c r="M378"/>
      <c r="N378"/>
    </row>
    <row r="379" spans="1:14" s="11" customFormat="1" ht="49.5" customHeight="1">
      <c r="A379" s="253" t="s">
        <v>460</v>
      </c>
      <c r="B379" s="253"/>
      <c r="C379" s="253"/>
      <c r="D379" s="253"/>
      <c r="E379" s="31"/>
      <c r="F379" s="32"/>
      <c r="G379" s="33"/>
      <c r="H379" s="29"/>
      <c r="I379"/>
      <c r="J379"/>
      <c r="K379" s="125"/>
      <c r="L379"/>
      <c r="M379"/>
      <c r="N379"/>
    </row>
    <row r="380" spans="1:14" s="11" customFormat="1" ht="49.5" customHeight="1">
      <c r="A380" s="13" t="s">
        <v>0</v>
      </c>
      <c r="B380" s="14" t="s">
        <v>1</v>
      </c>
      <c r="C380" s="34" t="s">
        <v>2</v>
      </c>
      <c r="D380" s="23" t="s">
        <v>251</v>
      </c>
      <c r="E380" s="23" t="s">
        <v>464</v>
      </c>
      <c r="F380" s="35" t="s">
        <v>716</v>
      </c>
      <c r="G380" s="33"/>
      <c r="H380" s="29"/>
      <c r="I380"/>
      <c r="J380"/>
      <c r="K380" s="125"/>
      <c r="L380"/>
      <c r="M380"/>
      <c r="N380"/>
    </row>
    <row r="381" spans="1:14" s="11" customFormat="1" ht="49.5" customHeight="1">
      <c r="A381" s="15">
        <v>1</v>
      </c>
      <c r="B381" s="16">
        <v>2120010400</v>
      </c>
      <c r="C381" s="36" t="s">
        <v>449</v>
      </c>
      <c r="D381" s="24">
        <v>1918100000</v>
      </c>
      <c r="E381" s="24">
        <f>ROUND(((100%+$H$391)*D381)*(100%+$H$392),-6)</f>
        <v>2302000000</v>
      </c>
      <c r="F381" s="37" t="str">
        <f>LEFT(B381,8)&amp;"00"</f>
        <v>2120010400</v>
      </c>
      <c r="G381" s="33">
        <f>2*E385+4*E386+E383</f>
        <v>5071000000</v>
      </c>
      <c r="H381" s="29"/>
      <c r="I381" s="81">
        <v>257</v>
      </c>
      <c r="J381"/>
      <c r="K381" s="125"/>
      <c r="L381"/>
      <c r="M381"/>
      <c r="N381"/>
    </row>
    <row r="382" spans="1:14" s="11" customFormat="1" ht="49.5" customHeight="1">
      <c r="A382" s="15">
        <f>A381+1</f>
        <v>2</v>
      </c>
      <c r="B382" s="16">
        <v>2120010300</v>
      </c>
      <c r="C382" s="36" t="s">
        <v>450</v>
      </c>
      <c r="D382" s="24">
        <v>1519400000</v>
      </c>
      <c r="E382" s="24">
        <f>ROUND(((100%+$H$391)*D382)*(100%+$H$392),-6)</f>
        <v>1823000000</v>
      </c>
      <c r="F382" s="37" t="str">
        <f t="shared" ref="F382:F386" si="63">LEFT(B382,8)&amp;"00"</f>
        <v>2120010300</v>
      </c>
      <c r="G382" s="33"/>
      <c r="H382" s="29"/>
      <c r="I382" s="81">
        <v>258</v>
      </c>
      <c r="J382"/>
      <c r="K382" s="125"/>
      <c r="L382"/>
      <c r="M382"/>
      <c r="N382"/>
    </row>
    <row r="383" spans="1:14" s="11" customFormat="1" ht="49.5" customHeight="1">
      <c r="A383" s="15">
        <f t="shared" ref="A383:A390" si="64">A382+1</f>
        <v>3</v>
      </c>
      <c r="B383" s="16">
        <v>2120010200</v>
      </c>
      <c r="C383" s="36" t="s">
        <v>451</v>
      </c>
      <c r="D383" s="24">
        <v>1264100000</v>
      </c>
      <c r="E383" s="24">
        <f>ROUND(((100%+$H$391)*D383)*(100%+$H$392),-6)</f>
        <v>1517000000</v>
      </c>
      <c r="F383" s="37" t="str">
        <f t="shared" si="63"/>
        <v>2120010200</v>
      </c>
      <c r="G383" s="33"/>
      <c r="H383" s="29"/>
      <c r="I383" s="81">
        <v>259</v>
      </c>
      <c r="J383"/>
      <c r="K383" s="125"/>
      <c r="L383"/>
      <c r="M383"/>
      <c r="N383"/>
    </row>
    <row r="384" spans="1:14" s="11" customFormat="1" ht="49.5" customHeight="1">
      <c r="A384" s="15">
        <f t="shared" si="64"/>
        <v>4</v>
      </c>
      <c r="B384" s="16" t="s">
        <v>28</v>
      </c>
      <c r="C384" s="36" t="s">
        <v>29</v>
      </c>
      <c r="D384" s="24">
        <v>958800000</v>
      </c>
      <c r="E384" s="24">
        <f>ROUND(((100%+$H$391)*D384)*(100%+$H$392),-6)</f>
        <v>1151000000</v>
      </c>
      <c r="F384" s="37" t="str">
        <f t="shared" si="63"/>
        <v>2120010100</v>
      </c>
      <c r="G384" s="33"/>
      <c r="H384" s="29"/>
      <c r="I384" s="81">
        <v>260</v>
      </c>
      <c r="J384"/>
      <c r="K384" s="125"/>
      <c r="L384"/>
      <c r="M384"/>
      <c r="N384"/>
    </row>
    <row r="385" spans="1:14" s="11" customFormat="1" ht="49.5" customHeight="1">
      <c r="A385" s="15">
        <f t="shared" si="64"/>
        <v>5</v>
      </c>
      <c r="B385" s="16">
        <v>2120010700</v>
      </c>
      <c r="C385" s="36" t="s">
        <v>452</v>
      </c>
      <c r="D385" s="24">
        <v>518400000</v>
      </c>
      <c r="E385" s="24">
        <f>E397+(2*$H$390)</f>
        <v>619000000</v>
      </c>
      <c r="F385" s="37" t="str">
        <f t="shared" si="63"/>
        <v>2120010700</v>
      </c>
      <c r="G385" s="33"/>
      <c r="H385" s="29"/>
      <c r="I385" s="81">
        <v>261</v>
      </c>
      <c r="J385"/>
      <c r="K385" s="125"/>
      <c r="L385"/>
      <c r="M385"/>
      <c r="N385"/>
    </row>
    <row r="386" spans="1:14" s="11" customFormat="1" ht="49.5" customHeight="1">
      <c r="A386" s="15">
        <f t="shared" si="64"/>
        <v>6</v>
      </c>
      <c r="B386" s="16">
        <v>2120010600</v>
      </c>
      <c r="C386" s="36" t="s">
        <v>453</v>
      </c>
      <c r="D386" s="24">
        <v>485400000</v>
      </c>
      <c r="E386" s="24">
        <f>E398+(2*$H$390)</f>
        <v>579000000</v>
      </c>
      <c r="F386" s="37" t="str">
        <f t="shared" si="63"/>
        <v>2120010600</v>
      </c>
      <c r="G386" s="33"/>
      <c r="H386" s="29"/>
      <c r="I386" s="81">
        <v>262</v>
      </c>
      <c r="J386"/>
      <c r="K386" s="125"/>
      <c r="L386"/>
      <c r="M386"/>
      <c r="N386"/>
    </row>
    <row r="387" spans="1:14" s="11" customFormat="1" ht="49.5" customHeight="1">
      <c r="A387" s="15">
        <f t="shared" si="64"/>
        <v>7</v>
      </c>
      <c r="B387" s="16" t="s">
        <v>261</v>
      </c>
      <c r="C387" s="36" t="s">
        <v>454</v>
      </c>
      <c r="D387" s="24" t="s">
        <v>458</v>
      </c>
      <c r="E387" s="24" t="s">
        <v>458</v>
      </c>
      <c r="F387" s="38"/>
      <c r="G387" s="33"/>
      <c r="H387" s="29"/>
      <c r="I387" s="81">
        <v>263</v>
      </c>
      <c r="J387"/>
      <c r="K387" s="125"/>
      <c r="L387"/>
      <c r="M387"/>
      <c r="N387"/>
    </row>
    <row r="388" spans="1:14" s="11" customFormat="1" ht="49.5" customHeight="1">
      <c r="A388" s="15">
        <f t="shared" si="64"/>
        <v>8</v>
      </c>
      <c r="B388" s="16" t="s">
        <v>261</v>
      </c>
      <c r="C388" s="36" t="s">
        <v>455</v>
      </c>
      <c r="D388" s="24" t="s">
        <v>458</v>
      </c>
      <c r="E388" s="24" t="s">
        <v>458</v>
      </c>
      <c r="F388" s="38"/>
      <c r="G388" s="33"/>
      <c r="H388" s="29"/>
      <c r="I388" s="81">
        <v>264</v>
      </c>
      <c r="J388"/>
      <c r="K388" s="125"/>
      <c r="L388"/>
      <c r="M388"/>
      <c r="N388"/>
    </row>
    <row r="389" spans="1:14" s="11" customFormat="1" ht="49.5" customHeight="1">
      <c r="A389" s="15">
        <f t="shared" si="64"/>
        <v>9</v>
      </c>
      <c r="B389" s="16" t="s">
        <v>261</v>
      </c>
      <c r="C389" s="36" t="s">
        <v>456</v>
      </c>
      <c r="D389" s="24" t="s">
        <v>459</v>
      </c>
      <c r="E389" s="24" t="s">
        <v>459</v>
      </c>
      <c r="F389" s="38"/>
      <c r="G389" s="33"/>
      <c r="H389" s="29"/>
      <c r="I389" s="81">
        <v>265</v>
      </c>
      <c r="J389"/>
      <c r="K389" s="125"/>
      <c r="L389"/>
      <c r="M389"/>
      <c r="N389"/>
    </row>
    <row r="390" spans="1:14" s="11" customFormat="1" ht="49.5" customHeight="1">
      <c r="A390" s="15">
        <f t="shared" si="64"/>
        <v>10</v>
      </c>
      <c r="B390" s="16" t="s">
        <v>261</v>
      </c>
      <c r="C390" s="36" t="s">
        <v>457</v>
      </c>
      <c r="D390" s="24" t="s">
        <v>459</v>
      </c>
      <c r="E390" s="24" t="s">
        <v>459</v>
      </c>
      <c r="F390" s="38"/>
      <c r="G390" s="112" t="s">
        <v>698</v>
      </c>
      <c r="H390" s="113">
        <v>20000000</v>
      </c>
      <c r="I390" s="81">
        <v>266</v>
      </c>
      <c r="J390"/>
      <c r="K390" s="125"/>
      <c r="L390"/>
      <c r="M390"/>
      <c r="N390"/>
    </row>
    <row r="391" spans="1:14" s="11" customFormat="1" ht="49.5" customHeight="1">
      <c r="A391" s="253" t="s">
        <v>461</v>
      </c>
      <c r="B391" s="253"/>
      <c r="C391" s="253"/>
      <c r="D391" s="253"/>
      <c r="E391" s="31"/>
      <c r="F391" s="32"/>
      <c r="G391" s="112" t="s">
        <v>696</v>
      </c>
      <c r="H391" s="114">
        <v>0.2</v>
      </c>
      <c r="I391"/>
      <c r="J391"/>
      <c r="K391" s="125"/>
      <c r="L391"/>
      <c r="M391"/>
      <c r="N391"/>
    </row>
    <row r="392" spans="1:14" s="11" customFormat="1" ht="49.5" customHeight="1">
      <c r="A392" s="13" t="s">
        <v>0</v>
      </c>
      <c r="B392" s="14" t="s">
        <v>1</v>
      </c>
      <c r="C392" s="34" t="s">
        <v>2</v>
      </c>
      <c r="D392" s="23" t="s">
        <v>251</v>
      </c>
      <c r="E392" s="23" t="s">
        <v>464</v>
      </c>
      <c r="F392" s="35" t="s">
        <v>716</v>
      </c>
      <c r="G392" s="112" t="s">
        <v>697</v>
      </c>
      <c r="H392" s="114">
        <v>0</v>
      </c>
      <c r="I392"/>
      <c r="J392"/>
      <c r="K392" s="125"/>
      <c r="L392"/>
      <c r="M392"/>
      <c r="N392"/>
    </row>
    <row r="393" spans="1:14" s="11" customFormat="1" ht="49.5" customHeight="1">
      <c r="A393" s="15">
        <v>1</v>
      </c>
      <c r="B393" s="16">
        <v>2120010400</v>
      </c>
      <c r="C393" s="36" t="s">
        <v>449</v>
      </c>
      <c r="D393" s="24">
        <v>1918100000</v>
      </c>
      <c r="E393" s="24">
        <f t="shared" ref="E393:E398" si="65">ROUND(((100%+$H$391)*D393)*(100%+$H$392),-6)</f>
        <v>2302000000</v>
      </c>
      <c r="F393" s="37" t="str">
        <f>LEFT(B393,8)&amp;"00"</f>
        <v>2120010400</v>
      </c>
      <c r="G393" s="33"/>
      <c r="H393" s="29"/>
      <c r="I393" s="81">
        <v>267</v>
      </c>
      <c r="J393"/>
      <c r="K393" s="125"/>
      <c r="L393"/>
      <c r="M393"/>
      <c r="N393"/>
    </row>
    <row r="394" spans="1:14" s="11" customFormat="1" ht="49.5" customHeight="1">
      <c r="A394" s="15">
        <f>A393+1</f>
        <v>2</v>
      </c>
      <c r="B394" s="16">
        <v>2120010300</v>
      </c>
      <c r="C394" s="36" t="s">
        <v>450</v>
      </c>
      <c r="D394" s="24">
        <v>1519400000</v>
      </c>
      <c r="E394" s="24">
        <f t="shared" si="65"/>
        <v>1823000000</v>
      </c>
      <c r="F394" s="37" t="str">
        <f t="shared" ref="F394:F398" si="66">LEFT(B394,8)&amp;"00"</f>
        <v>2120010300</v>
      </c>
      <c r="G394" s="33"/>
      <c r="H394" s="29"/>
      <c r="I394" s="81">
        <v>268</v>
      </c>
      <c r="J394"/>
      <c r="K394" s="125"/>
      <c r="L394"/>
      <c r="M394"/>
      <c r="N394"/>
    </row>
    <row r="395" spans="1:14" s="11" customFormat="1" ht="49.5" customHeight="1">
      <c r="A395" s="15">
        <f t="shared" ref="A395:A402" si="67">A394+1</f>
        <v>3</v>
      </c>
      <c r="B395" s="16">
        <v>2120010200</v>
      </c>
      <c r="C395" s="36" t="s">
        <v>451</v>
      </c>
      <c r="D395" s="24">
        <v>1264100000</v>
      </c>
      <c r="E395" s="24">
        <f t="shared" si="65"/>
        <v>1517000000</v>
      </c>
      <c r="F395" s="37" t="str">
        <f t="shared" si="66"/>
        <v>2120010200</v>
      </c>
      <c r="G395" s="33"/>
      <c r="H395" s="29"/>
      <c r="I395" s="81">
        <v>269</v>
      </c>
      <c r="J395"/>
      <c r="K395" s="125"/>
      <c r="L395"/>
      <c r="M395"/>
      <c r="N395"/>
    </row>
    <row r="396" spans="1:14" s="11" customFormat="1" ht="49.5" customHeight="1">
      <c r="A396" s="15">
        <f t="shared" si="67"/>
        <v>4</v>
      </c>
      <c r="B396" s="16" t="s">
        <v>28</v>
      </c>
      <c r="C396" s="36" t="s">
        <v>29</v>
      </c>
      <c r="D396" s="24">
        <v>958800000</v>
      </c>
      <c r="E396" s="24">
        <f t="shared" si="65"/>
        <v>1151000000</v>
      </c>
      <c r="F396" s="37" t="str">
        <f t="shared" si="66"/>
        <v>2120010100</v>
      </c>
      <c r="G396" s="33"/>
      <c r="H396" s="29"/>
      <c r="I396" s="81">
        <v>270</v>
      </c>
      <c r="J396"/>
      <c r="K396" s="125"/>
      <c r="L396"/>
      <c r="M396"/>
      <c r="N396"/>
    </row>
    <row r="397" spans="1:14" s="11" customFormat="1" ht="49.5" customHeight="1">
      <c r="A397" s="15">
        <f t="shared" si="67"/>
        <v>5</v>
      </c>
      <c r="B397" s="16">
        <v>2120010700</v>
      </c>
      <c r="C397" s="36" t="s">
        <v>452</v>
      </c>
      <c r="D397" s="24">
        <v>482400000</v>
      </c>
      <c r="E397" s="24">
        <f t="shared" si="65"/>
        <v>579000000</v>
      </c>
      <c r="F397" s="37" t="str">
        <f t="shared" si="66"/>
        <v>2120010700</v>
      </c>
      <c r="G397" s="33"/>
      <c r="H397" s="29"/>
      <c r="I397" s="81">
        <v>271</v>
      </c>
      <c r="J397"/>
      <c r="K397" s="125"/>
      <c r="L397"/>
      <c r="M397"/>
      <c r="N397"/>
    </row>
    <row r="398" spans="1:14" s="11" customFormat="1" ht="49.5" customHeight="1">
      <c r="A398" s="15">
        <f t="shared" si="67"/>
        <v>6</v>
      </c>
      <c r="B398" s="16">
        <v>2120010600</v>
      </c>
      <c r="C398" s="36" t="s">
        <v>453</v>
      </c>
      <c r="D398" s="24">
        <v>449400000</v>
      </c>
      <c r="E398" s="24">
        <f t="shared" si="65"/>
        <v>539000000</v>
      </c>
      <c r="F398" s="37" t="str">
        <f t="shared" si="66"/>
        <v>2120010600</v>
      </c>
      <c r="G398" s="33"/>
      <c r="H398" s="29"/>
      <c r="I398" s="81">
        <v>272</v>
      </c>
      <c r="J398"/>
      <c r="K398" s="125"/>
      <c r="L398"/>
      <c r="M398"/>
      <c r="N398"/>
    </row>
    <row r="399" spans="1:14" s="11" customFormat="1" ht="49.5" customHeight="1">
      <c r="A399" s="15">
        <f t="shared" si="67"/>
        <v>7</v>
      </c>
      <c r="B399" s="16" t="s">
        <v>261</v>
      </c>
      <c r="C399" s="36" t="s">
        <v>454</v>
      </c>
      <c r="D399" s="24" t="s">
        <v>458</v>
      </c>
      <c r="E399" s="24" t="s">
        <v>458</v>
      </c>
      <c r="F399" s="38"/>
      <c r="G399" s="33"/>
      <c r="H399" s="29"/>
      <c r="I399" s="81">
        <v>273</v>
      </c>
      <c r="J399"/>
      <c r="K399" s="125"/>
      <c r="L399"/>
      <c r="M399"/>
      <c r="N399"/>
    </row>
    <row r="400" spans="1:14" s="11" customFormat="1" ht="49.5" customHeight="1">
      <c r="A400" s="15">
        <f t="shared" si="67"/>
        <v>8</v>
      </c>
      <c r="B400" s="16" t="s">
        <v>261</v>
      </c>
      <c r="C400" s="36" t="s">
        <v>455</v>
      </c>
      <c r="D400" s="24" t="s">
        <v>458</v>
      </c>
      <c r="E400" s="24" t="s">
        <v>458</v>
      </c>
      <c r="F400" s="38"/>
      <c r="G400" s="33"/>
      <c r="H400" s="29"/>
      <c r="I400" s="81">
        <v>274</v>
      </c>
      <c r="J400"/>
      <c r="K400" s="125"/>
      <c r="L400"/>
      <c r="M400"/>
      <c r="N400"/>
    </row>
    <row r="401" spans="1:14" s="11" customFormat="1" ht="49.5" customHeight="1">
      <c r="A401" s="15">
        <f t="shared" si="67"/>
        <v>9</v>
      </c>
      <c r="B401" s="16" t="s">
        <v>261</v>
      </c>
      <c r="C401" s="36" t="s">
        <v>456</v>
      </c>
      <c r="D401" s="24" t="s">
        <v>459</v>
      </c>
      <c r="E401" s="24" t="s">
        <v>459</v>
      </c>
      <c r="F401" s="38"/>
      <c r="G401" s="33"/>
      <c r="H401" s="29"/>
      <c r="I401" s="81">
        <v>275</v>
      </c>
      <c r="J401"/>
      <c r="K401" s="125"/>
      <c r="L401"/>
      <c r="M401"/>
      <c r="N401"/>
    </row>
    <row r="402" spans="1:14" s="11" customFormat="1" ht="49.5" customHeight="1">
      <c r="A402" s="15">
        <f t="shared" si="67"/>
        <v>10</v>
      </c>
      <c r="B402" s="16" t="s">
        <v>261</v>
      </c>
      <c r="C402" s="36" t="s">
        <v>457</v>
      </c>
      <c r="D402" s="24" t="s">
        <v>459</v>
      </c>
      <c r="E402" s="24" t="s">
        <v>459</v>
      </c>
      <c r="F402" s="38"/>
      <c r="G402" s="33"/>
      <c r="H402" s="29"/>
      <c r="I402" s="81">
        <v>276</v>
      </c>
      <c r="J402"/>
      <c r="K402" s="125"/>
      <c r="L402"/>
      <c r="M402"/>
      <c r="N402"/>
    </row>
    <row r="403" spans="1:14" s="11" customFormat="1" ht="49.5" customHeight="1">
      <c r="A403" s="253" t="s">
        <v>200</v>
      </c>
      <c r="B403" s="253"/>
      <c r="C403" s="253"/>
      <c r="D403" s="253"/>
      <c r="E403" s="31"/>
      <c r="F403" s="32"/>
      <c r="G403" s="33"/>
      <c r="H403" s="29"/>
      <c r="I403"/>
      <c r="J403"/>
      <c r="K403" s="125"/>
      <c r="L403"/>
      <c r="M403"/>
      <c r="N403"/>
    </row>
    <row r="404" spans="1:14" s="11" customFormat="1" ht="49.5" customHeight="1">
      <c r="A404" s="13" t="s">
        <v>0</v>
      </c>
      <c r="B404" s="14" t="s">
        <v>1</v>
      </c>
      <c r="C404" s="34" t="s">
        <v>2</v>
      </c>
      <c r="D404" s="23" t="s">
        <v>746</v>
      </c>
      <c r="E404" s="23" t="s">
        <v>464</v>
      </c>
      <c r="F404" s="35" t="s">
        <v>716</v>
      </c>
      <c r="G404" s="33"/>
      <c r="H404" s="29"/>
      <c r="I404"/>
      <c r="J404"/>
      <c r="K404" s="125"/>
      <c r="L404"/>
      <c r="M404"/>
      <c r="N404"/>
    </row>
    <row r="405" spans="1:14" s="11" customFormat="1" ht="49.5" customHeight="1">
      <c r="A405" s="15">
        <v>1</v>
      </c>
      <c r="B405" s="16" t="s">
        <v>201</v>
      </c>
      <c r="C405" s="36" t="s">
        <v>202</v>
      </c>
      <c r="D405" s="24">
        <v>1302000000</v>
      </c>
      <c r="E405" s="24">
        <f>ROUND(((100%+$H$411)*D405)*(100%+$H$412),-6)</f>
        <v>1562000000</v>
      </c>
      <c r="F405" s="37" t="str">
        <f>LEFT(B405,8)&amp;"00"</f>
        <v>2120030400</v>
      </c>
      <c r="G405" s="33"/>
      <c r="H405" s="29"/>
      <c r="I405" s="81">
        <v>277</v>
      </c>
      <c r="J405"/>
      <c r="K405" s="125"/>
      <c r="L405"/>
      <c r="M405"/>
      <c r="N405"/>
    </row>
    <row r="406" spans="1:14" s="11" customFormat="1" ht="49.5" customHeight="1">
      <c r="A406" s="15">
        <f>A405+1</f>
        <v>2</v>
      </c>
      <c r="B406" s="16" t="s">
        <v>203</v>
      </c>
      <c r="C406" s="36" t="s">
        <v>204</v>
      </c>
      <c r="D406" s="24">
        <v>1014000000</v>
      </c>
      <c r="E406" s="24">
        <f>ROUND(((100%+$H$411)*D406)*(100%+$H$412),-6)</f>
        <v>1217000000</v>
      </c>
      <c r="F406" s="37" t="str">
        <f t="shared" ref="F406:F409" si="68">LEFT(B406,8)&amp;"00"</f>
        <v>2120030300</v>
      </c>
      <c r="G406" s="33"/>
      <c r="H406" s="29"/>
      <c r="I406" s="81">
        <v>278</v>
      </c>
      <c r="J406"/>
      <c r="K406" s="125"/>
      <c r="L406"/>
      <c r="M406"/>
      <c r="N406"/>
    </row>
    <row r="407" spans="1:14" s="11" customFormat="1" ht="49.5" customHeight="1">
      <c r="A407" s="15">
        <f t="shared" ref="A407:A410" si="69">A406+1</f>
        <v>3</v>
      </c>
      <c r="B407" s="16" t="s">
        <v>205</v>
      </c>
      <c r="C407" s="36" t="s">
        <v>206</v>
      </c>
      <c r="D407" s="24">
        <v>728800000</v>
      </c>
      <c r="E407" s="24">
        <f>ROUND(((100%+$H$411)*D407)*(100%+$H$412),-6)</f>
        <v>875000000</v>
      </c>
      <c r="F407" s="37" t="str">
        <f t="shared" si="68"/>
        <v>2120030200</v>
      </c>
      <c r="G407" s="33"/>
      <c r="H407" s="29"/>
      <c r="I407" s="81">
        <v>279</v>
      </c>
      <c r="J407"/>
      <c r="K407" s="125"/>
      <c r="L407"/>
      <c r="M407"/>
      <c r="N407"/>
    </row>
    <row r="408" spans="1:14" s="11" customFormat="1" ht="49.5" customHeight="1">
      <c r="A408" s="15">
        <f t="shared" si="69"/>
        <v>4</v>
      </c>
      <c r="B408" s="16" t="s">
        <v>207</v>
      </c>
      <c r="C408" s="36" t="s">
        <v>208</v>
      </c>
      <c r="D408" s="24">
        <v>702700000</v>
      </c>
      <c r="E408" s="24">
        <f>ROUND(((100%+$H$411)*D408)*(100%+$H$412),-6)</f>
        <v>843000000</v>
      </c>
      <c r="F408" s="37" t="str">
        <f t="shared" si="68"/>
        <v>2120030100</v>
      </c>
      <c r="G408" s="33"/>
      <c r="H408" s="29"/>
      <c r="I408" s="81">
        <v>280</v>
      </c>
      <c r="J408"/>
      <c r="K408" s="125"/>
      <c r="L408"/>
      <c r="M408"/>
      <c r="N408"/>
    </row>
    <row r="409" spans="1:14" s="11" customFormat="1" ht="49.5" customHeight="1">
      <c r="A409" s="15">
        <f t="shared" si="69"/>
        <v>5</v>
      </c>
      <c r="B409" s="16" t="s">
        <v>362</v>
      </c>
      <c r="C409" s="36" t="s">
        <v>210</v>
      </c>
      <c r="D409" s="24">
        <v>234000000</v>
      </c>
      <c r="E409" s="24">
        <f>E417+(1.8*$H$410)</f>
        <v>278000000</v>
      </c>
      <c r="F409" s="37" t="str">
        <f t="shared" si="68"/>
        <v>2120030600</v>
      </c>
      <c r="G409" s="33"/>
      <c r="H409" s="29"/>
      <c r="I409" s="81">
        <v>281</v>
      </c>
      <c r="J409"/>
      <c r="K409" s="125"/>
      <c r="L409"/>
      <c r="M409"/>
      <c r="N409"/>
    </row>
    <row r="410" spans="1:14" s="11" customFormat="1" ht="49.5" customHeight="1">
      <c r="A410" s="15">
        <f t="shared" si="69"/>
        <v>6</v>
      </c>
      <c r="B410" s="16" t="s">
        <v>261</v>
      </c>
      <c r="C410" s="36" t="s">
        <v>363</v>
      </c>
      <c r="D410" s="24" t="s">
        <v>364</v>
      </c>
      <c r="E410" s="24" t="s">
        <v>364</v>
      </c>
      <c r="F410" s="38"/>
      <c r="G410" s="112" t="s">
        <v>698</v>
      </c>
      <c r="H410" s="113">
        <v>20000000</v>
      </c>
      <c r="I410" s="81">
        <v>282</v>
      </c>
      <c r="J410"/>
      <c r="K410" s="125"/>
      <c r="L410"/>
      <c r="M410"/>
      <c r="N410"/>
    </row>
    <row r="411" spans="1:14" s="11" customFormat="1" ht="49.5" customHeight="1">
      <c r="A411" s="253" t="s">
        <v>211</v>
      </c>
      <c r="B411" s="253"/>
      <c r="C411" s="253"/>
      <c r="D411" s="253"/>
      <c r="E411" s="31"/>
      <c r="F411" s="32"/>
      <c r="G411" s="112" t="s">
        <v>696</v>
      </c>
      <c r="H411" s="114">
        <v>0.2</v>
      </c>
      <c r="I411"/>
      <c r="J411"/>
      <c r="K411" s="125"/>
      <c r="L411"/>
      <c r="M411"/>
      <c r="N411"/>
    </row>
    <row r="412" spans="1:14" s="11" customFormat="1" ht="49.5" customHeight="1">
      <c r="A412" s="13" t="s">
        <v>0</v>
      </c>
      <c r="B412" s="14" t="s">
        <v>1</v>
      </c>
      <c r="C412" s="34" t="s">
        <v>2</v>
      </c>
      <c r="D412" s="23" t="s">
        <v>746</v>
      </c>
      <c r="E412" s="23" t="s">
        <v>464</v>
      </c>
      <c r="F412" s="35" t="s">
        <v>716</v>
      </c>
      <c r="G412" s="112" t="s">
        <v>697</v>
      </c>
      <c r="H412" s="114">
        <v>0</v>
      </c>
      <c r="I412"/>
      <c r="J412"/>
      <c r="K412" s="125"/>
      <c r="L412"/>
      <c r="M412"/>
      <c r="N412"/>
    </row>
    <row r="413" spans="1:14" s="11" customFormat="1" ht="49.5" customHeight="1">
      <c r="A413" s="15">
        <v>1</v>
      </c>
      <c r="B413" s="16" t="s">
        <v>201</v>
      </c>
      <c r="C413" s="36" t="s">
        <v>202</v>
      </c>
      <c r="D413" s="24">
        <v>1302000000</v>
      </c>
      <c r="E413" s="24">
        <f>ROUND(((100%+$H$411)*D413)*(100%+$H$412),-6)</f>
        <v>1562000000</v>
      </c>
      <c r="F413" s="37" t="str">
        <f>LEFT(B413,8)&amp;"00"</f>
        <v>2120030400</v>
      </c>
      <c r="G413" s="33"/>
      <c r="H413" s="29"/>
      <c r="I413" s="81">
        <v>283</v>
      </c>
      <c r="J413"/>
      <c r="K413" s="125"/>
      <c r="L413"/>
      <c r="M413"/>
      <c r="N413"/>
    </row>
    <row r="414" spans="1:14" s="11" customFormat="1" ht="49.5" customHeight="1">
      <c r="A414" s="15">
        <f>A413+1</f>
        <v>2</v>
      </c>
      <c r="B414" s="16" t="s">
        <v>203</v>
      </c>
      <c r="C414" s="36" t="s">
        <v>204</v>
      </c>
      <c r="D414" s="24">
        <v>1014000000</v>
      </c>
      <c r="E414" s="24">
        <f>ROUND(((100%+$H$411)*D414)*(100%+$H$412),-6)</f>
        <v>1217000000</v>
      </c>
      <c r="F414" s="37" t="str">
        <f t="shared" ref="F414:F417" si="70">LEFT(B414,8)&amp;"00"</f>
        <v>2120030300</v>
      </c>
      <c r="G414" s="33"/>
      <c r="H414" s="29"/>
      <c r="I414" s="81">
        <v>284</v>
      </c>
      <c r="J414"/>
      <c r="K414" s="125"/>
      <c r="L414"/>
      <c r="M414"/>
      <c r="N414"/>
    </row>
    <row r="415" spans="1:14" s="11" customFormat="1" ht="49.5" customHeight="1">
      <c r="A415" s="15">
        <f t="shared" ref="A415:A418" si="71">A414+1</f>
        <v>3</v>
      </c>
      <c r="B415" s="16" t="s">
        <v>205</v>
      </c>
      <c r="C415" s="36" t="s">
        <v>206</v>
      </c>
      <c r="D415" s="24">
        <v>728800000</v>
      </c>
      <c r="E415" s="24">
        <f>ROUND(((100%+$H$411)*D415)*(100%+$H$412),-6)</f>
        <v>875000000</v>
      </c>
      <c r="F415" s="37" t="str">
        <f t="shared" si="70"/>
        <v>2120030200</v>
      </c>
      <c r="G415" s="33"/>
      <c r="H415" s="29"/>
      <c r="I415" s="81">
        <v>285</v>
      </c>
      <c r="J415"/>
      <c r="K415" s="125"/>
      <c r="L415"/>
      <c r="M415"/>
      <c r="N415"/>
    </row>
    <row r="416" spans="1:14" s="11" customFormat="1" ht="49.5" customHeight="1">
      <c r="A416" s="15">
        <f t="shared" si="71"/>
        <v>4</v>
      </c>
      <c r="B416" s="16" t="s">
        <v>207</v>
      </c>
      <c r="C416" s="36" t="s">
        <v>208</v>
      </c>
      <c r="D416" s="24">
        <v>702700000</v>
      </c>
      <c r="E416" s="24">
        <f>ROUND(((100%+$H$411)*D416)*(100%+$H$412),-6)</f>
        <v>843000000</v>
      </c>
      <c r="F416" s="37" t="str">
        <f t="shared" si="70"/>
        <v>2120030100</v>
      </c>
      <c r="G416" s="33"/>
      <c r="H416" s="29"/>
      <c r="I416" s="81">
        <v>286</v>
      </c>
      <c r="J416"/>
      <c r="K416" s="125"/>
      <c r="L416"/>
      <c r="M416"/>
      <c r="N416"/>
    </row>
    <row r="417" spans="1:14" s="11" customFormat="1" ht="49.5" customHeight="1">
      <c r="A417" s="15">
        <f t="shared" si="71"/>
        <v>5</v>
      </c>
      <c r="B417" s="16" t="s">
        <v>209</v>
      </c>
      <c r="C417" s="36" t="s">
        <v>210</v>
      </c>
      <c r="D417" s="24">
        <v>201600000</v>
      </c>
      <c r="E417" s="24">
        <f>ROUND(((100%+$H$411)*D417)*(100%+$H$412),-6)</f>
        <v>242000000</v>
      </c>
      <c r="F417" s="37" t="str">
        <f t="shared" si="70"/>
        <v>2120030600</v>
      </c>
      <c r="G417" s="33"/>
      <c r="H417" s="29"/>
      <c r="I417" s="81">
        <v>287</v>
      </c>
      <c r="J417"/>
      <c r="K417" s="125"/>
      <c r="L417"/>
      <c r="M417"/>
      <c r="N417"/>
    </row>
    <row r="418" spans="1:14" s="11" customFormat="1" ht="49.5" customHeight="1">
      <c r="A418" s="15">
        <f t="shared" si="71"/>
        <v>6</v>
      </c>
      <c r="B418" s="16" t="s">
        <v>261</v>
      </c>
      <c r="C418" s="36" t="s">
        <v>363</v>
      </c>
      <c r="D418" s="24" t="s">
        <v>364</v>
      </c>
      <c r="E418" s="24" t="s">
        <v>364</v>
      </c>
      <c r="F418" s="38"/>
      <c r="G418" s="33"/>
      <c r="H418" s="29"/>
      <c r="I418" s="81">
        <v>288</v>
      </c>
      <c r="J418"/>
      <c r="K418" s="125"/>
      <c r="L418"/>
      <c r="M418"/>
      <c r="N418"/>
    </row>
    <row r="419" spans="1:14" s="11" customFormat="1" ht="49.5" customHeight="1">
      <c r="A419" s="253" t="s">
        <v>30</v>
      </c>
      <c r="B419" s="253"/>
      <c r="C419" s="253"/>
      <c r="D419" s="253"/>
      <c r="E419" s="31"/>
      <c r="F419" s="32"/>
      <c r="G419" s="33"/>
      <c r="H419" s="29"/>
      <c r="I419"/>
      <c r="J419"/>
      <c r="K419" s="125"/>
      <c r="L419"/>
      <c r="M419"/>
      <c r="N419"/>
    </row>
    <row r="420" spans="1:14" s="11" customFormat="1" ht="49.5" customHeight="1">
      <c r="A420" s="13" t="s">
        <v>0</v>
      </c>
      <c r="B420" s="14" t="s">
        <v>1</v>
      </c>
      <c r="C420" s="34" t="s">
        <v>2</v>
      </c>
      <c r="D420" s="23" t="s">
        <v>3</v>
      </c>
      <c r="E420" s="23" t="s">
        <v>464</v>
      </c>
      <c r="F420" s="35" t="s">
        <v>716</v>
      </c>
      <c r="G420" s="33"/>
      <c r="H420" s="29"/>
      <c r="I420"/>
      <c r="J420"/>
      <c r="K420" s="125"/>
      <c r="L420"/>
      <c r="M420"/>
      <c r="N420"/>
    </row>
    <row r="421" spans="1:14" s="11" customFormat="1" ht="49.5" customHeight="1">
      <c r="A421" s="15">
        <v>1</v>
      </c>
      <c r="B421" s="16" t="s">
        <v>31</v>
      </c>
      <c r="C421" s="36" t="s">
        <v>32</v>
      </c>
      <c r="D421" s="24">
        <v>1784400000</v>
      </c>
      <c r="E421" s="24">
        <f>ROUND(((100%+$H$425)*D421)*(100%+$H$426),-6)</f>
        <v>2141000000</v>
      </c>
      <c r="F421" s="37" t="str">
        <f>LEFT(B421,8)&amp;"00"</f>
        <v>2120040300</v>
      </c>
      <c r="G421" s="33"/>
      <c r="H421" s="29">
        <f>6*E424+E422</f>
        <v>4175000000</v>
      </c>
      <c r="I421" s="81">
        <v>289</v>
      </c>
      <c r="J421"/>
      <c r="K421" s="125"/>
      <c r="L421"/>
      <c r="M421"/>
      <c r="N421"/>
    </row>
    <row r="422" spans="1:14" s="11" customFormat="1" ht="49.5" customHeight="1">
      <c r="A422" s="15">
        <f>A421+1</f>
        <v>2</v>
      </c>
      <c r="B422" s="16" t="s">
        <v>33</v>
      </c>
      <c r="C422" s="36" t="s">
        <v>34</v>
      </c>
      <c r="D422" s="24">
        <v>1379300000</v>
      </c>
      <c r="E422" s="24">
        <f>ROUND(((100%+$H$425)*D422)*(100%+$H$426),-6)</f>
        <v>1655000000</v>
      </c>
      <c r="F422" s="37" t="str">
        <f t="shared" ref="F422:F424" si="72">LEFT(B422,8)&amp;"00"</f>
        <v>2120040200</v>
      </c>
      <c r="G422" s="33"/>
      <c r="H422" s="29"/>
      <c r="I422" s="81">
        <v>290</v>
      </c>
      <c r="J422"/>
      <c r="K422" s="125"/>
      <c r="L422"/>
      <c r="M422"/>
      <c r="N422"/>
    </row>
    <row r="423" spans="1:14" s="11" customFormat="1" ht="49.5" customHeight="1">
      <c r="A423" s="15">
        <f t="shared" ref="A423:A424" si="73">A422+1</f>
        <v>3</v>
      </c>
      <c r="B423" s="16" t="s">
        <v>35</v>
      </c>
      <c r="C423" s="36" t="s">
        <v>36</v>
      </c>
      <c r="D423" s="24">
        <v>958800000</v>
      </c>
      <c r="E423" s="24">
        <f>ROUND(((100%+$H$425)*D423)*(100%+$H$426),-6)</f>
        <v>1151000000</v>
      </c>
      <c r="F423" s="37" t="str">
        <f t="shared" si="72"/>
        <v>2120040100</v>
      </c>
      <c r="G423" s="33"/>
      <c r="H423" s="29"/>
      <c r="I423" s="81">
        <v>291</v>
      </c>
      <c r="J423"/>
      <c r="K423" s="125"/>
      <c r="L423"/>
      <c r="M423"/>
      <c r="N423"/>
    </row>
    <row r="424" spans="1:14" s="11" customFormat="1" ht="49.5" customHeight="1">
      <c r="A424" s="15">
        <f t="shared" si="73"/>
        <v>4</v>
      </c>
      <c r="B424" s="16" t="s">
        <v>37</v>
      </c>
      <c r="C424" s="36" t="s">
        <v>38</v>
      </c>
      <c r="D424" s="24">
        <v>352600000</v>
      </c>
      <c r="E424" s="24">
        <f>E430+(2*$H$424)</f>
        <v>420000000</v>
      </c>
      <c r="F424" s="111" t="str">
        <f t="shared" si="72"/>
        <v>2120040600</v>
      </c>
      <c r="G424" s="112" t="s">
        <v>698</v>
      </c>
      <c r="H424" s="113">
        <v>20000000</v>
      </c>
      <c r="I424" s="81">
        <v>292</v>
      </c>
      <c r="J424"/>
      <c r="K424" s="125"/>
      <c r="L424"/>
      <c r="M424"/>
      <c r="N424"/>
    </row>
    <row r="425" spans="1:14" s="11" customFormat="1" ht="49.5" customHeight="1">
      <c r="A425" s="253" t="s">
        <v>39</v>
      </c>
      <c r="B425" s="253"/>
      <c r="C425" s="253"/>
      <c r="D425" s="253"/>
      <c r="E425" s="31"/>
      <c r="F425" s="32"/>
      <c r="G425" s="112" t="s">
        <v>696</v>
      </c>
      <c r="H425" s="114">
        <v>0.2</v>
      </c>
      <c r="I425"/>
      <c r="J425"/>
      <c r="K425" s="125"/>
      <c r="L425"/>
      <c r="M425"/>
      <c r="N425"/>
    </row>
    <row r="426" spans="1:14" s="11" customFormat="1" ht="49.5" customHeight="1">
      <c r="A426" s="13" t="s">
        <v>0</v>
      </c>
      <c r="B426" s="14" t="s">
        <v>1</v>
      </c>
      <c r="C426" s="34" t="s">
        <v>2</v>
      </c>
      <c r="D426" s="23" t="s">
        <v>3</v>
      </c>
      <c r="E426" s="23" t="s">
        <v>464</v>
      </c>
      <c r="F426" s="35" t="s">
        <v>716</v>
      </c>
      <c r="G426" s="112" t="s">
        <v>697</v>
      </c>
      <c r="H426" s="114">
        <v>0</v>
      </c>
      <c r="I426"/>
      <c r="J426"/>
      <c r="K426" s="125"/>
      <c r="L426"/>
      <c r="M426"/>
      <c r="N426"/>
    </row>
    <row r="427" spans="1:14" s="11" customFormat="1" ht="49.5" customHeight="1">
      <c r="A427" s="15">
        <v>1</v>
      </c>
      <c r="B427" s="16" t="s">
        <v>31</v>
      </c>
      <c r="C427" s="36" t="s">
        <v>32</v>
      </c>
      <c r="D427" s="24">
        <v>1784400000</v>
      </c>
      <c r="E427" s="24">
        <f>ROUND(((100%+$H$425)*D427)*(100%+$H$426),-6)</f>
        <v>2141000000</v>
      </c>
      <c r="F427" s="37" t="str">
        <f>LEFT(B427,8)&amp;"00"</f>
        <v>2120040300</v>
      </c>
      <c r="G427" s="33"/>
      <c r="H427" s="29"/>
      <c r="I427" s="81">
        <v>293</v>
      </c>
      <c r="J427"/>
      <c r="K427" s="125"/>
      <c r="L427"/>
      <c r="M427"/>
      <c r="N427"/>
    </row>
    <row r="428" spans="1:14" s="11" customFormat="1" ht="49.5" customHeight="1">
      <c r="A428" s="15">
        <v>2</v>
      </c>
      <c r="B428" s="16" t="s">
        <v>33</v>
      </c>
      <c r="C428" s="36" t="s">
        <v>34</v>
      </c>
      <c r="D428" s="24">
        <v>1379300000</v>
      </c>
      <c r="E428" s="24">
        <f>ROUND(((100%+$H$425)*D428)*(100%+$H$426),-6)</f>
        <v>1655000000</v>
      </c>
      <c r="F428" s="37" t="str">
        <f t="shared" ref="F428:F430" si="74">LEFT(B428,8)&amp;"00"</f>
        <v>2120040200</v>
      </c>
      <c r="G428" s="33"/>
      <c r="H428" s="29"/>
      <c r="I428" s="81">
        <v>294</v>
      </c>
      <c r="J428"/>
      <c r="K428" s="125"/>
      <c r="L428"/>
      <c r="M428"/>
      <c r="N428"/>
    </row>
    <row r="429" spans="1:14" s="11" customFormat="1" ht="49.5" customHeight="1">
      <c r="A429" s="15">
        <v>3</v>
      </c>
      <c r="B429" s="16" t="s">
        <v>35</v>
      </c>
      <c r="C429" s="36" t="s">
        <v>36</v>
      </c>
      <c r="D429" s="24">
        <v>958800000</v>
      </c>
      <c r="E429" s="24">
        <f>ROUND(((100%+$H$425)*D429)*(100%+$H$426),-6)</f>
        <v>1151000000</v>
      </c>
      <c r="F429" s="37" t="str">
        <f t="shared" si="74"/>
        <v>2120040100</v>
      </c>
      <c r="G429" s="33"/>
      <c r="H429" s="29"/>
      <c r="I429" s="81">
        <v>295</v>
      </c>
      <c r="J429"/>
      <c r="K429" s="125"/>
      <c r="L429"/>
      <c r="M429"/>
      <c r="N429"/>
    </row>
    <row r="430" spans="1:14" s="11" customFormat="1" ht="49.5" customHeight="1">
      <c r="A430" s="15">
        <v>4</v>
      </c>
      <c r="B430" s="16" t="s">
        <v>37</v>
      </c>
      <c r="C430" s="36" t="s">
        <v>38</v>
      </c>
      <c r="D430" s="24">
        <v>316600000</v>
      </c>
      <c r="E430" s="24">
        <f>ROUND(((100%+$H$425)*D430)*(100%+$H$426),-6)</f>
        <v>380000000</v>
      </c>
      <c r="F430" s="37" t="str">
        <f t="shared" si="74"/>
        <v>2120040600</v>
      </c>
      <c r="G430" s="33"/>
      <c r="H430" s="29"/>
      <c r="I430" s="81">
        <v>296</v>
      </c>
      <c r="J430"/>
      <c r="K430" s="125"/>
      <c r="L430"/>
      <c r="M430"/>
      <c r="N430"/>
    </row>
    <row r="431" spans="1:14" s="11" customFormat="1" ht="49.5" customHeight="1">
      <c r="A431" s="253" t="s">
        <v>1077</v>
      </c>
      <c r="B431" s="253"/>
      <c r="C431" s="253"/>
      <c r="D431" s="253"/>
      <c r="E431" s="31"/>
      <c r="F431" s="32"/>
      <c r="G431" s="33"/>
      <c r="H431" s="29"/>
      <c r="I431"/>
      <c r="J431"/>
      <c r="K431" s="125"/>
      <c r="L431"/>
      <c r="M431"/>
      <c r="N431"/>
    </row>
    <row r="432" spans="1:14" s="11" customFormat="1" ht="49.5" customHeight="1">
      <c r="A432" s="13" t="s">
        <v>0</v>
      </c>
      <c r="B432" s="14" t="s">
        <v>1</v>
      </c>
      <c r="C432" s="34" t="s">
        <v>2</v>
      </c>
      <c r="D432" s="23" t="s">
        <v>746</v>
      </c>
      <c r="E432" s="23" t="s">
        <v>464</v>
      </c>
      <c r="F432" s="35" t="s">
        <v>716</v>
      </c>
      <c r="I432"/>
      <c r="J432"/>
      <c r="K432" s="125"/>
      <c r="L432"/>
      <c r="M432"/>
      <c r="N432"/>
    </row>
    <row r="433" spans="1:14" s="11" customFormat="1" ht="49.5" customHeight="1">
      <c r="A433" s="15">
        <v>1</v>
      </c>
      <c r="B433" s="16" t="s">
        <v>194</v>
      </c>
      <c r="C433" s="36" t="s">
        <v>195</v>
      </c>
      <c r="D433" s="24">
        <v>791400000</v>
      </c>
      <c r="E433" s="24">
        <f>ROUND(((100%+$H$438)*D433)*(100%+$H$439),-6)</f>
        <v>950000000</v>
      </c>
      <c r="F433" s="37" t="str">
        <f>LEFT(B433,8)&amp;"00"</f>
        <v>2120050300</v>
      </c>
      <c r="I433" s="81">
        <v>297</v>
      </c>
      <c r="J433"/>
      <c r="K433" s="125"/>
      <c r="L433"/>
      <c r="M433"/>
      <c r="N433"/>
    </row>
    <row r="434" spans="1:14" s="11" customFormat="1" ht="49.5" customHeight="1">
      <c r="A434" s="15">
        <f>A433+1</f>
        <v>2</v>
      </c>
      <c r="B434" s="16" t="s">
        <v>196</v>
      </c>
      <c r="C434" s="36" t="s">
        <v>197</v>
      </c>
      <c r="D434" s="24">
        <v>660700000</v>
      </c>
      <c r="E434" s="24">
        <f>ROUND(((100%+$H$438)*D434)*(100%+$H$439),-6)</f>
        <v>793000000</v>
      </c>
      <c r="F434" s="37" t="str">
        <f t="shared" ref="F434" si="75">LEFT(B434,8)&amp;"00"</f>
        <v>2120050200</v>
      </c>
      <c r="I434" s="81">
        <v>298</v>
      </c>
      <c r="J434"/>
      <c r="K434" s="125"/>
      <c r="L434"/>
      <c r="M434"/>
      <c r="N434"/>
    </row>
    <row r="435" spans="1:14" s="11" customFormat="1" ht="49.5" customHeight="1">
      <c r="A435" s="15"/>
      <c r="B435" s="16" t="s">
        <v>198</v>
      </c>
      <c r="C435" s="36" t="s">
        <v>199</v>
      </c>
      <c r="D435" s="24">
        <v>550800000</v>
      </c>
      <c r="E435" s="24">
        <f>ROUND(((100%+$H$438)*D435)*(100%+$H$439),-6)</f>
        <v>661000000</v>
      </c>
      <c r="F435" s="37" t="str">
        <f>LEFT(B435,8)&amp;"00"</f>
        <v>2120050100</v>
      </c>
      <c r="G435" s="33"/>
      <c r="H435" s="29"/>
      <c r="I435" s="81">
        <v>299</v>
      </c>
      <c r="J435"/>
      <c r="K435" s="125"/>
      <c r="L435"/>
      <c r="M435"/>
      <c r="N435"/>
    </row>
    <row r="436" spans="1:14" s="11" customFormat="1" ht="49.5" customHeight="1">
      <c r="A436"/>
      <c r="B436" s="16">
        <v>2120050700</v>
      </c>
      <c r="C436" s="36" t="s">
        <v>1078</v>
      </c>
      <c r="D436" s="24">
        <v>393200000</v>
      </c>
      <c r="E436" s="24">
        <f>E443+($H$437*2)</f>
        <v>472000000</v>
      </c>
      <c r="F436"/>
      <c r="G436" s="33"/>
      <c r="H436" s="29"/>
      <c r="I436" s="81">
        <v>300</v>
      </c>
      <c r="J436"/>
      <c r="K436" s="125"/>
      <c r="L436"/>
      <c r="M436"/>
      <c r="N436"/>
    </row>
    <row r="437" spans="1:14" s="11" customFormat="1" ht="49.5" customHeight="1">
      <c r="A437"/>
      <c r="B437" s="16" t="s">
        <v>261</v>
      </c>
      <c r="C437" s="36" t="s">
        <v>1079</v>
      </c>
      <c r="D437" s="24" t="s">
        <v>458</v>
      </c>
      <c r="E437" s="24" t="s">
        <v>458</v>
      </c>
      <c r="F437"/>
      <c r="G437" s="112" t="s">
        <v>698</v>
      </c>
      <c r="H437" s="117">
        <v>30000000</v>
      </c>
      <c r="I437" s="81">
        <v>301</v>
      </c>
      <c r="J437"/>
      <c r="K437" s="125"/>
      <c r="L437"/>
      <c r="M437"/>
      <c r="N437"/>
    </row>
    <row r="438" spans="1:14" s="11" customFormat="1" ht="49.5" customHeight="1">
      <c r="A438" s="253" t="s">
        <v>1080</v>
      </c>
      <c r="B438" s="253"/>
      <c r="C438" s="253"/>
      <c r="D438" s="253"/>
      <c r="E438"/>
      <c r="F438"/>
      <c r="G438" s="112" t="s">
        <v>696</v>
      </c>
      <c r="H438" s="114">
        <v>0.2</v>
      </c>
      <c r="I438"/>
      <c r="J438"/>
      <c r="K438" s="125"/>
      <c r="L438"/>
      <c r="M438"/>
      <c r="N438"/>
    </row>
    <row r="439" spans="1:14" s="11" customFormat="1" ht="49.5" customHeight="1">
      <c r="A439" s="13" t="s">
        <v>0</v>
      </c>
      <c r="B439" s="14" t="s">
        <v>1</v>
      </c>
      <c r="C439" s="34" t="s">
        <v>2</v>
      </c>
      <c r="D439" s="23" t="s">
        <v>746</v>
      </c>
      <c r="E439" s="23" t="s">
        <v>464</v>
      </c>
      <c r="F439" s="35" t="s">
        <v>716</v>
      </c>
      <c r="G439" s="112" t="s">
        <v>697</v>
      </c>
      <c r="H439" s="114">
        <v>0</v>
      </c>
      <c r="I439"/>
      <c r="J439"/>
      <c r="K439" s="125"/>
      <c r="L439"/>
      <c r="M439"/>
      <c r="N439"/>
    </row>
    <row r="440" spans="1:14" s="11" customFormat="1" ht="49.5" customHeight="1">
      <c r="A440" s="15">
        <v>1</v>
      </c>
      <c r="B440" s="16" t="s">
        <v>194</v>
      </c>
      <c r="C440" s="36" t="s">
        <v>195</v>
      </c>
      <c r="D440" s="24">
        <v>791400000</v>
      </c>
      <c r="E440" s="24">
        <f>ROUND(((100%+$H$438)*D440)*(100%+$H$439),-6)</f>
        <v>950000000</v>
      </c>
      <c r="F440" s="37" t="str">
        <f>LEFT(B440,8)&amp;"00"</f>
        <v>2120050300</v>
      </c>
      <c r="G440" s="33"/>
      <c r="H440" s="29"/>
      <c r="I440" s="81">
        <v>302</v>
      </c>
      <c r="J440"/>
      <c r="K440" s="125"/>
      <c r="L440"/>
      <c r="M440"/>
      <c r="N440"/>
    </row>
    <row r="441" spans="1:14" s="11" customFormat="1" ht="49.5" customHeight="1">
      <c r="A441" s="15">
        <f>A440+1</f>
        <v>2</v>
      </c>
      <c r="B441" s="16" t="s">
        <v>196</v>
      </c>
      <c r="C441" s="36" t="s">
        <v>197</v>
      </c>
      <c r="D441" s="24">
        <v>660700000</v>
      </c>
      <c r="E441" s="24">
        <f>ROUND(((100%+$H$438)*D441)*(100%+$H$439),-6)</f>
        <v>793000000</v>
      </c>
      <c r="F441" s="37" t="str">
        <f t="shared" ref="F441" si="76">LEFT(B441,8)&amp;"00"</f>
        <v>2120050200</v>
      </c>
      <c r="G441" s="33"/>
      <c r="H441" s="29"/>
      <c r="I441" s="81">
        <v>303</v>
      </c>
      <c r="J441"/>
      <c r="K441" s="125"/>
      <c r="L441"/>
      <c r="M441"/>
      <c r="N441"/>
    </row>
    <row r="442" spans="1:14" s="11" customFormat="1" ht="49.5" customHeight="1">
      <c r="A442" s="15"/>
      <c r="B442" s="16" t="s">
        <v>198</v>
      </c>
      <c r="C442" s="36" t="s">
        <v>199</v>
      </c>
      <c r="D442" s="24">
        <v>550800000</v>
      </c>
      <c r="E442" s="24">
        <f>ROUND(((100%+$H$438)*D442)*(100%+$H$439),-6)</f>
        <v>661000000</v>
      </c>
      <c r="F442" s="26" t="str">
        <f>LEFT(B442,8)&amp;"00"</f>
        <v>2120050100</v>
      </c>
      <c r="G442" s="33"/>
      <c r="H442" s="30"/>
      <c r="I442" s="81">
        <v>304</v>
      </c>
      <c r="J442"/>
      <c r="K442" s="125"/>
      <c r="L442"/>
      <c r="M442"/>
      <c r="N442"/>
    </row>
    <row r="443" spans="1:14" s="11" customFormat="1" ht="49.5" customHeight="1">
      <c r="A443" s="15"/>
      <c r="B443" s="16">
        <v>2120050700</v>
      </c>
      <c r="C443" s="36" t="s">
        <v>1078</v>
      </c>
      <c r="D443" s="24">
        <v>343200000</v>
      </c>
      <c r="E443" s="24">
        <f>ROUND(((100%+$H$438)*D443)*(100%+$H$439),-6)</f>
        <v>412000000</v>
      </c>
      <c r="F443" s="26"/>
      <c r="G443" s="33"/>
      <c r="H443" s="30"/>
      <c r="I443" s="81">
        <v>305</v>
      </c>
      <c r="J443"/>
      <c r="K443" s="125"/>
      <c r="L443"/>
      <c r="M443"/>
      <c r="N443"/>
    </row>
    <row r="444" spans="1:14" s="11" customFormat="1" ht="49.5" customHeight="1">
      <c r="A444" s="53"/>
      <c r="B444" s="16" t="s">
        <v>261</v>
      </c>
      <c r="C444" s="52" t="s">
        <v>1079</v>
      </c>
      <c r="D444" s="38" t="s">
        <v>458</v>
      </c>
      <c r="E444" s="38" t="s">
        <v>458</v>
      </c>
      <c r="F444" s="43"/>
      <c r="G444" s="33"/>
      <c r="H444" s="30"/>
      <c r="I444" s="81">
        <v>306</v>
      </c>
      <c r="J444"/>
      <c r="K444" s="125"/>
      <c r="L444"/>
      <c r="M444"/>
      <c r="N444"/>
    </row>
    <row r="445" spans="1:14" s="11" customFormat="1" ht="49.5" customHeight="1">
      <c r="A445" s="253" t="s">
        <v>526</v>
      </c>
      <c r="B445" s="253"/>
      <c r="C445" s="253"/>
      <c r="D445" s="253"/>
      <c r="E445" s="31"/>
      <c r="F445" s="32"/>
      <c r="I445"/>
      <c r="J445"/>
      <c r="K445" s="125"/>
      <c r="L445"/>
      <c r="M445"/>
      <c r="N445"/>
    </row>
    <row r="446" spans="1:14" s="11" customFormat="1" ht="49.5" customHeight="1">
      <c r="A446" s="13" t="s">
        <v>0</v>
      </c>
      <c r="B446" s="14" t="s">
        <v>1</v>
      </c>
      <c r="C446" s="34" t="s">
        <v>2</v>
      </c>
      <c r="D446" s="23" t="s">
        <v>746</v>
      </c>
      <c r="E446" s="23" t="s">
        <v>464</v>
      </c>
      <c r="F446" s="35" t="s">
        <v>716</v>
      </c>
      <c r="G446" s="33"/>
      <c r="H446" s="29"/>
      <c r="I446" s="81"/>
      <c r="J446"/>
      <c r="K446" s="125"/>
      <c r="L446"/>
      <c r="M446"/>
      <c r="N446"/>
    </row>
    <row r="447" spans="1:14" s="11" customFormat="1" ht="49.5" customHeight="1">
      <c r="A447" s="15">
        <v>1</v>
      </c>
      <c r="B447" s="16" t="s">
        <v>527</v>
      </c>
      <c r="C447" s="36" t="s">
        <v>528</v>
      </c>
      <c r="D447" s="24">
        <v>241400000</v>
      </c>
      <c r="E447" s="24">
        <f>ROUND(((100%+$H$448)*D447)*(100%+$H$449),-6)</f>
        <v>290000000</v>
      </c>
      <c r="F447" s="37" t="str">
        <f>LEFT(B447,8)&amp;"00"</f>
        <v>2120030700</v>
      </c>
      <c r="G447" s="33"/>
      <c r="H447" s="30"/>
      <c r="I447" s="81">
        <v>307</v>
      </c>
      <c r="J447"/>
      <c r="K447" s="125"/>
      <c r="L447"/>
      <c r="M447"/>
      <c r="N447"/>
    </row>
    <row r="448" spans="1:14" s="11" customFormat="1" ht="49.5" customHeight="1">
      <c r="A448" s="18"/>
      <c r="B448" s="19"/>
      <c r="C448" s="42"/>
      <c r="D448" s="26"/>
      <c r="E448" s="26"/>
      <c r="F448" s="43"/>
      <c r="G448" s="112" t="s">
        <v>696</v>
      </c>
      <c r="H448" s="114">
        <v>0.2</v>
      </c>
      <c r="I448"/>
      <c r="J448"/>
      <c r="K448" s="125"/>
      <c r="L448"/>
      <c r="M448"/>
      <c r="N448"/>
    </row>
    <row r="449" spans="1:14" s="11" customFormat="1" ht="49.5" customHeight="1">
      <c r="A449" s="18"/>
      <c r="B449" s="19"/>
      <c r="C449" s="42"/>
      <c r="D449" s="26"/>
      <c r="E449" s="26"/>
      <c r="F449" s="43"/>
      <c r="G449" s="112" t="s">
        <v>697</v>
      </c>
      <c r="H449" s="114">
        <v>0</v>
      </c>
      <c r="I449"/>
      <c r="J449"/>
      <c r="K449" s="125"/>
      <c r="L449"/>
      <c r="M449"/>
      <c r="N449"/>
    </row>
    <row r="450" spans="1:14" s="11" customFormat="1" ht="49.5" customHeight="1">
      <c r="A450" s="253" t="s">
        <v>521</v>
      </c>
      <c r="B450" s="253"/>
      <c r="C450" s="253"/>
      <c r="D450" s="253"/>
      <c r="E450" s="31"/>
      <c r="F450" s="32"/>
      <c r="G450" s="33"/>
      <c r="H450" s="29"/>
      <c r="I450"/>
      <c r="J450"/>
      <c r="K450" s="125"/>
      <c r="L450"/>
      <c r="M450"/>
      <c r="N450"/>
    </row>
    <row r="451" spans="1:14" s="11" customFormat="1" ht="49.5" customHeight="1">
      <c r="A451" s="13" t="s">
        <v>0</v>
      </c>
      <c r="B451" s="14" t="s">
        <v>1</v>
      </c>
      <c r="C451" s="34" t="s">
        <v>2</v>
      </c>
      <c r="D451" s="23" t="s">
        <v>746</v>
      </c>
      <c r="E451" s="23" t="s">
        <v>464</v>
      </c>
      <c r="F451" s="35" t="s">
        <v>716</v>
      </c>
      <c r="G451" s="33"/>
      <c r="H451" s="29"/>
      <c r="I451"/>
      <c r="J451"/>
      <c r="K451" s="125"/>
      <c r="L451"/>
      <c r="M451"/>
      <c r="N451"/>
    </row>
    <row r="452" spans="1:14" s="11" customFormat="1" ht="49.5" customHeight="1">
      <c r="A452" s="15">
        <v>1</v>
      </c>
      <c r="B452" s="16" t="s">
        <v>702</v>
      </c>
      <c r="C452" s="36" t="s">
        <v>525</v>
      </c>
      <c r="D452" s="24">
        <v>1627400000</v>
      </c>
      <c r="E452" s="24">
        <f>ROUND(((100%+$H$459)*D452)*(100%+$H$460),-6)</f>
        <v>1953000000</v>
      </c>
      <c r="F452" s="37" t="str">
        <f>LEFT(B452,8)&amp;"00"</f>
        <v>2120060400</v>
      </c>
      <c r="G452" s="33"/>
      <c r="H452" s="29"/>
      <c r="I452" s="81">
        <v>308</v>
      </c>
      <c r="J452"/>
      <c r="K452" s="125"/>
      <c r="L452"/>
      <c r="M452"/>
      <c r="N452"/>
    </row>
    <row r="453" spans="1:14" s="11" customFormat="1" ht="49.5" customHeight="1">
      <c r="A453" s="15">
        <v>2</v>
      </c>
      <c r="B453" s="16" t="s">
        <v>701</v>
      </c>
      <c r="C453" s="36" t="s">
        <v>522</v>
      </c>
      <c r="D453" s="24">
        <v>1267400000</v>
      </c>
      <c r="E453" s="24">
        <f>ROUND(((100%+$H$459)*D453)*(100%+$H$460),-6)</f>
        <v>1521000000</v>
      </c>
      <c r="F453" s="37" t="str">
        <f t="shared" ref="F453:F457" si="77">LEFT(B453,8)&amp;"00"</f>
        <v>2120060300</v>
      </c>
      <c r="G453" s="33"/>
      <c r="H453" s="29"/>
      <c r="I453" s="81">
        <v>309</v>
      </c>
      <c r="J453"/>
      <c r="K453" s="125"/>
      <c r="L453"/>
      <c r="M453"/>
      <c r="N453"/>
    </row>
    <row r="454" spans="1:14" s="11" customFormat="1" ht="49.5" customHeight="1">
      <c r="A454" s="15">
        <v>3</v>
      </c>
      <c r="B454" s="16" t="s">
        <v>700</v>
      </c>
      <c r="C454" s="36" t="s">
        <v>523</v>
      </c>
      <c r="D454" s="24">
        <v>911000000</v>
      </c>
      <c r="E454" s="24">
        <f>ROUND(((100%+$H$459)*D454)*(100%+$H$460),-6)</f>
        <v>1093000000</v>
      </c>
      <c r="F454" s="37" t="str">
        <f t="shared" si="77"/>
        <v>2120060200</v>
      </c>
      <c r="G454" s="33"/>
      <c r="H454" s="29"/>
      <c r="I454" s="81">
        <v>310</v>
      </c>
      <c r="J454"/>
      <c r="K454" s="125"/>
      <c r="L454"/>
      <c r="M454"/>
      <c r="N454"/>
    </row>
    <row r="455" spans="1:14" s="11" customFormat="1" ht="49.5" customHeight="1">
      <c r="A455" s="15">
        <v>4</v>
      </c>
      <c r="B455" s="16" t="s">
        <v>699</v>
      </c>
      <c r="C455" s="36" t="s">
        <v>524</v>
      </c>
      <c r="D455" s="24">
        <v>878400000</v>
      </c>
      <c r="E455" s="24">
        <f>ROUND(((100%+$H$459)*D455)*(100%+$H$460),-6)</f>
        <v>1054000000</v>
      </c>
      <c r="F455" s="37" t="str">
        <f t="shared" si="77"/>
        <v>2120060100</v>
      </c>
      <c r="G455" s="33"/>
      <c r="H455" s="29"/>
      <c r="I455" s="81">
        <v>311</v>
      </c>
      <c r="J455"/>
      <c r="K455" s="125"/>
      <c r="L455"/>
      <c r="M455"/>
      <c r="N455"/>
    </row>
    <row r="456" spans="1:14" s="11" customFormat="1" ht="49.5" customHeight="1">
      <c r="A456" s="15">
        <v>5</v>
      </c>
      <c r="B456" s="16" t="s">
        <v>703</v>
      </c>
      <c r="C456" s="36" t="s">
        <v>516</v>
      </c>
      <c r="D456" s="24">
        <v>412100000</v>
      </c>
      <c r="E456" s="24">
        <f>(1*$H$458)+E466</f>
        <v>493000000</v>
      </c>
      <c r="F456" s="37" t="str">
        <f t="shared" si="77"/>
        <v>2120060600</v>
      </c>
      <c r="G456" s="33"/>
      <c r="H456" s="29"/>
      <c r="I456" s="81">
        <v>312</v>
      </c>
      <c r="J456"/>
      <c r="K456" s="125"/>
      <c r="L456"/>
      <c r="M456"/>
      <c r="N456"/>
    </row>
    <row r="457" spans="1:14" s="11" customFormat="1" ht="49.5" customHeight="1">
      <c r="A457" s="15">
        <v>6</v>
      </c>
      <c r="B457" s="16" t="s">
        <v>704</v>
      </c>
      <c r="C457" s="36" t="s">
        <v>517</v>
      </c>
      <c r="D457" s="24">
        <v>363800000</v>
      </c>
      <c r="E457" s="24">
        <f>(1*$H$458)+E467</f>
        <v>435000000</v>
      </c>
      <c r="F457" s="37" t="str">
        <f t="shared" si="77"/>
        <v>2120060700</v>
      </c>
      <c r="G457" s="33"/>
      <c r="H457" s="29"/>
      <c r="I457" s="81">
        <v>313</v>
      </c>
      <c r="J457"/>
      <c r="K457" s="125"/>
      <c r="L457"/>
      <c r="M457"/>
      <c r="N457"/>
    </row>
    <row r="458" spans="1:14" s="11" customFormat="1" ht="49.5" customHeight="1">
      <c r="A458" s="15">
        <v>7</v>
      </c>
      <c r="B458" s="16" t="s">
        <v>261</v>
      </c>
      <c r="C458" s="36" t="s">
        <v>518</v>
      </c>
      <c r="D458" s="24"/>
      <c r="E458" s="24" t="s">
        <v>519</v>
      </c>
      <c r="F458" s="111"/>
      <c r="G458" s="112" t="s">
        <v>698</v>
      </c>
      <c r="H458" s="113">
        <v>20000000</v>
      </c>
      <c r="I458" s="81">
        <v>314</v>
      </c>
      <c r="J458"/>
      <c r="K458" s="125"/>
      <c r="L458"/>
      <c r="M458"/>
      <c r="N458"/>
    </row>
    <row r="459" spans="1:14" s="11" customFormat="1" ht="49.5" customHeight="1">
      <c r="A459" s="18"/>
      <c r="B459" s="19"/>
      <c r="C459" s="42"/>
      <c r="D459" s="26"/>
      <c r="E459" s="26"/>
      <c r="F459" s="43"/>
      <c r="G459" s="112" t="s">
        <v>696</v>
      </c>
      <c r="H459" s="114">
        <v>0.2</v>
      </c>
      <c r="I459"/>
      <c r="J459"/>
      <c r="K459" s="125"/>
      <c r="L459"/>
      <c r="M459"/>
      <c r="N459"/>
    </row>
    <row r="460" spans="1:14" s="11" customFormat="1" ht="49.5" customHeight="1">
      <c r="A460" s="253" t="s">
        <v>520</v>
      </c>
      <c r="B460" s="253"/>
      <c r="C460" s="253"/>
      <c r="D460" s="253"/>
      <c r="E460" s="31"/>
      <c r="F460" s="32"/>
      <c r="G460" s="112" t="s">
        <v>697</v>
      </c>
      <c r="H460" s="114">
        <v>0</v>
      </c>
      <c r="I460"/>
      <c r="J460"/>
      <c r="K460" s="125"/>
      <c r="L460"/>
      <c r="M460"/>
      <c r="N460"/>
    </row>
    <row r="461" spans="1:14" s="11" customFormat="1" ht="49.5" customHeight="1">
      <c r="A461" s="13" t="s">
        <v>0</v>
      </c>
      <c r="B461" s="14" t="s">
        <v>1</v>
      </c>
      <c r="C461" s="34" t="s">
        <v>2</v>
      </c>
      <c r="D461" s="23" t="s">
        <v>746</v>
      </c>
      <c r="E461" s="23" t="s">
        <v>464</v>
      </c>
      <c r="F461" s="35" t="s">
        <v>716</v>
      </c>
      <c r="G461" s="33"/>
      <c r="H461" s="29"/>
      <c r="I461"/>
      <c r="J461"/>
      <c r="K461" s="125"/>
      <c r="L461"/>
      <c r="M461"/>
      <c r="N461"/>
    </row>
    <row r="462" spans="1:14" s="11" customFormat="1" ht="49.5" customHeight="1">
      <c r="A462" s="15">
        <v>1</v>
      </c>
      <c r="B462" s="16" t="s">
        <v>702</v>
      </c>
      <c r="C462" s="36" t="s">
        <v>525</v>
      </c>
      <c r="D462" s="24">
        <v>1627400000</v>
      </c>
      <c r="E462" s="24">
        <f t="shared" ref="E462:E467" si="78">ROUND(((100%+$H$459)*D462)*(100%+$H$460),-6)</f>
        <v>1953000000</v>
      </c>
      <c r="F462" s="37" t="str">
        <f>LEFT(B462,8)&amp;"00"</f>
        <v>2120060400</v>
      </c>
      <c r="G462" s="33"/>
      <c r="H462" s="29"/>
      <c r="I462" s="81">
        <v>315</v>
      </c>
      <c r="J462"/>
      <c r="K462" s="125"/>
      <c r="L462"/>
      <c r="M462"/>
      <c r="N462"/>
    </row>
    <row r="463" spans="1:14" s="11" customFormat="1" ht="49.5" customHeight="1">
      <c r="A463" s="15">
        <v>2</v>
      </c>
      <c r="B463" s="16" t="s">
        <v>701</v>
      </c>
      <c r="C463" s="36" t="s">
        <v>522</v>
      </c>
      <c r="D463" s="24">
        <v>1267400000</v>
      </c>
      <c r="E463" s="24">
        <f t="shared" si="78"/>
        <v>1521000000</v>
      </c>
      <c r="F463" s="37" t="str">
        <f t="shared" ref="F463:F467" si="79">LEFT(B463,8)&amp;"00"</f>
        <v>2120060300</v>
      </c>
      <c r="G463" s="33"/>
      <c r="H463" s="29"/>
      <c r="I463" s="81">
        <v>316</v>
      </c>
      <c r="J463"/>
      <c r="K463" s="125"/>
      <c r="L463"/>
      <c r="M463"/>
      <c r="N463"/>
    </row>
    <row r="464" spans="1:14" s="11" customFormat="1" ht="49.5" customHeight="1">
      <c r="A464" s="15">
        <v>3</v>
      </c>
      <c r="B464" s="16" t="s">
        <v>700</v>
      </c>
      <c r="C464" s="36" t="s">
        <v>523</v>
      </c>
      <c r="D464" s="24">
        <v>911000000</v>
      </c>
      <c r="E464" s="24">
        <f t="shared" si="78"/>
        <v>1093000000</v>
      </c>
      <c r="F464" s="37" t="str">
        <f t="shared" si="79"/>
        <v>2120060200</v>
      </c>
      <c r="G464" s="33"/>
      <c r="H464" s="29"/>
      <c r="I464" s="81">
        <v>317</v>
      </c>
      <c r="J464"/>
      <c r="K464" s="125"/>
      <c r="L464"/>
      <c r="M464"/>
      <c r="N464"/>
    </row>
    <row r="465" spans="1:14" s="11" customFormat="1" ht="49.5" customHeight="1">
      <c r="A465" s="15">
        <v>4</v>
      </c>
      <c r="B465" s="16" t="s">
        <v>699</v>
      </c>
      <c r="C465" s="36" t="s">
        <v>524</v>
      </c>
      <c r="D465" s="24">
        <v>878400000</v>
      </c>
      <c r="E465" s="24">
        <f t="shared" si="78"/>
        <v>1054000000</v>
      </c>
      <c r="F465" s="37" t="str">
        <f t="shared" si="79"/>
        <v>2120060100</v>
      </c>
      <c r="G465" s="33"/>
      <c r="H465" s="29"/>
      <c r="I465" s="81">
        <v>318</v>
      </c>
      <c r="J465"/>
      <c r="K465" s="125"/>
      <c r="L465"/>
      <c r="M465"/>
      <c r="N465"/>
    </row>
    <row r="466" spans="1:14" s="11" customFormat="1" ht="49.5" customHeight="1">
      <c r="A466" s="15">
        <v>5</v>
      </c>
      <c r="B466" s="16" t="s">
        <v>703</v>
      </c>
      <c r="C466" s="36" t="s">
        <v>516</v>
      </c>
      <c r="D466" s="24">
        <v>394100000</v>
      </c>
      <c r="E466" s="24">
        <f t="shared" si="78"/>
        <v>473000000</v>
      </c>
      <c r="F466" s="37" t="str">
        <f t="shared" si="79"/>
        <v>2120060600</v>
      </c>
      <c r="G466" s="33"/>
      <c r="H466" s="29"/>
      <c r="I466" s="81">
        <v>319</v>
      </c>
      <c r="J466"/>
      <c r="K466" s="125"/>
      <c r="L466"/>
      <c r="M466"/>
      <c r="N466"/>
    </row>
    <row r="467" spans="1:14" s="11" customFormat="1" ht="49.5" customHeight="1">
      <c r="A467" s="15">
        <v>6</v>
      </c>
      <c r="B467" s="16" t="s">
        <v>704</v>
      </c>
      <c r="C467" s="36" t="s">
        <v>517</v>
      </c>
      <c r="D467" s="24">
        <v>345800000</v>
      </c>
      <c r="E467" s="24">
        <f t="shared" si="78"/>
        <v>415000000</v>
      </c>
      <c r="F467" s="37" t="str">
        <f t="shared" si="79"/>
        <v>2120060700</v>
      </c>
      <c r="G467" s="33"/>
      <c r="H467" s="29"/>
      <c r="I467" s="81">
        <v>320</v>
      </c>
      <c r="J467"/>
      <c r="K467" s="125"/>
      <c r="L467"/>
      <c r="M467"/>
      <c r="N467"/>
    </row>
    <row r="468" spans="1:14" s="11" customFormat="1" ht="49.5" customHeight="1">
      <c r="A468" s="15">
        <v>7</v>
      </c>
      <c r="B468" s="16" t="s">
        <v>261</v>
      </c>
      <c r="C468" s="36" t="s">
        <v>518</v>
      </c>
      <c r="D468" s="24"/>
      <c r="E468" s="24" t="s">
        <v>519</v>
      </c>
      <c r="F468" s="38"/>
      <c r="G468" s="33"/>
      <c r="H468" s="29"/>
      <c r="I468" s="81">
        <v>321</v>
      </c>
      <c r="J468"/>
      <c r="K468" s="125"/>
      <c r="L468"/>
      <c r="M468"/>
      <c r="N468"/>
    </row>
    <row r="469" spans="1:14" s="11" customFormat="1" ht="49.5" customHeight="1">
      <c r="A469" s="15"/>
      <c r="B469" s="16"/>
      <c r="C469" s="36"/>
      <c r="D469" s="24"/>
      <c r="E469" s="24"/>
      <c r="F469" s="38"/>
      <c r="G469" s="33"/>
      <c r="H469" s="29"/>
      <c r="I469"/>
      <c r="J469"/>
      <c r="K469" s="125"/>
      <c r="L469"/>
      <c r="M469"/>
      <c r="N469"/>
    </row>
    <row r="470" spans="1:14" s="11" customFormat="1" ht="49.5" customHeight="1">
      <c r="A470" s="253" t="s">
        <v>490</v>
      </c>
      <c r="B470" s="253"/>
      <c r="C470" s="253"/>
      <c r="D470" s="253"/>
      <c r="E470" s="31"/>
      <c r="F470" s="32"/>
      <c r="G470" s="33"/>
      <c r="H470" s="29"/>
      <c r="I470"/>
      <c r="J470"/>
      <c r="K470" s="125"/>
      <c r="L470"/>
      <c r="M470"/>
      <c r="N470"/>
    </row>
    <row r="471" spans="1:14" s="11" customFormat="1" ht="49.5" customHeight="1">
      <c r="A471" s="13" t="s">
        <v>0</v>
      </c>
      <c r="B471" s="14" t="s">
        <v>1</v>
      </c>
      <c r="C471" s="34" t="s">
        <v>2</v>
      </c>
      <c r="D471" s="23" t="s">
        <v>251</v>
      </c>
      <c r="E471" s="23" t="s">
        <v>464</v>
      </c>
      <c r="F471" s="35" t="s">
        <v>716</v>
      </c>
      <c r="G471" s="33"/>
      <c r="H471" s="29"/>
      <c r="I471"/>
      <c r="J471"/>
      <c r="K471" s="125"/>
      <c r="L471"/>
      <c r="M471"/>
      <c r="N471"/>
    </row>
    <row r="472" spans="1:14" s="11" customFormat="1" ht="49.5" customHeight="1">
      <c r="A472" s="15">
        <v>1</v>
      </c>
      <c r="B472" s="16" t="s">
        <v>40</v>
      </c>
      <c r="C472" s="36" t="s">
        <v>41</v>
      </c>
      <c r="D472" s="24">
        <v>5722400000</v>
      </c>
      <c r="E472" s="24">
        <f>E475+(2*$E$478)+(6*$E$479)</f>
        <v>6914000000</v>
      </c>
      <c r="F472" s="37"/>
      <c r="G472" s="33"/>
      <c r="H472" s="29"/>
      <c r="I472" s="81">
        <v>322</v>
      </c>
      <c r="J472"/>
      <c r="K472" s="125"/>
      <c r="L472"/>
      <c r="M472"/>
      <c r="N472"/>
    </row>
    <row r="473" spans="1:14" s="11" customFormat="1" ht="49.5" customHeight="1">
      <c r="A473" s="15">
        <f>A472+1</f>
        <v>2</v>
      </c>
      <c r="B473" s="16" t="s">
        <v>40</v>
      </c>
      <c r="C473" s="36" t="s">
        <v>42</v>
      </c>
      <c r="D473" s="24">
        <v>4417200000</v>
      </c>
      <c r="E473" s="24">
        <f>E476+(2*$E$478)+(4*$E$479)</f>
        <v>5336000000</v>
      </c>
      <c r="F473" s="37"/>
      <c r="G473" s="33"/>
      <c r="H473" s="29"/>
      <c r="I473" s="81">
        <v>323</v>
      </c>
      <c r="J473"/>
      <c r="K473" s="125"/>
      <c r="L473"/>
      <c r="M473"/>
      <c r="N473"/>
    </row>
    <row r="474" spans="1:14" s="11" customFormat="1" ht="49.5" customHeight="1">
      <c r="A474" s="15">
        <f t="shared" ref="A474:A480" si="80">A473+1</f>
        <v>3</v>
      </c>
      <c r="B474" s="16" t="s">
        <v>43</v>
      </c>
      <c r="C474" s="36" t="s">
        <v>44</v>
      </c>
      <c r="D474" s="24">
        <v>1890000000</v>
      </c>
      <c r="E474" s="24">
        <f>ROUND(((100%+$H$481)*D474)*(100%+$H$482),-6)</f>
        <v>2268000000</v>
      </c>
      <c r="F474" s="37" t="str">
        <f t="shared" ref="F474:F479" si="81">LEFT(B474,8)&amp;"00"</f>
        <v>2120090400</v>
      </c>
      <c r="G474" s="33"/>
      <c r="H474" s="29"/>
      <c r="I474" s="81">
        <v>324</v>
      </c>
      <c r="J474"/>
      <c r="K474" s="125"/>
      <c r="L474"/>
      <c r="M474"/>
      <c r="N474"/>
    </row>
    <row r="475" spans="1:14" s="11" customFormat="1" ht="49.5" customHeight="1">
      <c r="A475" s="15">
        <f t="shared" si="80"/>
        <v>4</v>
      </c>
      <c r="B475" s="16" t="s">
        <v>45</v>
      </c>
      <c r="C475" s="36" t="s">
        <v>46</v>
      </c>
      <c r="D475" s="24">
        <v>1416400000</v>
      </c>
      <c r="E475" s="24">
        <f>ROUND(((100%+$H$481)*D475)*(100%+$H$482),-6)</f>
        <v>1700000000</v>
      </c>
      <c r="F475" s="37" t="str">
        <f t="shared" si="81"/>
        <v>2120090300</v>
      </c>
      <c r="G475" s="33"/>
      <c r="H475" s="29"/>
      <c r="I475" s="81">
        <v>325</v>
      </c>
      <c r="J475"/>
      <c r="K475" s="125"/>
      <c r="L475"/>
      <c r="M475"/>
      <c r="N475"/>
    </row>
    <row r="476" spans="1:14" s="11" customFormat="1" ht="49.5" customHeight="1">
      <c r="A476" s="15">
        <f t="shared" si="80"/>
        <v>5</v>
      </c>
      <c r="B476" s="16" t="s">
        <v>47</v>
      </c>
      <c r="C476" s="36" t="s">
        <v>48</v>
      </c>
      <c r="D476" s="24">
        <v>1181600000</v>
      </c>
      <c r="E476" s="24">
        <f>ROUND(((100%+$H$481)*D476)*(100%+$H$482),-6)</f>
        <v>1418000000</v>
      </c>
      <c r="F476" s="37" t="str">
        <f t="shared" si="81"/>
        <v>2120090200</v>
      </c>
      <c r="G476" s="33"/>
      <c r="H476" s="29"/>
      <c r="I476" s="81">
        <v>326</v>
      </c>
      <c r="J476"/>
      <c r="K476" s="125"/>
      <c r="L476"/>
      <c r="M476"/>
      <c r="N476"/>
    </row>
    <row r="477" spans="1:14" s="11" customFormat="1" ht="49.5" customHeight="1">
      <c r="A477" s="15">
        <f t="shared" si="80"/>
        <v>6</v>
      </c>
      <c r="B477" s="16" t="s">
        <v>49</v>
      </c>
      <c r="C477" s="36" t="s">
        <v>50</v>
      </c>
      <c r="D477" s="24">
        <v>983800000</v>
      </c>
      <c r="E477" s="24">
        <f>ROUND(((100%+$H$481)*D477)*(100%+$H$482),-6)</f>
        <v>1181000000</v>
      </c>
      <c r="F477" s="37" t="str">
        <f t="shared" si="81"/>
        <v>2120090100</v>
      </c>
      <c r="G477" s="33"/>
      <c r="H477" s="29"/>
      <c r="I477" s="81">
        <v>327</v>
      </c>
      <c r="J477"/>
      <c r="K477" s="125"/>
      <c r="L477"/>
      <c r="M477"/>
      <c r="N477"/>
    </row>
    <row r="478" spans="1:14" s="11" customFormat="1" ht="49.5" customHeight="1">
      <c r="A478" s="15">
        <f t="shared" si="80"/>
        <v>7</v>
      </c>
      <c r="B478" s="16" t="s">
        <v>51</v>
      </c>
      <c r="C478" s="36" t="s">
        <v>52</v>
      </c>
      <c r="D478" s="24">
        <v>547400000</v>
      </c>
      <c r="E478" s="24">
        <f>E489+(3*$H$480)</f>
        <v>663000000</v>
      </c>
      <c r="F478" s="37" t="str">
        <f t="shared" si="81"/>
        <v>2120090700</v>
      </c>
      <c r="G478" s="33"/>
      <c r="H478" s="29"/>
      <c r="I478" s="81">
        <v>328</v>
      </c>
      <c r="J478"/>
      <c r="K478" s="125"/>
      <c r="L478"/>
      <c r="M478"/>
      <c r="N478"/>
    </row>
    <row r="479" spans="1:14" s="11" customFormat="1" ht="49.5" customHeight="1">
      <c r="A479" s="15">
        <f t="shared" si="80"/>
        <v>8</v>
      </c>
      <c r="B479" s="16" t="s">
        <v>53</v>
      </c>
      <c r="C479" s="36" t="s">
        <v>54</v>
      </c>
      <c r="D479" s="24">
        <v>535200000</v>
      </c>
      <c r="E479" s="24">
        <f>E490+(3*$H$480)</f>
        <v>648000000</v>
      </c>
      <c r="F479" s="37" t="str">
        <f t="shared" si="81"/>
        <v>2120090600</v>
      </c>
      <c r="G479" s="33"/>
      <c r="H479" s="29"/>
      <c r="I479" s="81">
        <v>329</v>
      </c>
      <c r="J479"/>
      <c r="K479" s="125"/>
      <c r="L479"/>
      <c r="M479"/>
      <c r="N479"/>
    </row>
    <row r="480" spans="1:14" s="11" customFormat="1" ht="49.5" customHeight="1">
      <c r="A480" s="15">
        <f t="shared" si="80"/>
        <v>9</v>
      </c>
      <c r="B480" s="16" t="s">
        <v>261</v>
      </c>
      <c r="C480" s="36" t="s">
        <v>365</v>
      </c>
      <c r="D480" s="24" t="s">
        <v>366</v>
      </c>
      <c r="E480" s="24" t="s">
        <v>366</v>
      </c>
      <c r="F480" s="38"/>
      <c r="G480" s="112" t="s">
        <v>698</v>
      </c>
      <c r="H480" s="113">
        <v>50000000</v>
      </c>
      <c r="I480" s="81">
        <v>330</v>
      </c>
      <c r="J480"/>
      <c r="K480" s="125"/>
      <c r="L480"/>
      <c r="M480"/>
      <c r="N480"/>
    </row>
    <row r="481" spans="1:14" s="11" customFormat="1" ht="49.5" customHeight="1">
      <c r="A481" s="253" t="s">
        <v>491</v>
      </c>
      <c r="B481" s="253"/>
      <c r="C481" s="253"/>
      <c r="D481" s="253"/>
      <c r="E481" s="31"/>
      <c r="F481" s="32"/>
      <c r="G481" s="112" t="s">
        <v>696</v>
      </c>
      <c r="H481" s="114">
        <v>0.2</v>
      </c>
      <c r="I481"/>
      <c r="J481"/>
      <c r="K481" s="125"/>
      <c r="L481"/>
      <c r="M481"/>
      <c r="N481"/>
    </row>
    <row r="482" spans="1:14" s="11" customFormat="1" ht="49.5" customHeight="1">
      <c r="A482" s="13" t="s">
        <v>0</v>
      </c>
      <c r="B482" s="14" t="s">
        <v>1</v>
      </c>
      <c r="C482" s="34" t="s">
        <v>2</v>
      </c>
      <c r="D482" s="23" t="s">
        <v>251</v>
      </c>
      <c r="E482" s="23" t="s">
        <v>464</v>
      </c>
      <c r="F482" s="35" t="s">
        <v>716</v>
      </c>
      <c r="G482" s="112" t="s">
        <v>697</v>
      </c>
      <c r="H482" s="114">
        <v>0</v>
      </c>
      <c r="I482"/>
      <c r="J482"/>
      <c r="K482" s="125"/>
      <c r="L482"/>
      <c r="M482"/>
      <c r="N482"/>
    </row>
    <row r="483" spans="1:14" s="11" customFormat="1" ht="49.5" customHeight="1">
      <c r="A483" s="15">
        <v>1</v>
      </c>
      <c r="B483" s="16" t="s">
        <v>40</v>
      </c>
      <c r="C483" s="36" t="s">
        <v>41</v>
      </c>
      <c r="D483" s="24">
        <v>4762400000</v>
      </c>
      <c r="E483" s="24">
        <f>E486+(2*$E$489)+(6*$E$490)</f>
        <v>5714000000</v>
      </c>
      <c r="F483" s="37"/>
      <c r="G483" s="33"/>
      <c r="H483" s="29"/>
      <c r="I483" s="81">
        <v>331</v>
      </c>
      <c r="J483"/>
      <c r="K483" s="125"/>
      <c r="L483"/>
      <c r="M483"/>
      <c r="N483"/>
    </row>
    <row r="484" spans="1:14" s="11" customFormat="1" ht="49.5" customHeight="1">
      <c r="A484" s="15">
        <f>A483+1</f>
        <v>2</v>
      </c>
      <c r="B484" s="16" t="s">
        <v>40</v>
      </c>
      <c r="C484" s="36" t="s">
        <v>42</v>
      </c>
      <c r="D484" s="24">
        <v>3697200000</v>
      </c>
      <c r="E484" s="24">
        <f>E487+(2*$E$489)+(4*$E$490)</f>
        <v>4436000000</v>
      </c>
      <c r="F484" s="37"/>
      <c r="G484" s="33"/>
      <c r="H484" s="29"/>
      <c r="I484" s="81">
        <v>332</v>
      </c>
      <c r="J484"/>
      <c r="K484" s="125"/>
      <c r="L484"/>
      <c r="M484"/>
      <c r="N484"/>
    </row>
    <row r="485" spans="1:14" s="11" customFormat="1" ht="49.5" customHeight="1">
      <c r="A485" s="15">
        <f t="shared" ref="A485:A491" si="82">A484+1</f>
        <v>3</v>
      </c>
      <c r="B485" s="16" t="s">
        <v>43</v>
      </c>
      <c r="C485" s="36" t="s">
        <v>44</v>
      </c>
      <c r="D485" s="24">
        <v>1890000000</v>
      </c>
      <c r="E485" s="24">
        <f t="shared" ref="E485:E490" si="83">ROUND(((100%+$H$481)*D485)*(100%+$H$482),-6)</f>
        <v>2268000000</v>
      </c>
      <c r="F485" s="37" t="str">
        <f t="shared" ref="F485:F490" si="84">LEFT(B485,8)&amp;"00"</f>
        <v>2120090400</v>
      </c>
      <c r="G485" s="33"/>
      <c r="H485" s="29"/>
      <c r="I485" s="81">
        <v>333</v>
      </c>
      <c r="J485"/>
      <c r="K485" s="125"/>
      <c r="L485"/>
      <c r="M485"/>
      <c r="N485"/>
    </row>
    <row r="486" spans="1:14" s="11" customFormat="1" ht="49.5" customHeight="1">
      <c r="A486" s="15">
        <f t="shared" si="82"/>
        <v>4</v>
      </c>
      <c r="B486" s="16" t="s">
        <v>45</v>
      </c>
      <c r="C486" s="36" t="s">
        <v>46</v>
      </c>
      <c r="D486" s="24">
        <v>1416400000</v>
      </c>
      <c r="E486" s="24">
        <f t="shared" si="83"/>
        <v>1700000000</v>
      </c>
      <c r="F486" s="37" t="str">
        <f t="shared" si="84"/>
        <v>2120090300</v>
      </c>
      <c r="G486" s="33"/>
      <c r="H486" s="29"/>
      <c r="I486" s="81">
        <v>334</v>
      </c>
      <c r="J486"/>
      <c r="K486" s="125"/>
      <c r="L486"/>
      <c r="M486"/>
      <c r="N486"/>
    </row>
    <row r="487" spans="1:14" s="11" customFormat="1" ht="49.5" customHeight="1">
      <c r="A487" s="15">
        <f t="shared" si="82"/>
        <v>5</v>
      </c>
      <c r="B487" s="16" t="s">
        <v>47</v>
      </c>
      <c r="C487" s="36" t="s">
        <v>48</v>
      </c>
      <c r="D487" s="24">
        <v>1181600000</v>
      </c>
      <c r="E487" s="24">
        <f t="shared" si="83"/>
        <v>1418000000</v>
      </c>
      <c r="F487" s="37" t="str">
        <f t="shared" si="84"/>
        <v>2120090200</v>
      </c>
      <c r="G487" s="33"/>
      <c r="H487" s="29"/>
      <c r="I487" s="81">
        <v>335</v>
      </c>
      <c r="J487"/>
      <c r="K487" s="125"/>
      <c r="L487"/>
      <c r="M487"/>
      <c r="N487"/>
    </row>
    <row r="488" spans="1:14" s="11" customFormat="1" ht="49.5" customHeight="1">
      <c r="A488" s="15">
        <f t="shared" si="82"/>
        <v>6</v>
      </c>
      <c r="B488" s="16" t="s">
        <v>49</v>
      </c>
      <c r="C488" s="36" t="s">
        <v>50</v>
      </c>
      <c r="D488" s="24">
        <v>983800000</v>
      </c>
      <c r="E488" s="24">
        <f t="shared" si="83"/>
        <v>1181000000</v>
      </c>
      <c r="F488" s="37" t="str">
        <f t="shared" si="84"/>
        <v>2120090100</v>
      </c>
      <c r="G488" s="33"/>
      <c r="H488" s="29"/>
      <c r="I488" s="81">
        <v>336</v>
      </c>
      <c r="J488"/>
      <c r="K488" s="125"/>
      <c r="L488"/>
      <c r="M488"/>
      <c r="N488"/>
    </row>
    <row r="489" spans="1:14" s="11" customFormat="1" ht="49.5" customHeight="1">
      <c r="A489" s="15">
        <f t="shared" si="82"/>
        <v>7</v>
      </c>
      <c r="B489" s="16" t="s">
        <v>51</v>
      </c>
      <c r="C489" s="36" t="s">
        <v>52</v>
      </c>
      <c r="D489" s="24">
        <v>427400000</v>
      </c>
      <c r="E489" s="24">
        <f t="shared" si="83"/>
        <v>513000000</v>
      </c>
      <c r="F489" s="37" t="str">
        <f t="shared" si="84"/>
        <v>2120090700</v>
      </c>
      <c r="G489" s="33"/>
      <c r="H489" s="29"/>
      <c r="I489" s="81">
        <v>337</v>
      </c>
      <c r="J489"/>
      <c r="K489" s="125"/>
      <c r="L489"/>
      <c r="M489"/>
      <c r="N489"/>
    </row>
    <row r="490" spans="1:14" s="11" customFormat="1" ht="49.5" customHeight="1">
      <c r="A490" s="15">
        <f t="shared" si="82"/>
        <v>8</v>
      </c>
      <c r="B490" s="16" t="s">
        <v>53</v>
      </c>
      <c r="C490" s="36" t="s">
        <v>54</v>
      </c>
      <c r="D490" s="24">
        <v>415200000</v>
      </c>
      <c r="E490" s="24">
        <f t="shared" si="83"/>
        <v>498000000</v>
      </c>
      <c r="F490" s="37" t="str">
        <f t="shared" si="84"/>
        <v>2120090600</v>
      </c>
      <c r="G490" s="33"/>
      <c r="H490" s="29"/>
      <c r="I490" s="81">
        <v>338</v>
      </c>
      <c r="J490"/>
      <c r="K490" s="125"/>
      <c r="L490"/>
      <c r="M490"/>
      <c r="N490"/>
    </row>
    <row r="491" spans="1:14" s="11" customFormat="1" ht="49.5" customHeight="1">
      <c r="A491" s="15">
        <f t="shared" si="82"/>
        <v>9</v>
      </c>
      <c r="B491" s="16" t="s">
        <v>261</v>
      </c>
      <c r="C491" s="36" t="s">
        <v>365</v>
      </c>
      <c r="D491" s="24" t="s">
        <v>366</v>
      </c>
      <c r="E491" s="24" t="s">
        <v>366</v>
      </c>
      <c r="F491" s="38"/>
      <c r="G491" s="33"/>
      <c r="H491" s="29"/>
      <c r="I491" s="81">
        <v>339</v>
      </c>
      <c r="J491"/>
      <c r="K491" s="125"/>
      <c r="L491"/>
      <c r="M491"/>
      <c r="N491"/>
    </row>
    <row r="492" spans="1:14" s="11" customFormat="1" ht="49.5" customHeight="1">
      <c r="A492" s="253" t="s">
        <v>1576</v>
      </c>
      <c r="B492" s="253"/>
      <c r="C492" s="253"/>
      <c r="D492" s="253"/>
      <c r="E492" s="24"/>
      <c r="F492" s="38"/>
      <c r="G492" s="33"/>
      <c r="H492" s="29"/>
      <c r="I492" s="81"/>
      <c r="J492"/>
      <c r="K492" s="125"/>
      <c r="L492"/>
      <c r="M492"/>
      <c r="N492"/>
    </row>
    <row r="493" spans="1:14" s="11" customFormat="1" ht="49.5" customHeight="1">
      <c r="A493" s="13" t="s">
        <v>0</v>
      </c>
      <c r="B493" s="14" t="s">
        <v>1</v>
      </c>
      <c r="C493" s="34" t="s">
        <v>2</v>
      </c>
      <c r="D493" s="23" t="s">
        <v>746</v>
      </c>
      <c r="E493" s="23" t="s">
        <v>464</v>
      </c>
      <c r="F493" s="38"/>
      <c r="G493" s="112" t="s">
        <v>696</v>
      </c>
      <c r="H493" s="114">
        <v>0.2</v>
      </c>
      <c r="I493" s="81"/>
      <c r="J493"/>
      <c r="K493" s="125"/>
      <c r="L493"/>
      <c r="M493"/>
      <c r="N493"/>
    </row>
    <row r="494" spans="1:14" s="11" customFormat="1" ht="49.5" customHeight="1">
      <c r="A494" s="15">
        <v>1</v>
      </c>
      <c r="B494" s="16">
        <v>2120100100</v>
      </c>
      <c r="C494" s="36" t="s">
        <v>1578</v>
      </c>
      <c r="D494" s="24">
        <v>946300000</v>
      </c>
      <c r="E494" s="24">
        <f>ROUND(((100%+$H$493)*D494)*(100%+$H$494),-6)</f>
        <v>1136000000</v>
      </c>
      <c r="F494" s="38"/>
      <c r="G494" s="112" t="s">
        <v>697</v>
      </c>
      <c r="H494" s="114">
        <v>0</v>
      </c>
      <c r="I494" s="81"/>
      <c r="J494"/>
      <c r="K494" s="125"/>
      <c r="L494"/>
      <c r="M494"/>
      <c r="N494"/>
    </row>
    <row r="495" spans="1:14" s="11" customFormat="1" ht="49.5" customHeight="1">
      <c r="A495" s="253" t="s">
        <v>1577</v>
      </c>
      <c r="B495" s="253"/>
      <c r="C495" s="253"/>
      <c r="D495" s="253"/>
      <c r="E495" s="24"/>
      <c r="F495" s="38"/>
      <c r="G495" s="33"/>
      <c r="H495" s="29"/>
      <c r="I495" s="81"/>
      <c r="J495"/>
      <c r="K495" s="125"/>
      <c r="L495"/>
      <c r="M495"/>
      <c r="N495"/>
    </row>
    <row r="496" spans="1:14" s="11" customFormat="1" ht="49.5" customHeight="1">
      <c r="A496" s="13" t="s">
        <v>0</v>
      </c>
      <c r="B496" s="14" t="s">
        <v>1</v>
      </c>
      <c r="C496" s="34" t="s">
        <v>2</v>
      </c>
      <c r="D496" s="23" t="s">
        <v>746</v>
      </c>
      <c r="E496" s="23" t="s">
        <v>464</v>
      </c>
      <c r="F496" s="38"/>
      <c r="G496" s="33"/>
      <c r="H496" s="29"/>
      <c r="I496" s="81"/>
      <c r="J496"/>
      <c r="K496" s="125"/>
      <c r="L496"/>
      <c r="M496"/>
      <c r="N496"/>
    </row>
    <row r="497" spans="1:14" s="11" customFormat="1" ht="49.5" customHeight="1">
      <c r="A497" s="15">
        <v>1</v>
      </c>
      <c r="B497" s="16">
        <v>2120100100</v>
      </c>
      <c r="C497" s="36" t="s">
        <v>1578</v>
      </c>
      <c r="D497" s="24">
        <v>946300000</v>
      </c>
      <c r="E497" s="24">
        <f>ROUND(((100%+$H$493)*D497)*(100%+$H$494),-6)</f>
        <v>1136000000</v>
      </c>
      <c r="F497" s="38"/>
      <c r="G497" s="33"/>
      <c r="H497" s="29"/>
      <c r="I497" s="81"/>
      <c r="J497"/>
      <c r="K497" s="125"/>
      <c r="L497"/>
      <c r="M497"/>
      <c r="N497"/>
    </row>
    <row r="498" spans="1:14" s="11" customFormat="1" ht="49.5" customHeight="1">
      <c r="A498" s="253" t="s">
        <v>119</v>
      </c>
      <c r="B498" s="253"/>
      <c r="C498" s="253"/>
      <c r="D498" s="253"/>
      <c r="E498" s="31"/>
      <c r="F498" s="32"/>
      <c r="G498" s="33"/>
      <c r="H498" s="29"/>
      <c r="I498"/>
      <c r="J498"/>
      <c r="K498" s="125"/>
      <c r="L498"/>
      <c r="M498"/>
      <c r="N498"/>
    </row>
    <row r="499" spans="1:14" s="11" customFormat="1" ht="49.5" customHeight="1">
      <c r="A499" s="13" t="s">
        <v>0</v>
      </c>
      <c r="B499" s="14" t="s">
        <v>1</v>
      </c>
      <c r="C499" s="34" t="s">
        <v>2</v>
      </c>
      <c r="D499" s="23" t="s">
        <v>3</v>
      </c>
      <c r="E499" s="23" t="s">
        <v>464</v>
      </c>
      <c r="F499" s="35" t="s">
        <v>716</v>
      </c>
      <c r="G499" s="112" t="s">
        <v>696</v>
      </c>
      <c r="H499" s="114">
        <v>0.2</v>
      </c>
      <c r="I499"/>
      <c r="J499"/>
      <c r="K499" s="125"/>
      <c r="L499"/>
      <c r="M499"/>
      <c r="N499"/>
    </row>
    <row r="500" spans="1:14" s="11" customFormat="1" ht="49.5" customHeight="1">
      <c r="A500" s="20">
        <v>1</v>
      </c>
      <c r="B500" s="15" t="s">
        <v>59</v>
      </c>
      <c r="C500" s="44" t="s">
        <v>60</v>
      </c>
      <c r="D500" s="24">
        <v>1417200000</v>
      </c>
      <c r="E500" s="24">
        <f>ROUND(((100%+$H$499)*D500)*(100%+$H$500),-6)</f>
        <v>1701000000</v>
      </c>
      <c r="F500" s="111" t="str">
        <f>LEFT(B500,8)&amp;"00"</f>
        <v>2130022500</v>
      </c>
      <c r="G500" s="112" t="s">
        <v>697</v>
      </c>
      <c r="H500" s="114">
        <v>0</v>
      </c>
      <c r="I500" s="81">
        <v>340</v>
      </c>
      <c r="J500"/>
      <c r="K500" s="125"/>
      <c r="L500"/>
      <c r="M500"/>
      <c r="N500"/>
    </row>
    <row r="501" spans="1:14" s="11" customFormat="1" ht="49.5" customHeight="1">
      <c r="A501" s="15">
        <f>A500+1</f>
        <v>2</v>
      </c>
      <c r="B501" s="15" t="s">
        <v>61</v>
      </c>
      <c r="C501" s="44" t="s">
        <v>62</v>
      </c>
      <c r="D501" s="24">
        <v>1130500000</v>
      </c>
      <c r="E501" s="24">
        <f t="shared" ref="E501:E506" si="85">ROUND(((100%+$H$499)*D501)*(100%+$H$500),-6)</f>
        <v>1357000000</v>
      </c>
      <c r="F501" s="37" t="str">
        <f t="shared" ref="F501:F506" si="86">LEFT(B501,8)&amp;"00"</f>
        <v>2130022300</v>
      </c>
      <c r="G501" s="33"/>
      <c r="H501" s="29"/>
      <c r="I501" s="81">
        <v>341</v>
      </c>
      <c r="J501"/>
      <c r="K501" s="125"/>
      <c r="L501"/>
      <c r="M501"/>
      <c r="N501"/>
    </row>
    <row r="502" spans="1:14" s="11" customFormat="1" ht="49.5" customHeight="1">
      <c r="A502" s="15">
        <f t="shared" ref="A502:A509" si="87">A501+1</f>
        <v>3</v>
      </c>
      <c r="B502" s="15" t="s">
        <v>63</v>
      </c>
      <c r="C502" s="44" t="s">
        <v>64</v>
      </c>
      <c r="D502" s="24">
        <v>978200000</v>
      </c>
      <c r="E502" s="24">
        <f t="shared" si="85"/>
        <v>1174000000</v>
      </c>
      <c r="F502" s="37" t="str">
        <f t="shared" si="86"/>
        <v>2130022200</v>
      </c>
      <c r="G502" s="33"/>
      <c r="H502" s="29"/>
      <c r="I502" s="81">
        <v>342</v>
      </c>
      <c r="J502"/>
      <c r="K502" s="125"/>
      <c r="L502"/>
      <c r="M502"/>
      <c r="N502"/>
    </row>
    <row r="503" spans="1:14" s="11" customFormat="1" ht="49.5" customHeight="1">
      <c r="A503" s="15">
        <f t="shared" si="87"/>
        <v>4</v>
      </c>
      <c r="B503" s="15" t="s">
        <v>65</v>
      </c>
      <c r="C503" s="44" t="s">
        <v>66</v>
      </c>
      <c r="D503" s="24">
        <v>864700000</v>
      </c>
      <c r="E503" s="24">
        <f t="shared" si="85"/>
        <v>1038000000</v>
      </c>
      <c r="F503" s="37" t="str">
        <f t="shared" si="86"/>
        <v>2130022100</v>
      </c>
      <c r="G503" s="33"/>
      <c r="H503" s="29"/>
      <c r="I503" s="81">
        <v>343</v>
      </c>
      <c r="J503"/>
      <c r="K503" s="125"/>
      <c r="L503"/>
      <c r="M503"/>
      <c r="N503"/>
    </row>
    <row r="504" spans="1:14" s="11" customFormat="1" ht="49.5" customHeight="1">
      <c r="A504" s="15">
        <f t="shared" si="87"/>
        <v>5</v>
      </c>
      <c r="B504" s="15" t="s">
        <v>67</v>
      </c>
      <c r="C504" s="44" t="s">
        <v>68</v>
      </c>
      <c r="D504" s="24">
        <v>819800000</v>
      </c>
      <c r="E504" s="24">
        <f t="shared" si="85"/>
        <v>984000000</v>
      </c>
      <c r="F504" s="37" t="str">
        <f t="shared" si="86"/>
        <v>2130020300</v>
      </c>
      <c r="G504" s="33"/>
      <c r="H504" s="29"/>
      <c r="I504" s="81">
        <v>344</v>
      </c>
      <c r="J504"/>
      <c r="K504" s="125"/>
      <c r="L504"/>
      <c r="M504"/>
      <c r="N504"/>
    </row>
    <row r="505" spans="1:14" s="11" customFormat="1" ht="49.5" customHeight="1">
      <c r="A505" s="15">
        <f t="shared" si="87"/>
        <v>6</v>
      </c>
      <c r="B505" s="15" t="s">
        <v>69</v>
      </c>
      <c r="C505" s="44" t="s">
        <v>70</v>
      </c>
      <c r="D505" s="24">
        <v>953900000</v>
      </c>
      <c r="E505" s="24">
        <f t="shared" si="85"/>
        <v>1145000000</v>
      </c>
      <c r="F505" s="37" t="str">
        <f t="shared" si="86"/>
        <v>2130020500</v>
      </c>
      <c r="G505" s="33"/>
      <c r="H505" s="29"/>
      <c r="I505" s="81">
        <v>345</v>
      </c>
      <c r="J505"/>
      <c r="K505" s="125"/>
      <c r="L505"/>
      <c r="M505"/>
      <c r="N505"/>
    </row>
    <row r="506" spans="1:14" s="11" customFormat="1" ht="49.5" customHeight="1">
      <c r="A506" s="15">
        <f t="shared" si="87"/>
        <v>7</v>
      </c>
      <c r="B506" s="15">
        <v>2130020900</v>
      </c>
      <c r="C506" s="44" t="s">
        <v>370</v>
      </c>
      <c r="D506" s="24">
        <v>220300000</v>
      </c>
      <c r="E506" s="24">
        <f t="shared" si="85"/>
        <v>264000000</v>
      </c>
      <c r="F506" s="37" t="str">
        <f t="shared" si="86"/>
        <v>2130020900</v>
      </c>
      <c r="G506" s="33"/>
      <c r="H506" s="29"/>
      <c r="I506" s="81">
        <v>346</v>
      </c>
      <c r="J506"/>
      <c r="K506" s="125"/>
      <c r="L506"/>
      <c r="M506"/>
      <c r="N506"/>
    </row>
    <row r="507" spans="1:14" s="11" customFormat="1" ht="49.5" customHeight="1">
      <c r="A507" s="15">
        <f t="shared" si="87"/>
        <v>8</v>
      </c>
      <c r="B507" s="15" t="s">
        <v>261</v>
      </c>
      <c r="C507" s="44" t="s">
        <v>367</v>
      </c>
      <c r="D507" s="24" t="s">
        <v>368</v>
      </c>
      <c r="E507" s="24"/>
      <c r="F507" s="38"/>
      <c r="G507" s="33"/>
      <c r="H507" s="29"/>
      <c r="I507" s="81">
        <v>347</v>
      </c>
      <c r="J507"/>
      <c r="K507" s="125"/>
      <c r="L507"/>
      <c r="M507"/>
      <c r="N507"/>
    </row>
    <row r="508" spans="1:14" s="11" customFormat="1" ht="49.5" customHeight="1">
      <c r="A508" s="15">
        <f t="shared" si="87"/>
        <v>9</v>
      </c>
      <c r="B508" s="15" t="s">
        <v>261</v>
      </c>
      <c r="C508" s="44" t="s">
        <v>369</v>
      </c>
      <c r="D508" s="24" t="s">
        <v>260</v>
      </c>
      <c r="E508" s="24"/>
      <c r="F508" s="38"/>
      <c r="G508" s="33"/>
      <c r="H508" s="29"/>
      <c r="I508" s="81">
        <v>348</v>
      </c>
      <c r="J508"/>
      <c r="K508" s="125"/>
      <c r="L508"/>
      <c r="M508"/>
      <c r="N508"/>
    </row>
    <row r="509" spans="1:14" s="11" customFormat="1" ht="49.5" customHeight="1">
      <c r="A509" s="15">
        <f t="shared" si="87"/>
        <v>10</v>
      </c>
      <c r="B509" s="15" t="s">
        <v>261</v>
      </c>
      <c r="C509" s="44" t="s">
        <v>371</v>
      </c>
      <c r="D509" s="24" t="s">
        <v>372</v>
      </c>
      <c r="E509" s="24"/>
      <c r="F509" s="38"/>
      <c r="G509" s="33"/>
      <c r="H509" s="30"/>
      <c r="I509" s="81">
        <v>349</v>
      </c>
      <c r="J509"/>
      <c r="K509" s="125"/>
      <c r="L509"/>
      <c r="M509"/>
      <c r="N509"/>
    </row>
    <row r="510" spans="1:14" s="11" customFormat="1" ht="49.5" customHeight="1">
      <c r="A510" s="253" t="s">
        <v>373</v>
      </c>
      <c r="B510" s="253"/>
      <c r="C510" s="253"/>
      <c r="D510" s="253"/>
      <c r="E510" s="31"/>
      <c r="F510" s="32"/>
      <c r="G510" s="112" t="s">
        <v>696</v>
      </c>
      <c r="H510" s="114">
        <v>0.2</v>
      </c>
      <c r="I510"/>
      <c r="J510"/>
      <c r="K510" s="125"/>
      <c r="L510"/>
      <c r="M510"/>
      <c r="N510"/>
    </row>
    <row r="511" spans="1:14" s="11" customFormat="1" ht="49.5" customHeight="1">
      <c r="A511" s="13" t="s">
        <v>0</v>
      </c>
      <c r="B511" s="14" t="s">
        <v>1</v>
      </c>
      <c r="C511" s="34" t="s">
        <v>2</v>
      </c>
      <c r="D511" s="23" t="s">
        <v>3</v>
      </c>
      <c r="E511" s="23" t="s">
        <v>464</v>
      </c>
      <c r="F511" s="35" t="s">
        <v>716</v>
      </c>
      <c r="G511" s="112" t="s">
        <v>697</v>
      </c>
      <c r="H511" s="114">
        <v>0</v>
      </c>
      <c r="I511"/>
      <c r="J511"/>
      <c r="K511" s="125"/>
      <c r="L511"/>
      <c r="M511"/>
      <c r="N511"/>
    </row>
    <row r="512" spans="1:14" s="11" customFormat="1" ht="49.5" customHeight="1">
      <c r="A512" s="20">
        <v>1</v>
      </c>
      <c r="B512" s="15">
        <v>2130032500</v>
      </c>
      <c r="C512" s="175" t="s">
        <v>1579</v>
      </c>
      <c r="D512" s="26">
        <v>1379300000</v>
      </c>
      <c r="E512" s="26">
        <f>ROUND(((100%+$H$510)*D512)*(100%+$H$511),-6)</f>
        <v>1655000000</v>
      </c>
      <c r="F512" s="35"/>
      <c r="G512" s="115"/>
      <c r="H512" s="165"/>
      <c r="I512"/>
      <c r="J512"/>
      <c r="K512" s="125"/>
      <c r="L512"/>
      <c r="M512"/>
      <c r="N512"/>
    </row>
    <row r="513" spans="1:14" s="11" customFormat="1" ht="49.5" customHeight="1">
      <c r="A513" s="20">
        <v>2</v>
      </c>
      <c r="B513" s="15" t="s">
        <v>71</v>
      </c>
      <c r="C513" s="175" t="s">
        <v>72</v>
      </c>
      <c r="D513" s="26">
        <v>1041400000</v>
      </c>
      <c r="E513" s="26">
        <f>ROUND(((100%+$H$510)*D513)*(100%+$H$511),-6)</f>
        <v>1250000000</v>
      </c>
      <c r="F513" s="37" t="str">
        <f>LEFT(B513,8)&amp;"00"</f>
        <v>2130032300</v>
      </c>
      <c r="G513" s="33"/>
      <c r="H513" s="29"/>
      <c r="I513" s="81">
        <v>350</v>
      </c>
      <c r="J513"/>
      <c r="K513" s="125"/>
      <c r="L513"/>
      <c r="M513"/>
      <c r="N513"/>
    </row>
    <row r="514" spans="1:14" s="11" customFormat="1" ht="49.5" customHeight="1">
      <c r="A514" s="20">
        <v>3</v>
      </c>
      <c r="B514" s="15">
        <v>2130030500</v>
      </c>
      <c r="C514" s="44" t="s">
        <v>1580</v>
      </c>
      <c r="D514" s="24">
        <v>958800000</v>
      </c>
      <c r="E514" s="24">
        <f t="shared" ref="E514:E515" si="88">ROUND(((100%+$H$510)*D514)*(100%+$H$511),-6)</f>
        <v>1151000000</v>
      </c>
      <c r="F514" s="43"/>
      <c r="G514" s="33"/>
      <c r="H514" s="29"/>
      <c r="I514" s="81"/>
      <c r="J514"/>
      <c r="K514" s="125"/>
      <c r="L514"/>
      <c r="M514"/>
      <c r="N514"/>
    </row>
    <row r="515" spans="1:14" s="11" customFormat="1" ht="49.5" customHeight="1">
      <c r="A515" s="20">
        <v>4</v>
      </c>
      <c r="B515" s="15" t="s">
        <v>261</v>
      </c>
      <c r="C515" s="44" t="s">
        <v>1581</v>
      </c>
      <c r="D515" s="24">
        <v>105600000</v>
      </c>
      <c r="E515" s="24">
        <f t="shared" si="88"/>
        <v>127000000</v>
      </c>
      <c r="F515" s="43"/>
      <c r="G515" s="33"/>
      <c r="H515" s="29"/>
      <c r="I515" s="81"/>
      <c r="J515"/>
      <c r="K515" s="125"/>
      <c r="L515"/>
      <c r="M515"/>
      <c r="N515"/>
    </row>
    <row r="516" spans="1:14" s="11" customFormat="1" ht="49.5" customHeight="1">
      <c r="A516" s="20">
        <v>5</v>
      </c>
      <c r="B516" s="15" t="s">
        <v>261</v>
      </c>
      <c r="C516" s="44" t="s">
        <v>1582</v>
      </c>
      <c r="D516" s="24" t="s">
        <v>459</v>
      </c>
      <c r="E516" s="24"/>
      <c r="F516" s="43"/>
      <c r="G516" s="33"/>
      <c r="H516" s="29"/>
      <c r="I516" s="81"/>
      <c r="J516"/>
      <c r="K516" s="125"/>
      <c r="L516"/>
      <c r="M516"/>
      <c r="N516"/>
    </row>
    <row r="517" spans="1:14" s="11" customFormat="1" ht="49.5" customHeight="1">
      <c r="A517" s="253" t="s">
        <v>375</v>
      </c>
      <c r="B517" s="253"/>
      <c r="C517" s="253"/>
      <c r="D517" s="253"/>
      <c r="E517" s="31"/>
      <c r="F517" s="32"/>
      <c r="G517" s="33"/>
      <c r="H517" s="29"/>
      <c r="I517"/>
      <c r="J517"/>
      <c r="K517" s="125"/>
      <c r="L517"/>
      <c r="M517"/>
      <c r="N517"/>
    </row>
    <row r="518" spans="1:14" s="11" customFormat="1" ht="49.5" customHeight="1">
      <c r="A518" s="13" t="s">
        <v>0</v>
      </c>
      <c r="B518" s="14" t="s">
        <v>1</v>
      </c>
      <c r="C518" s="34" t="s">
        <v>2</v>
      </c>
      <c r="D518" s="23" t="s">
        <v>3</v>
      </c>
      <c r="E518" s="23" t="s">
        <v>464</v>
      </c>
      <c r="F518" s="35" t="s">
        <v>716</v>
      </c>
      <c r="G518" s="33"/>
      <c r="H518" s="29"/>
      <c r="I518"/>
      <c r="J518"/>
      <c r="K518" s="125"/>
      <c r="L518"/>
      <c r="M518"/>
      <c r="N518"/>
    </row>
    <row r="519" spans="1:14" s="11" customFormat="1" ht="49.5" customHeight="1">
      <c r="A519" s="20">
        <v>1</v>
      </c>
      <c r="B519" s="15" t="s">
        <v>55</v>
      </c>
      <c r="C519" s="44" t="s">
        <v>56</v>
      </c>
      <c r="D519" s="24">
        <v>950900000</v>
      </c>
      <c r="E519" s="24">
        <f>ROUND(((100%+$H$519)*D519)*(100%+$H$520),-6)</f>
        <v>1141000000</v>
      </c>
      <c r="F519" s="37" t="str">
        <f>LEFT(B519,8)&amp;"02"</f>
        <v>2130042102</v>
      </c>
      <c r="G519" s="112" t="s">
        <v>696</v>
      </c>
      <c r="H519" s="114">
        <v>0.2</v>
      </c>
      <c r="I519" s="81">
        <v>351</v>
      </c>
      <c r="J519"/>
      <c r="K519" s="125"/>
      <c r="L519"/>
      <c r="M519"/>
      <c r="N519"/>
    </row>
    <row r="520" spans="1:14" s="11" customFormat="1" ht="49.5" customHeight="1">
      <c r="A520" s="20">
        <v>2</v>
      </c>
      <c r="B520" s="15" t="s">
        <v>57</v>
      </c>
      <c r="C520" s="44" t="s">
        <v>58</v>
      </c>
      <c r="D520" s="24">
        <v>916600000</v>
      </c>
      <c r="E520" s="24">
        <f>ROUND(((100%+$H$519)*D520)*(100%+$H$520),-6)</f>
        <v>1100000000</v>
      </c>
      <c r="F520" s="37" t="str">
        <f>LEFT(B520,8)&amp;"01"</f>
        <v>2130042101</v>
      </c>
      <c r="G520" s="112" t="s">
        <v>697</v>
      </c>
      <c r="H520" s="114">
        <v>0</v>
      </c>
      <c r="I520" s="81">
        <v>352</v>
      </c>
      <c r="J520"/>
      <c r="K520" s="125"/>
      <c r="L520"/>
      <c r="M520"/>
      <c r="N520"/>
    </row>
    <row r="521" spans="1:14" s="11" customFormat="1" ht="49.5" customHeight="1">
      <c r="A521" s="20"/>
      <c r="B521" s="15">
        <v>2130042200</v>
      </c>
      <c r="C521" s="44" t="s">
        <v>1583</v>
      </c>
      <c r="D521" s="24">
        <v>1223400000</v>
      </c>
      <c r="E521" s="24">
        <f>ROUND(((100%+$H$519)*D521)*(100%+$H$520),-6)</f>
        <v>1468000000</v>
      </c>
      <c r="F521" s="43"/>
      <c r="G521" s="115"/>
      <c r="H521" s="165"/>
      <c r="I521" s="81"/>
      <c r="J521"/>
      <c r="K521" s="125"/>
      <c r="L521"/>
      <c r="M521"/>
      <c r="N521"/>
    </row>
    <row r="522" spans="1:14" s="11" customFormat="1" ht="49.5" customHeight="1">
      <c r="A522" s="20"/>
      <c r="B522" s="15">
        <v>2130042202</v>
      </c>
      <c r="C522" s="44" t="s">
        <v>1584</v>
      </c>
      <c r="D522" s="24">
        <v>1145600000</v>
      </c>
      <c r="E522" s="24">
        <f>ROUND(((100%+$H$519)*D522)*(100%+$H$520),-6)</f>
        <v>1375000000</v>
      </c>
      <c r="F522" s="43"/>
      <c r="G522" s="115"/>
      <c r="H522" s="165"/>
      <c r="I522" s="81"/>
      <c r="J522"/>
      <c r="K522" s="125"/>
      <c r="L522"/>
      <c r="M522"/>
      <c r="N522"/>
    </row>
    <row r="523" spans="1:14" s="11" customFormat="1" ht="49.5" customHeight="1">
      <c r="A523" s="253" t="s">
        <v>374</v>
      </c>
      <c r="B523" s="253"/>
      <c r="C523" s="253"/>
      <c r="D523" s="253"/>
      <c r="E523" s="31"/>
      <c r="F523" s="32"/>
      <c r="G523" s="115"/>
      <c r="H523" s="115"/>
      <c r="I523"/>
      <c r="J523"/>
      <c r="K523" s="125"/>
      <c r="L523"/>
      <c r="M523"/>
      <c r="N523"/>
    </row>
    <row r="524" spans="1:14" s="11" customFormat="1" ht="49.5" customHeight="1">
      <c r="A524" s="13" t="s">
        <v>0</v>
      </c>
      <c r="B524" s="14" t="s">
        <v>1</v>
      </c>
      <c r="C524" s="34" t="s">
        <v>2</v>
      </c>
      <c r="D524" s="23" t="s">
        <v>3</v>
      </c>
      <c r="E524" s="23" t="s">
        <v>464</v>
      </c>
      <c r="F524" s="35" t="s">
        <v>716</v>
      </c>
      <c r="G524" s="115"/>
      <c r="H524" s="115"/>
      <c r="I524"/>
      <c r="J524"/>
      <c r="K524" s="125"/>
      <c r="L524"/>
      <c r="M524"/>
      <c r="N524"/>
    </row>
    <row r="525" spans="1:14" s="11" customFormat="1" ht="49.5" customHeight="1">
      <c r="A525"/>
      <c r="B525" s="15" t="s">
        <v>1585</v>
      </c>
      <c r="C525" s="44" t="s">
        <v>1587</v>
      </c>
      <c r="D525" s="24">
        <v>1092400000</v>
      </c>
      <c r="E525" s="24">
        <f>ROUND(((100%+$H$527)*D525)*(100%+$H$528),-6)</f>
        <v>1311000000</v>
      </c>
      <c r="F525"/>
      <c r="G525" s="115"/>
      <c r="H525" s="115"/>
      <c r="I525"/>
      <c r="J525"/>
      <c r="K525" s="125"/>
      <c r="L525"/>
      <c r="M525"/>
      <c r="N525"/>
    </row>
    <row r="526" spans="1:14" s="11" customFormat="1" ht="49.5" customHeight="1">
      <c r="A526"/>
      <c r="B526" s="15" t="s">
        <v>1586</v>
      </c>
      <c r="C526" s="44" t="s">
        <v>1588</v>
      </c>
      <c r="D526" s="24">
        <v>989500000</v>
      </c>
      <c r="E526" s="24">
        <f t="shared" ref="E526:E536" si="89">ROUND(((100%+$H$527)*D526)*(100%+$H$528),-6)</f>
        <v>1187000000</v>
      </c>
      <c r="F526"/>
      <c r="G526" s="115"/>
      <c r="H526" s="115"/>
      <c r="I526"/>
      <c r="J526"/>
      <c r="K526" s="125"/>
      <c r="L526"/>
      <c r="M526"/>
      <c r="N526"/>
    </row>
    <row r="527" spans="1:14" s="11" customFormat="1" ht="49.5" customHeight="1">
      <c r="A527" s="20">
        <v>1</v>
      </c>
      <c r="B527" s="15" t="s">
        <v>73</v>
      </c>
      <c r="C527" s="44" t="s">
        <v>74</v>
      </c>
      <c r="D527" s="24">
        <v>882000000</v>
      </c>
      <c r="E527" s="24">
        <f t="shared" si="89"/>
        <v>1058000000</v>
      </c>
      <c r="F527" s="37" t="str">
        <f>LEFT(B527,8)&amp;"00"</f>
        <v>2130052300</v>
      </c>
      <c r="G527" s="112" t="s">
        <v>696</v>
      </c>
      <c r="H527" s="114">
        <v>0.2</v>
      </c>
      <c r="I527" s="81">
        <v>353</v>
      </c>
      <c r="J527"/>
      <c r="K527" s="125"/>
      <c r="L527"/>
      <c r="M527"/>
      <c r="N527"/>
    </row>
    <row r="528" spans="1:14" s="11" customFormat="1" ht="49.5" customHeight="1">
      <c r="A528" s="20">
        <f>A527+1</f>
        <v>2</v>
      </c>
      <c r="B528" s="15" t="s">
        <v>75</v>
      </c>
      <c r="C528" s="44" t="s">
        <v>76</v>
      </c>
      <c r="D528" s="24">
        <v>808800000</v>
      </c>
      <c r="E528" s="24">
        <f t="shared" si="89"/>
        <v>971000000</v>
      </c>
      <c r="F528" s="37" t="str">
        <f t="shared" ref="F528:F530" si="90">LEFT(B528,8)&amp;"00"</f>
        <v>2130052200</v>
      </c>
      <c r="G528" s="112" t="s">
        <v>697</v>
      </c>
      <c r="H528" s="114">
        <v>0</v>
      </c>
      <c r="I528" s="81">
        <v>354</v>
      </c>
      <c r="J528"/>
      <c r="K528" s="125"/>
      <c r="L528"/>
      <c r="M528"/>
      <c r="N528"/>
    </row>
    <row r="529" spans="1:14" s="11" customFormat="1" ht="49.5" customHeight="1">
      <c r="A529" s="20"/>
      <c r="B529" s="15" t="s">
        <v>1083</v>
      </c>
      <c r="C529" s="44" t="s">
        <v>1084</v>
      </c>
      <c r="D529" s="24">
        <v>574300000</v>
      </c>
      <c r="E529" s="24">
        <f t="shared" si="89"/>
        <v>689000000</v>
      </c>
      <c r="F529" s="37" t="str">
        <f t="shared" si="90"/>
        <v>2130052100</v>
      </c>
      <c r="G529" s="115"/>
      <c r="H529" s="116"/>
      <c r="I529" s="81">
        <v>355</v>
      </c>
      <c r="J529"/>
      <c r="K529" s="125"/>
      <c r="L529"/>
      <c r="M529"/>
      <c r="N529"/>
    </row>
    <row r="530" spans="1:14" s="11" customFormat="1" ht="49.5" customHeight="1">
      <c r="A530" s="20">
        <v>3</v>
      </c>
      <c r="B530" s="15" t="s">
        <v>77</v>
      </c>
      <c r="C530" s="44" t="s">
        <v>78</v>
      </c>
      <c r="D530" s="24">
        <v>805900000</v>
      </c>
      <c r="E530" s="24">
        <f t="shared" si="89"/>
        <v>967000000</v>
      </c>
      <c r="F530" s="37" t="str">
        <f t="shared" si="90"/>
        <v>2130050500</v>
      </c>
      <c r="G530" s="115"/>
      <c r="H530" s="115"/>
      <c r="I530" s="81">
        <v>356</v>
      </c>
      <c r="J530"/>
      <c r="K530" s="125"/>
      <c r="L530"/>
      <c r="M530"/>
      <c r="N530"/>
    </row>
    <row r="531" spans="1:14" s="11" customFormat="1" ht="49.5" customHeight="1">
      <c r="A531" s="20"/>
      <c r="B531" s="15" t="s">
        <v>1081</v>
      </c>
      <c r="C531" s="44" t="s">
        <v>1082</v>
      </c>
      <c r="D531" s="24">
        <v>225200000</v>
      </c>
      <c r="E531" s="24">
        <f t="shared" si="89"/>
        <v>270000000</v>
      </c>
      <c r="F531" s="43"/>
      <c r="G531" s="115"/>
      <c r="H531" s="115"/>
      <c r="I531" s="81">
        <v>357</v>
      </c>
      <c r="J531"/>
      <c r="K531" s="125"/>
      <c r="L531"/>
      <c r="M531"/>
      <c r="N531"/>
    </row>
    <row r="532" spans="1:14" s="11" customFormat="1" ht="49.5" customHeight="1">
      <c r="A532" s="20"/>
      <c r="B532" s="15" t="s">
        <v>1589</v>
      </c>
      <c r="C532" s="44" t="s">
        <v>1590</v>
      </c>
      <c r="D532" s="24">
        <v>707600000</v>
      </c>
      <c r="E532" s="24">
        <f t="shared" si="89"/>
        <v>849000000</v>
      </c>
      <c r="F532" s="43"/>
      <c r="G532" s="115"/>
      <c r="H532" s="115"/>
      <c r="I532" s="81"/>
      <c r="J532"/>
      <c r="K532" s="125"/>
      <c r="L532"/>
      <c r="M532"/>
      <c r="N532"/>
    </row>
    <row r="533" spans="1:14" s="11" customFormat="1" ht="49.5" customHeight="1">
      <c r="A533" s="20"/>
      <c r="B533" s="15" t="s">
        <v>1591</v>
      </c>
      <c r="C533" s="44" t="s">
        <v>1592</v>
      </c>
      <c r="D533" s="24">
        <v>265000000</v>
      </c>
      <c r="E533" s="24">
        <f t="shared" si="89"/>
        <v>318000000</v>
      </c>
      <c r="F533" s="43"/>
      <c r="G533" s="115"/>
      <c r="H533" s="115"/>
      <c r="I533" s="81"/>
      <c r="J533"/>
      <c r="K533" s="125"/>
      <c r="L533"/>
      <c r="M533"/>
      <c r="N533"/>
    </row>
    <row r="534" spans="1:14" s="11" customFormat="1" ht="49.5" customHeight="1">
      <c r="A534" s="20"/>
      <c r="B534" s="15" t="s">
        <v>1593</v>
      </c>
      <c r="C534" s="44" t="s">
        <v>1594</v>
      </c>
      <c r="D534" s="24">
        <v>111600000</v>
      </c>
      <c r="E534" s="24">
        <f t="shared" si="89"/>
        <v>134000000</v>
      </c>
      <c r="F534" s="43"/>
      <c r="G534" s="115"/>
      <c r="H534" s="115"/>
      <c r="I534" s="81"/>
      <c r="J534"/>
      <c r="K534" s="125"/>
      <c r="L534"/>
      <c r="M534"/>
      <c r="N534"/>
    </row>
    <row r="535" spans="1:14" s="11" customFormat="1" ht="49.5" customHeight="1">
      <c r="A535" s="20"/>
      <c r="B535" s="15" t="s">
        <v>1595</v>
      </c>
      <c r="C535" s="44" t="s">
        <v>1596</v>
      </c>
      <c r="D535" s="24">
        <v>312600000</v>
      </c>
      <c r="E535" s="24">
        <f t="shared" si="89"/>
        <v>375000000</v>
      </c>
      <c r="F535" s="43"/>
      <c r="G535" s="115"/>
      <c r="H535" s="115"/>
      <c r="I535" s="81"/>
      <c r="J535"/>
      <c r="K535" s="125"/>
      <c r="L535"/>
      <c r="M535"/>
      <c r="N535"/>
    </row>
    <row r="536" spans="1:14" s="11" customFormat="1" ht="49.5" customHeight="1">
      <c r="A536" s="20"/>
      <c r="B536" s="15" t="s">
        <v>1597</v>
      </c>
      <c r="C536" s="44" t="s">
        <v>1598</v>
      </c>
      <c r="D536" s="24">
        <v>49700000</v>
      </c>
      <c r="E536" s="24">
        <f t="shared" si="89"/>
        <v>60000000</v>
      </c>
      <c r="F536" s="43"/>
      <c r="G536" s="115"/>
      <c r="H536" s="115"/>
      <c r="I536" s="81"/>
      <c r="J536"/>
      <c r="K536" s="125"/>
      <c r="L536"/>
      <c r="M536"/>
      <c r="N536"/>
    </row>
    <row r="537" spans="1:14" s="11" customFormat="1" ht="49.5" customHeight="1">
      <c r="A537" s="20"/>
      <c r="B537" s="15" t="s">
        <v>261</v>
      </c>
      <c r="C537" s="44" t="s">
        <v>382</v>
      </c>
      <c r="D537" s="24" t="s">
        <v>1599</v>
      </c>
      <c r="E537" s="24" t="s">
        <v>1599</v>
      </c>
      <c r="F537" s="43"/>
      <c r="G537" s="115"/>
      <c r="H537" s="115"/>
      <c r="I537" s="81"/>
      <c r="J537"/>
      <c r="K537" s="125"/>
      <c r="L537"/>
      <c r="M537"/>
      <c r="N537"/>
    </row>
    <row r="538" spans="1:14" s="11" customFormat="1" ht="49.5" customHeight="1">
      <c r="A538" s="20"/>
      <c r="B538" s="15" t="s">
        <v>261</v>
      </c>
      <c r="C538" s="44" t="s">
        <v>381</v>
      </c>
      <c r="D538" s="24" t="s">
        <v>458</v>
      </c>
      <c r="E538" s="24" t="s">
        <v>458</v>
      </c>
      <c r="F538" s="43"/>
      <c r="G538" s="115"/>
      <c r="H538" s="115"/>
      <c r="I538" s="81"/>
      <c r="J538"/>
      <c r="K538" s="125"/>
      <c r="L538"/>
      <c r="M538"/>
      <c r="N538"/>
    </row>
    <row r="539" spans="1:14" s="11" customFormat="1" ht="49.5" customHeight="1">
      <c r="A539" s="253" t="s">
        <v>376</v>
      </c>
      <c r="B539" s="253"/>
      <c r="C539" s="253"/>
      <c r="D539" s="253"/>
      <c r="E539" s="31"/>
      <c r="F539" s="32"/>
      <c r="G539" s="115"/>
      <c r="H539" s="115"/>
      <c r="I539"/>
      <c r="J539"/>
      <c r="K539" s="125"/>
      <c r="L539"/>
      <c r="M539"/>
      <c r="N539"/>
    </row>
    <row r="540" spans="1:14" s="11" customFormat="1" ht="49.5" customHeight="1">
      <c r="A540" s="13" t="s">
        <v>0</v>
      </c>
      <c r="B540" s="14" t="s">
        <v>1</v>
      </c>
      <c r="C540" s="34" t="s">
        <v>2</v>
      </c>
      <c r="D540" s="23" t="s">
        <v>3</v>
      </c>
      <c r="E540" s="23" t="s">
        <v>464</v>
      </c>
      <c r="F540" s="35" t="s">
        <v>716</v>
      </c>
      <c r="G540" s="115"/>
      <c r="H540" s="115"/>
      <c r="I540"/>
      <c r="J540"/>
      <c r="K540" s="125"/>
      <c r="L540"/>
      <c r="M540"/>
      <c r="N540"/>
    </row>
    <row r="541" spans="1:14" s="11" customFormat="1" ht="49.5" customHeight="1">
      <c r="A541" s="15">
        <v>1</v>
      </c>
      <c r="B541" s="16" t="s">
        <v>377</v>
      </c>
      <c r="C541" s="36" t="s">
        <v>378</v>
      </c>
      <c r="D541" s="24">
        <v>1319900000</v>
      </c>
      <c r="E541" s="24">
        <f>ROUND(((100%+$H$541)*D541)*(100%+$H$542),-6)</f>
        <v>1584000000</v>
      </c>
      <c r="F541" s="37" t="str">
        <f>LEFT(B541,8)&amp;"00"</f>
        <v>2130062500</v>
      </c>
      <c r="G541" s="112" t="s">
        <v>696</v>
      </c>
      <c r="H541" s="114">
        <v>0.2</v>
      </c>
      <c r="I541" s="81">
        <v>358</v>
      </c>
      <c r="J541"/>
      <c r="K541" s="125"/>
      <c r="L541"/>
      <c r="M541"/>
      <c r="N541"/>
    </row>
    <row r="542" spans="1:14" s="11" customFormat="1" ht="49.5" customHeight="1">
      <c r="A542" s="15">
        <f>A541+1</f>
        <v>2</v>
      </c>
      <c r="B542" s="16" t="s">
        <v>141</v>
      </c>
      <c r="C542" s="36" t="s">
        <v>142</v>
      </c>
      <c r="D542" s="24">
        <v>1175000000</v>
      </c>
      <c r="E542" s="24">
        <f t="shared" ref="E542:E548" si="91">ROUND(((100%+$H$541)*D542)*(100%+$H$542),-6)</f>
        <v>1410000000</v>
      </c>
      <c r="F542" s="37" t="str">
        <f t="shared" ref="F542:F548" si="92">LEFT(B542,8)&amp;"00"</f>
        <v>2130062400</v>
      </c>
      <c r="G542" s="112" t="s">
        <v>697</v>
      </c>
      <c r="H542" s="114">
        <v>0</v>
      </c>
      <c r="I542" s="81">
        <v>359</v>
      </c>
      <c r="J542"/>
      <c r="K542" s="125"/>
      <c r="L542"/>
      <c r="M542"/>
      <c r="N542"/>
    </row>
    <row r="543" spans="1:14" s="11" customFormat="1" ht="49.5" customHeight="1">
      <c r="A543" s="15">
        <f t="shared" ref="A543:A550" si="93">A542+1</f>
        <v>3</v>
      </c>
      <c r="B543" s="16" t="s">
        <v>143</v>
      </c>
      <c r="C543" s="36" t="s">
        <v>144</v>
      </c>
      <c r="D543" s="24">
        <v>777600000</v>
      </c>
      <c r="E543" s="24">
        <f t="shared" si="91"/>
        <v>933000000</v>
      </c>
      <c r="F543" s="37" t="str">
        <f t="shared" si="92"/>
        <v>2130060100</v>
      </c>
      <c r="G543" s="115"/>
      <c r="H543" s="115"/>
      <c r="I543" s="81">
        <v>360</v>
      </c>
      <c r="J543"/>
      <c r="K543" s="125"/>
      <c r="L543"/>
      <c r="M543"/>
      <c r="N543"/>
    </row>
    <row r="544" spans="1:14" s="11" customFormat="1" ht="49.5" customHeight="1">
      <c r="A544" s="15">
        <f t="shared" si="93"/>
        <v>4</v>
      </c>
      <c r="B544" s="16" t="s">
        <v>145</v>
      </c>
      <c r="C544" s="36" t="s">
        <v>146</v>
      </c>
      <c r="D544" s="24">
        <v>357000000</v>
      </c>
      <c r="E544" s="24">
        <f t="shared" si="91"/>
        <v>428000000</v>
      </c>
      <c r="F544" s="37" t="str">
        <f t="shared" si="92"/>
        <v>2130060600</v>
      </c>
      <c r="G544" s="115"/>
      <c r="H544" s="115"/>
      <c r="I544" s="81">
        <v>361</v>
      </c>
      <c r="J544"/>
      <c r="K544" s="125"/>
      <c r="L544"/>
      <c r="M544"/>
      <c r="N544"/>
    </row>
    <row r="545" spans="1:14" s="11" customFormat="1" ht="49.5" customHeight="1">
      <c r="A545" s="15">
        <f t="shared" si="93"/>
        <v>5</v>
      </c>
      <c r="B545" s="16" t="s">
        <v>147</v>
      </c>
      <c r="C545" s="36" t="s">
        <v>148</v>
      </c>
      <c r="D545" s="24">
        <v>124300000</v>
      </c>
      <c r="E545" s="24">
        <f t="shared" si="91"/>
        <v>149000000</v>
      </c>
      <c r="F545" s="37" t="str">
        <f t="shared" si="92"/>
        <v>2130060800</v>
      </c>
      <c r="G545" s="115"/>
      <c r="H545" s="115"/>
      <c r="I545" s="81">
        <v>362</v>
      </c>
      <c r="J545"/>
      <c r="K545" s="125"/>
      <c r="L545"/>
      <c r="M545"/>
      <c r="N545"/>
    </row>
    <row r="546" spans="1:14" s="11" customFormat="1" ht="49.5" customHeight="1">
      <c r="A546" s="15">
        <f t="shared" si="93"/>
        <v>6</v>
      </c>
      <c r="B546" s="16" t="s">
        <v>149</v>
      </c>
      <c r="C546" s="36" t="s">
        <v>150</v>
      </c>
      <c r="D546" s="24">
        <v>391200000</v>
      </c>
      <c r="E546" s="24">
        <f t="shared" si="91"/>
        <v>469000000</v>
      </c>
      <c r="F546" s="37" t="str">
        <f t="shared" si="92"/>
        <v>2130060400</v>
      </c>
      <c r="G546" s="115"/>
      <c r="H546" s="115"/>
      <c r="I546" s="81">
        <v>363</v>
      </c>
      <c r="J546"/>
      <c r="K546" s="125"/>
      <c r="L546"/>
      <c r="M546"/>
      <c r="N546"/>
    </row>
    <row r="547" spans="1:14" s="11" customFormat="1" ht="49.5" customHeight="1">
      <c r="A547" s="15">
        <f t="shared" si="93"/>
        <v>7</v>
      </c>
      <c r="B547" s="16" t="s">
        <v>151</v>
      </c>
      <c r="C547" s="36" t="s">
        <v>152</v>
      </c>
      <c r="D547" s="24">
        <v>947400000</v>
      </c>
      <c r="E547" s="24">
        <f t="shared" si="91"/>
        <v>1137000000</v>
      </c>
      <c r="F547" s="37" t="str">
        <f t="shared" si="92"/>
        <v>2130060500</v>
      </c>
      <c r="G547" s="115"/>
      <c r="H547" s="115"/>
      <c r="I547" s="81">
        <v>364</v>
      </c>
      <c r="J547"/>
      <c r="K547" s="125"/>
      <c r="L547"/>
      <c r="M547"/>
      <c r="N547"/>
    </row>
    <row r="548" spans="1:14" s="11" customFormat="1" ht="49.5" customHeight="1">
      <c r="A548" s="15">
        <f t="shared" si="93"/>
        <v>8</v>
      </c>
      <c r="B548" s="15" t="s">
        <v>379</v>
      </c>
      <c r="C548" s="44" t="s">
        <v>380</v>
      </c>
      <c r="D548" s="24">
        <v>161500000</v>
      </c>
      <c r="E548" s="24">
        <f t="shared" si="91"/>
        <v>194000000</v>
      </c>
      <c r="F548" s="37" t="str">
        <f t="shared" si="92"/>
        <v>2130060900</v>
      </c>
      <c r="G548" s="115"/>
      <c r="H548" s="115"/>
      <c r="I548" s="81">
        <v>365</v>
      </c>
      <c r="J548"/>
      <c r="K548" s="125"/>
      <c r="L548"/>
      <c r="M548"/>
      <c r="N548"/>
    </row>
    <row r="549" spans="1:14" s="11" customFormat="1" ht="49.5" customHeight="1">
      <c r="A549" s="15">
        <f t="shared" si="93"/>
        <v>9</v>
      </c>
      <c r="B549" s="15" t="s">
        <v>261</v>
      </c>
      <c r="C549" s="44" t="s">
        <v>381</v>
      </c>
      <c r="D549" s="24" t="s">
        <v>372</v>
      </c>
      <c r="E549" s="24"/>
      <c r="F549" s="38"/>
      <c r="G549" s="115"/>
      <c r="H549" s="115"/>
      <c r="I549" s="81">
        <v>366</v>
      </c>
      <c r="J549"/>
      <c r="K549" s="125"/>
      <c r="L549"/>
      <c r="M549"/>
      <c r="N549"/>
    </row>
    <row r="550" spans="1:14" s="11" customFormat="1" ht="49.5" customHeight="1">
      <c r="A550" s="15">
        <f t="shared" si="93"/>
        <v>10</v>
      </c>
      <c r="B550" s="15" t="s">
        <v>261</v>
      </c>
      <c r="C550" s="44" t="s">
        <v>382</v>
      </c>
      <c r="D550" s="24" t="s">
        <v>383</v>
      </c>
      <c r="E550" s="24"/>
      <c r="F550" s="38"/>
      <c r="G550" s="115"/>
      <c r="H550" s="115"/>
      <c r="I550" s="81">
        <v>367</v>
      </c>
      <c r="J550"/>
      <c r="K550" s="125"/>
      <c r="L550"/>
      <c r="M550"/>
      <c r="N550"/>
    </row>
    <row r="551" spans="1:14" s="11" customFormat="1" ht="49.5" customHeight="1">
      <c r="A551" s="253" t="s">
        <v>384</v>
      </c>
      <c r="B551" s="253"/>
      <c r="C551" s="253"/>
      <c r="D551" s="253"/>
      <c r="E551" s="31"/>
      <c r="F551" s="32"/>
      <c r="G551" s="115"/>
      <c r="H551" s="115"/>
      <c r="I551"/>
      <c r="J551"/>
      <c r="K551" s="125"/>
      <c r="L551"/>
      <c r="M551"/>
      <c r="N551"/>
    </row>
    <row r="552" spans="1:14" s="11" customFormat="1" ht="49.5" customHeight="1">
      <c r="A552" s="13" t="s">
        <v>0</v>
      </c>
      <c r="B552" s="14" t="s">
        <v>1</v>
      </c>
      <c r="C552" s="34" t="s">
        <v>2</v>
      </c>
      <c r="D552" s="23" t="s">
        <v>3</v>
      </c>
      <c r="E552" s="23" t="s">
        <v>464</v>
      </c>
      <c r="F552" s="35" t="s">
        <v>716</v>
      </c>
      <c r="G552" s="115"/>
      <c r="H552" s="115"/>
      <c r="I552"/>
      <c r="J552"/>
      <c r="K552" s="125"/>
      <c r="L552"/>
      <c r="M552"/>
      <c r="N552"/>
    </row>
    <row r="553" spans="1:14" s="11" customFormat="1" ht="49.5" customHeight="1">
      <c r="A553" s="15"/>
      <c r="B553" s="16">
        <v>2130070000</v>
      </c>
      <c r="C553" s="36" t="s">
        <v>765</v>
      </c>
      <c r="D553" s="24">
        <v>6747300000</v>
      </c>
      <c r="E553" s="24">
        <f>$E$557+$E$560+$E$561+$E$562+$E$563+$E$563+$E$559+$E$568</f>
        <v>8098000000</v>
      </c>
      <c r="F553" s="37"/>
      <c r="G553" s="115"/>
      <c r="H553" s="115"/>
      <c r="I553" s="81">
        <v>368</v>
      </c>
      <c r="J553"/>
      <c r="K553" s="125"/>
      <c r="L553"/>
      <c r="M553"/>
      <c r="N553"/>
    </row>
    <row r="554" spans="1:14" s="11" customFormat="1" ht="49.5" customHeight="1">
      <c r="A554" s="15"/>
      <c r="B554" s="16">
        <v>2130070000</v>
      </c>
      <c r="C554" s="36" t="s">
        <v>766</v>
      </c>
      <c r="D554" s="24">
        <v>6087300000</v>
      </c>
      <c r="E554" s="24">
        <f>$E$557+$E$560+$E$561+$E$562+$E$563+$E$563</f>
        <v>7306000000</v>
      </c>
      <c r="F554" s="37"/>
      <c r="G554" s="115"/>
      <c r="H554" s="115"/>
      <c r="I554" s="81">
        <v>369</v>
      </c>
      <c r="J554"/>
      <c r="K554" s="125"/>
      <c r="L554"/>
      <c r="M554"/>
      <c r="N554"/>
    </row>
    <row r="555" spans="1:14" s="11" customFormat="1" ht="49.5" customHeight="1">
      <c r="A555" s="15"/>
      <c r="B555" s="16">
        <v>2130070000</v>
      </c>
      <c r="C555" s="36" t="s">
        <v>763</v>
      </c>
      <c r="D555" s="24">
        <v>6524000000</v>
      </c>
      <c r="E555" s="24">
        <f>$E$558+$E$560+$E$561+$E$562+$E$563+$E$563+$E$566+$E$568</f>
        <v>7830000000</v>
      </c>
      <c r="F555" s="37"/>
      <c r="G555" s="115"/>
      <c r="H555" s="115"/>
      <c r="I555" s="81">
        <v>370</v>
      </c>
      <c r="J555"/>
      <c r="K555" s="125"/>
      <c r="L555"/>
      <c r="M555"/>
      <c r="N555"/>
    </row>
    <row r="556" spans="1:14" s="11" customFormat="1" ht="49.5" customHeight="1">
      <c r="A556" s="15"/>
      <c r="B556" s="16">
        <v>2130070000</v>
      </c>
      <c r="C556" s="36" t="s">
        <v>764</v>
      </c>
      <c r="D556" s="24">
        <v>5864000000</v>
      </c>
      <c r="E556" s="24">
        <f>$E$558+$E$560+$E$561+$E$562+$E$563+$E$563</f>
        <v>7038000000</v>
      </c>
      <c r="F556" s="37"/>
      <c r="G556" s="115"/>
      <c r="H556" s="115"/>
      <c r="I556" s="81">
        <v>371</v>
      </c>
      <c r="J556"/>
      <c r="K556" s="125"/>
      <c r="L556"/>
      <c r="M556"/>
      <c r="N556"/>
    </row>
    <row r="557" spans="1:14" s="11" customFormat="1" ht="49.5" customHeight="1">
      <c r="A557" s="15">
        <v>1</v>
      </c>
      <c r="B557" s="16" t="s">
        <v>79</v>
      </c>
      <c r="C557" s="36" t="s">
        <v>80</v>
      </c>
      <c r="D557" s="24">
        <v>2531400000</v>
      </c>
      <c r="E557" s="24">
        <f>ROUND(((100%+$H$557)*D557)*(100%+$H$558),-6)</f>
        <v>3038000000</v>
      </c>
      <c r="F557" s="37" t="str">
        <f>LEFT(B557,8)&amp;"00"</f>
        <v>2130072500</v>
      </c>
      <c r="G557" s="112" t="s">
        <v>696</v>
      </c>
      <c r="H557" s="114">
        <v>0.2</v>
      </c>
      <c r="I557" s="81">
        <v>372</v>
      </c>
      <c r="J557"/>
      <c r="K557" s="125"/>
      <c r="L557"/>
      <c r="M557"/>
      <c r="N557"/>
    </row>
    <row r="558" spans="1:14" s="11" customFormat="1" ht="49.5" customHeight="1">
      <c r="A558" s="15"/>
      <c r="B558" s="16">
        <v>2130072400</v>
      </c>
      <c r="C558" s="36" t="s">
        <v>748</v>
      </c>
      <c r="D558" s="24">
        <v>2308100000</v>
      </c>
      <c r="E558" s="24">
        <f t="shared" ref="E558:E568" si="94">ROUND(((100%+$H$557)*D558)*(100%+$H$558),-6)</f>
        <v>2770000000</v>
      </c>
      <c r="F558" s="37" t="str">
        <f t="shared" ref="F558:F567" si="95">LEFT(B558,8)&amp;"00"</f>
        <v>2130072400</v>
      </c>
      <c r="G558" s="112" t="s">
        <v>697</v>
      </c>
      <c r="H558" s="114">
        <v>0</v>
      </c>
      <c r="I558" s="81">
        <v>373</v>
      </c>
      <c r="J558"/>
      <c r="K558" s="125"/>
      <c r="L558"/>
      <c r="M558"/>
      <c r="N558"/>
    </row>
    <row r="559" spans="1:14" s="11" customFormat="1" ht="49.5" customHeight="1">
      <c r="A559" s="15">
        <v>2</v>
      </c>
      <c r="B559" s="16" t="s">
        <v>81</v>
      </c>
      <c r="C559" s="36" t="s">
        <v>82</v>
      </c>
      <c r="D559" s="24">
        <v>483600000</v>
      </c>
      <c r="E559" s="24">
        <f t="shared" si="94"/>
        <v>580000000</v>
      </c>
      <c r="F559" s="37" t="str">
        <f t="shared" si="95"/>
        <v>2130072700</v>
      </c>
      <c r="G559" s="115"/>
      <c r="H559" s="115"/>
      <c r="I559" s="81">
        <v>374</v>
      </c>
      <c r="J559"/>
      <c r="K559" s="125"/>
      <c r="L559"/>
      <c r="M559"/>
      <c r="N559"/>
    </row>
    <row r="560" spans="1:14" s="11" customFormat="1" ht="49.5" customHeight="1">
      <c r="A560" s="15"/>
      <c r="B560" s="16">
        <v>2130070100</v>
      </c>
      <c r="C560" s="36" t="s">
        <v>749</v>
      </c>
      <c r="D560" s="24">
        <v>1661900000</v>
      </c>
      <c r="E560" s="24">
        <f t="shared" si="94"/>
        <v>1994000000</v>
      </c>
      <c r="F560" s="37" t="str">
        <f t="shared" si="95"/>
        <v>2130070100</v>
      </c>
      <c r="G560" s="115"/>
      <c r="H560" s="116"/>
      <c r="I560" s="81">
        <v>375</v>
      </c>
      <c r="J560"/>
      <c r="K560" s="125"/>
      <c r="L560"/>
      <c r="M560"/>
      <c r="N560"/>
    </row>
    <row r="561" spans="1:14" s="11" customFormat="1" ht="49.5" customHeight="1">
      <c r="A561" s="15"/>
      <c r="B561" s="16">
        <v>2130070600</v>
      </c>
      <c r="C561" s="36" t="s">
        <v>750</v>
      </c>
      <c r="D561" s="24">
        <v>460800000</v>
      </c>
      <c r="E561" s="24">
        <f t="shared" si="94"/>
        <v>553000000</v>
      </c>
      <c r="F561" s="37" t="str">
        <f t="shared" si="95"/>
        <v>2130070600</v>
      </c>
      <c r="G561" s="115"/>
      <c r="H561" s="116"/>
      <c r="I561" s="81">
        <v>376</v>
      </c>
      <c r="J561"/>
      <c r="K561" s="125"/>
      <c r="L561"/>
      <c r="M561"/>
      <c r="N561"/>
    </row>
    <row r="562" spans="1:14" s="11" customFormat="1" ht="49.5" customHeight="1">
      <c r="A562" s="15"/>
      <c r="B562" s="16">
        <v>2130070800</v>
      </c>
      <c r="C562" s="36" t="s">
        <v>751</v>
      </c>
      <c r="D562" s="24">
        <v>299000000</v>
      </c>
      <c r="E562" s="24">
        <f t="shared" si="94"/>
        <v>359000000</v>
      </c>
      <c r="F562" s="37" t="str">
        <f t="shared" si="95"/>
        <v>2130070800</v>
      </c>
      <c r="G562" s="115"/>
      <c r="H562" s="116"/>
      <c r="I562" s="81">
        <v>377</v>
      </c>
      <c r="J562"/>
      <c r="K562" s="125"/>
      <c r="L562"/>
      <c r="M562"/>
      <c r="N562"/>
    </row>
    <row r="563" spans="1:14" s="11" customFormat="1" ht="49.5" customHeight="1">
      <c r="A563" s="15"/>
      <c r="B563" s="16">
        <v>2130070400</v>
      </c>
      <c r="C563" s="36" t="s">
        <v>752</v>
      </c>
      <c r="D563" s="24">
        <v>567100000</v>
      </c>
      <c r="E563" s="24">
        <f t="shared" si="94"/>
        <v>681000000</v>
      </c>
      <c r="F563" s="37" t="str">
        <f t="shared" si="95"/>
        <v>2130070400</v>
      </c>
      <c r="G563" s="115"/>
      <c r="H563" s="116"/>
      <c r="I563" s="81">
        <v>378</v>
      </c>
      <c r="J563"/>
      <c r="K563" s="125"/>
      <c r="L563"/>
      <c r="M563"/>
      <c r="N563"/>
    </row>
    <row r="564" spans="1:14" s="11" customFormat="1" ht="49.5" customHeight="1">
      <c r="A564" s="15"/>
      <c r="B564" s="16">
        <v>2130070500</v>
      </c>
      <c r="C564" s="36" t="s">
        <v>753</v>
      </c>
      <c r="D564" s="24">
        <v>1745800000</v>
      </c>
      <c r="E564" s="24">
        <f t="shared" si="94"/>
        <v>2095000000</v>
      </c>
      <c r="F564" s="37" t="str">
        <f t="shared" si="95"/>
        <v>2130070500</v>
      </c>
      <c r="G564" s="115"/>
      <c r="H564" s="116"/>
      <c r="I564" s="81">
        <v>379</v>
      </c>
      <c r="J564"/>
      <c r="K564" s="125"/>
      <c r="L564"/>
      <c r="M564"/>
      <c r="N564"/>
    </row>
    <row r="565" spans="1:14" s="11" customFormat="1" ht="49.5" customHeight="1">
      <c r="A565" s="15"/>
      <c r="B565" s="16">
        <v>2130070900</v>
      </c>
      <c r="C565" s="36" t="s">
        <v>754</v>
      </c>
      <c r="D565" s="24">
        <v>535200000</v>
      </c>
      <c r="E565" s="24">
        <f t="shared" si="94"/>
        <v>642000000</v>
      </c>
      <c r="F565" s="37" t="str">
        <f>LEFT(B565,8)&amp;"00"</f>
        <v>2130070900</v>
      </c>
      <c r="G565" s="115"/>
      <c r="H565" s="116"/>
      <c r="I565" s="81">
        <v>380</v>
      </c>
      <c r="J565"/>
      <c r="K565" s="125"/>
      <c r="L565"/>
      <c r="M565"/>
      <c r="N565"/>
    </row>
    <row r="566" spans="1:14" s="11" customFormat="1" ht="49.5" customHeight="1">
      <c r="A566" s="15"/>
      <c r="B566" s="16">
        <v>2130072600</v>
      </c>
      <c r="C566" s="36" t="s">
        <v>755</v>
      </c>
      <c r="D566" s="24">
        <v>483600000</v>
      </c>
      <c r="E566" s="24">
        <f t="shared" si="94"/>
        <v>580000000</v>
      </c>
      <c r="F566" s="37" t="str">
        <f t="shared" si="95"/>
        <v>2130072600</v>
      </c>
      <c r="G566" s="115"/>
      <c r="H566" s="116"/>
      <c r="I566" s="81">
        <v>381</v>
      </c>
      <c r="J566"/>
      <c r="K566" s="125"/>
      <c r="L566"/>
      <c r="M566"/>
      <c r="N566"/>
    </row>
    <row r="567" spans="1:14" s="11" customFormat="1" ht="49.5" customHeight="1">
      <c r="A567" s="15"/>
      <c r="B567" s="16">
        <v>2130074500</v>
      </c>
      <c r="C567" s="36" t="s">
        <v>756</v>
      </c>
      <c r="D567" s="24">
        <v>81100000</v>
      </c>
      <c r="E567" s="24">
        <f t="shared" si="94"/>
        <v>97000000</v>
      </c>
      <c r="F567" s="37" t="str">
        <f t="shared" si="95"/>
        <v>2130074500</v>
      </c>
      <c r="G567" s="115"/>
      <c r="H567" s="116"/>
      <c r="I567" s="81">
        <v>382</v>
      </c>
      <c r="J567"/>
      <c r="K567" s="125"/>
      <c r="L567"/>
      <c r="M567"/>
      <c r="N567"/>
    </row>
    <row r="568" spans="1:14" s="11" customFormat="1" ht="49.5" customHeight="1">
      <c r="A568" s="15"/>
      <c r="B568" s="16">
        <v>2170020401</v>
      </c>
      <c r="C568" s="36" t="s">
        <v>757</v>
      </c>
      <c r="D568" s="24">
        <v>176400000</v>
      </c>
      <c r="E568" s="24">
        <f t="shared" si="94"/>
        <v>212000000</v>
      </c>
      <c r="F568" s="37" t="str">
        <f>LEFT(B568,8)&amp;"01"</f>
        <v>2170020401</v>
      </c>
      <c r="G568" s="115"/>
      <c r="H568" s="116"/>
      <c r="I568" s="81">
        <v>383</v>
      </c>
      <c r="J568"/>
      <c r="K568" s="125"/>
      <c r="L568"/>
      <c r="M568"/>
      <c r="N568"/>
    </row>
    <row r="569" spans="1:14" s="11" customFormat="1" ht="49.5" customHeight="1">
      <c r="A569" s="15"/>
      <c r="B569" s="16"/>
      <c r="C569" s="36" t="s">
        <v>758</v>
      </c>
      <c r="D569" s="24" t="s">
        <v>760</v>
      </c>
      <c r="E569" s="24"/>
      <c r="F569" s="43"/>
      <c r="G569" s="115"/>
      <c r="H569" s="116"/>
      <c r="I569" s="81">
        <v>384</v>
      </c>
      <c r="J569"/>
      <c r="K569" s="125"/>
      <c r="L569"/>
      <c r="M569"/>
      <c r="N569"/>
    </row>
    <row r="570" spans="1:14" s="11" customFormat="1" ht="49.5" customHeight="1">
      <c r="A570" s="15"/>
      <c r="B570" s="16"/>
      <c r="C570" s="36" t="s">
        <v>759</v>
      </c>
      <c r="D570" s="24" t="s">
        <v>761</v>
      </c>
      <c r="E570" s="24"/>
      <c r="F570" s="43"/>
      <c r="G570" s="115"/>
      <c r="H570" s="116"/>
      <c r="I570" s="81">
        <v>385</v>
      </c>
      <c r="J570"/>
      <c r="K570" s="125"/>
      <c r="L570"/>
      <c r="M570"/>
      <c r="N570"/>
    </row>
    <row r="571" spans="1:14" s="11" customFormat="1" ht="49.5" customHeight="1">
      <c r="A571" s="256" t="s">
        <v>762</v>
      </c>
      <c r="B571" s="257"/>
      <c r="C571" s="257"/>
      <c r="D571" s="257"/>
      <c r="E571" s="258"/>
      <c r="F571" s="43"/>
      <c r="G571" s="115"/>
      <c r="H571" s="116"/>
      <c r="I571" s="81">
        <v>386</v>
      </c>
      <c r="J571"/>
      <c r="K571" s="125"/>
      <c r="L571"/>
      <c r="M571"/>
      <c r="N571"/>
    </row>
    <row r="572" spans="1:14" s="11" customFormat="1" ht="49.5" customHeight="1">
      <c r="A572" s="253" t="s">
        <v>385</v>
      </c>
      <c r="B572" s="253"/>
      <c r="C572" s="253"/>
      <c r="D572" s="253"/>
      <c r="E572" s="31"/>
      <c r="F572" s="32"/>
      <c r="G572" s="115"/>
      <c r="H572" s="115"/>
      <c r="I572"/>
      <c r="J572"/>
      <c r="K572" s="125"/>
      <c r="L572"/>
      <c r="M572"/>
      <c r="N572"/>
    </row>
    <row r="573" spans="1:14" s="11" customFormat="1" ht="49.5" customHeight="1">
      <c r="A573" s="13" t="s">
        <v>0</v>
      </c>
      <c r="B573" s="14" t="s">
        <v>1</v>
      </c>
      <c r="C573" s="34" t="s">
        <v>2</v>
      </c>
      <c r="D573" s="23" t="s">
        <v>3</v>
      </c>
      <c r="E573" s="23" t="s">
        <v>464</v>
      </c>
      <c r="F573" s="35" t="s">
        <v>716</v>
      </c>
      <c r="G573" s="112" t="s">
        <v>696</v>
      </c>
      <c r="H573" s="114">
        <v>0.2</v>
      </c>
      <c r="I573"/>
      <c r="J573"/>
      <c r="K573" s="125"/>
      <c r="L573"/>
      <c r="M573"/>
      <c r="N573"/>
    </row>
    <row r="574" spans="1:14" s="11" customFormat="1" ht="49.5" customHeight="1">
      <c r="A574" s="15">
        <v>1</v>
      </c>
      <c r="B574" s="16" t="s">
        <v>127</v>
      </c>
      <c r="C574" s="36" t="s">
        <v>128</v>
      </c>
      <c r="D574" s="24">
        <v>1361600000</v>
      </c>
      <c r="E574" s="24">
        <f>ROUND(((100%+$H$573)*D574)*(100%+$H$574),-6)</f>
        <v>1634000000</v>
      </c>
      <c r="F574" s="111" t="str">
        <f>LEFT(B574,8)&amp;"00"</f>
        <v>2130082500</v>
      </c>
      <c r="G574" s="112" t="s">
        <v>697</v>
      </c>
      <c r="H574" s="114">
        <v>0</v>
      </c>
      <c r="I574" s="81">
        <v>387</v>
      </c>
      <c r="J574"/>
      <c r="K574" s="125"/>
      <c r="L574"/>
      <c r="M574"/>
      <c r="N574"/>
    </row>
    <row r="575" spans="1:14" s="11" customFormat="1" ht="49.5" customHeight="1">
      <c r="A575" s="15">
        <f>A574+1</f>
        <v>2</v>
      </c>
      <c r="B575" s="16" t="s">
        <v>129</v>
      </c>
      <c r="C575" s="36" t="s">
        <v>130</v>
      </c>
      <c r="D575" s="24">
        <v>1251200000</v>
      </c>
      <c r="E575" s="24">
        <f t="shared" ref="E575:E580" si="96">ROUND(((100%+$H$573)*D575)*(100%+$H$574),-6)</f>
        <v>1501000000</v>
      </c>
      <c r="F575" s="37" t="str">
        <f t="shared" ref="F575:F580" si="97">LEFT(B575,8)&amp;"00"</f>
        <v>2130082400</v>
      </c>
      <c r="G575" s="115"/>
      <c r="H575" s="115"/>
      <c r="I575" s="81">
        <v>388</v>
      </c>
      <c r="J575"/>
      <c r="K575" s="125"/>
      <c r="L575"/>
      <c r="M575"/>
      <c r="N575"/>
    </row>
    <row r="576" spans="1:14" s="11" customFormat="1" ht="49.5" customHeight="1">
      <c r="A576" s="15">
        <f t="shared" ref="A576:A582" si="98">A575+1</f>
        <v>3</v>
      </c>
      <c r="B576" s="16" t="s">
        <v>131</v>
      </c>
      <c r="C576" s="36" t="s">
        <v>132</v>
      </c>
      <c r="D576" s="24">
        <v>1278700000</v>
      </c>
      <c r="E576" s="24">
        <f t="shared" si="96"/>
        <v>1534000000</v>
      </c>
      <c r="F576" s="37" t="str">
        <f t="shared" si="97"/>
        <v>2130080100</v>
      </c>
      <c r="G576" s="115"/>
      <c r="H576" s="115"/>
      <c r="I576" s="81">
        <v>389</v>
      </c>
      <c r="J576"/>
      <c r="K576" s="125"/>
      <c r="L576"/>
      <c r="M576"/>
      <c r="N576"/>
    </row>
    <row r="577" spans="1:14" s="11" customFormat="1" ht="49.5" customHeight="1">
      <c r="A577" s="15">
        <f t="shared" si="98"/>
        <v>4</v>
      </c>
      <c r="B577" s="16" t="s">
        <v>137</v>
      </c>
      <c r="C577" s="36" t="s">
        <v>138</v>
      </c>
      <c r="D577" s="24">
        <v>262100000</v>
      </c>
      <c r="E577" s="24">
        <f t="shared" si="96"/>
        <v>315000000</v>
      </c>
      <c r="F577" s="37" t="str">
        <f t="shared" si="97"/>
        <v>2130080600</v>
      </c>
      <c r="G577" s="115"/>
      <c r="H577" s="115"/>
      <c r="I577" s="81">
        <v>390</v>
      </c>
      <c r="J577"/>
      <c r="K577" s="125"/>
      <c r="L577"/>
      <c r="M577"/>
      <c r="N577"/>
    </row>
    <row r="578" spans="1:14" s="11" customFormat="1" ht="49.5" customHeight="1">
      <c r="A578" s="15">
        <f t="shared" si="98"/>
        <v>5</v>
      </c>
      <c r="B578" s="16" t="s">
        <v>139</v>
      </c>
      <c r="C578" s="36" t="s">
        <v>140</v>
      </c>
      <c r="D578" s="24">
        <v>82000000</v>
      </c>
      <c r="E578" s="24">
        <f t="shared" si="96"/>
        <v>98000000</v>
      </c>
      <c r="F578" s="37" t="str">
        <f t="shared" si="97"/>
        <v>2130080800</v>
      </c>
      <c r="G578" s="115"/>
      <c r="H578" s="115"/>
      <c r="I578" s="81">
        <v>391</v>
      </c>
      <c r="J578"/>
      <c r="K578" s="125"/>
      <c r="L578"/>
      <c r="M578"/>
      <c r="N578"/>
    </row>
    <row r="579" spans="1:14" s="11" customFormat="1" ht="49.5" customHeight="1">
      <c r="A579" s="15">
        <f t="shared" si="98"/>
        <v>6</v>
      </c>
      <c r="B579" s="16" t="s">
        <v>135</v>
      </c>
      <c r="C579" s="36" t="s">
        <v>136</v>
      </c>
      <c r="D579" s="24">
        <v>318800000</v>
      </c>
      <c r="E579" s="24">
        <f t="shared" si="96"/>
        <v>383000000</v>
      </c>
      <c r="F579" s="37" t="str">
        <f t="shared" si="97"/>
        <v>2130080400</v>
      </c>
      <c r="G579" s="115"/>
      <c r="H579" s="115"/>
      <c r="I579" s="81">
        <v>392</v>
      </c>
      <c r="J579"/>
      <c r="K579" s="125"/>
      <c r="L579"/>
      <c r="M579"/>
      <c r="N579"/>
    </row>
    <row r="580" spans="1:14" s="11" customFormat="1" ht="49.5" customHeight="1">
      <c r="A580" s="15">
        <f t="shared" si="98"/>
        <v>7</v>
      </c>
      <c r="B580" s="16" t="s">
        <v>133</v>
      </c>
      <c r="C580" s="36" t="s">
        <v>134</v>
      </c>
      <c r="D580" s="24">
        <v>940200000</v>
      </c>
      <c r="E580" s="24">
        <f t="shared" si="96"/>
        <v>1128000000</v>
      </c>
      <c r="F580" s="37" t="str">
        <f t="shared" si="97"/>
        <v>2130080500</v>
      </c>
      <c r="G580" s="115"/>
      <c r="H580" s="115"/>
      <c r="I580" s="81">
        <v>393</v>
      </c>
      <c r="J580"/>
      <c r="K580" s="125"/>
      <c r="L580"/>
      <c r="M580"/>
      <c r="N580"/>
    </row>
    <row r="581" spans="1:14" s="11" customFormat="1" ht="49.5" customHeight="1">
      <c r="A581" s="15">
        <f t="shared" si="98"/>
        <v>8</v>
      </c>
      <c r="B581" s="16" t="s">
        <v>261</v>
      </c>
      <c r="C581" s="44" t="s">
        <v>386</v>
      </c>
      <c r="D581" s="24" t="s">
        <v>368</v>
      </c>
      <c r="E581" s="24" t="s">
        <v>368</v>
      </c>
      <c r="F581" s="38"/>
      <c r="G581" s="115"/>
      <c r="H581" s="115"/>
      <c r="I581" s="81">
        <v>394</v>
      </c>
      <c r="J581"/>
      <c r="K581" s="125"/>
      <c r="L581"/>
      <c r="M581"/>
      <c r="N581"/>
    </row>
    <row r="582" spans="1:14" s="11" customFormat="1" ht="49.5" customHeight="1">
      <c r="A582" s="15">
        <f t="shared" si="98"/>
        <v>9</v>
      </c>
      <c r="B582" s="16" t="s">
        <v>261</v>
      </c>
      <c r="C582" s="44" t="s">
        <v>382</v>
      </c>
      <c r="D582" s="24" t="s">
        <v>383</v>
      </c>
      <c r="E582" s="24" t="s">
        <v>383</v>
      </c>
      <c r="F582" s="38"/>
      <c r="G582" s="115"/>
      <c r="H582" s="115"/>
      <c r="I582" s="81">
        <v>395</v>
      </c>
      <c r="J582"/>
      <c r="K582" s="125"/>
      <c r="L582"/>
      <c r="M582"/>
      <c r="N582"/>
    </row>
    <row r="583" spans="1:14" s="11" customFormat="1" ht="49.5" customHeight="1">
      <c r="A583" s="254" t="s">
        <v>493</v>
      </c>
      <c r="B583" s="254"/>
      <c r="C583" s="254"/>
      <c r="D583" s="254"/>
      <c r="E583" s="45"/>
      <c r="F583" s="46"/>
      <c r="G583" s="115"/>
      <c r="H583" s="115"/>
      <c r="I583"/>
      <c r="J583"/>
      <c r="K583" s="125"/>
      <c r="L583"/>
      <c r="M583"/>
      <c r="N583"/>
    </row>
    <row r="584" spans="1:14" s="11" customFormat="1" ht="49.5" customHeight="1">
      <c r="A584" s="13" t="s">
        <v>0</v>
      </c>
      <c r="B584" s="14" t="s">
        <v>1</v>
      </c>
      <c r="C584" s="34" t="s">
        <v>2</v>
      </c>
      <c r="D584" s="23" t="s">
        <v>746</v>
      </c>
      <c r="E584" s="23" t="s">
        <v>464</v>
      </c>
      <c r="F584" s="35" t="s">
        <v>716</v>
      </c>
      <c r="G584" s="115"/>
      <c r="H584" s="115"/>
      <c r="I584"/>
      <c r="J584"/>
      <c r="K584" s="125"/>
      <c r="L584"/>
      <c r="M584"/>
      <c r="N584"/>
    </row>
    <row r="585" spans="1:14" s="11" customFormat="1" ht="49.5" customHeight="1">
      <c r="A585" s="15">
        <v>1</v>
      </c>
      <c r="B585" s="16">
        <v>21301025</v>
      </c>
      <c r="C585" s="36" t="s">
        <v>494</v>
      </c>
      <c r="D585" s="24">
        <v>2260600000</v>
      </c>
      <c r="E585" s="24">
        <f>ROUND(((100%+$H$585)*D585)*(100%+$H$586),-6)</f>
        <v>2713000000</v>
      </c>
      <c r="F585" s="37" t="str">
        <f>LEFT(B585,8)&amp;"00"</f>
        <v>2130102500</v>
      </c>
      <c r="G585" s="112" t="s">
        <v>696</v>
      </c>
      <c r="H585" s="114">
        <v>0.2</v>
      </c>
      <c r="I585" s="81">
        <v>396</v>
      </c>
      <c r="J585"/>
      <c r="K585" s="125"/>
      <c r="L585"/>
      <c r="M585"/>
      <c r="N585"/>
    </row>
    <row r="586" spans="1:14" s="11" customFormat="1" ht="49.5" customHeight="1">
      <c r="A586" s="15">
        <v>2</v>
      </c>
      <c r="B586" s="16">
        <v>21301024</v>
      </c>
      <c r="C586" s="36" t="s">
        <v>495</v>
      </c>
      <c r="D586" s="24">
        <v>2040500000</v>
      </c>
      <c r="E586" s="24">
        <f t="shared" ref="E586:E596" si="99">ROUND(((100%+$H$585)*D586)*(100%+$H$586),-6)</f>
        <v>2449000000</v>
      </c>
      <c r="F586" s="37" t="str">
        <f t="shared" ref="F586:F596" si="100">LEFT(B586,8)&amp;"00"</f>
        <v>2130102400</v>
      </c>
      <c r="G586" s="112" t="s">
        <v>697</v>
      </c>
      <c r="H586" s="114">
        <v>0</v>
      </c>
      <c r="I586" s="81">
        <v>397</v>
      </c>
      <c r="J586"/>
      <c r="K586" s="125"/>
      <c r="L586"/>
      <c r="M586"/>
      <c r="N586"/>
    </row>
    <row r="587" spans="1:14" s="11" customFormat="1" ht="49.5" customHeight="1">
      <c r="A587" s="15">
        <v>3</v>
      </c>
      <c r="B587" s="16">
        <v>21301023</v>
      </c>
      <c r="C587" s="36" t="s">
        <v>496</v>
      </c>
      <c r="D587" s="24">
        <v>1801600000</v>
      </c>
      <c r="E587" s="24">
        <f t="shared" si="99"/>
        <v>2162000000</v>
      </c>
      <c r="F587" s="37" t="str">
        <f t="shared" si="100"/>
        <v>2130102300</v>
      </c>
      <c r="G587" s="115"/>
      <c r="H587" s="115"/>
      <c r="I587" s="81">
        <v>398</v>
      </c>
      <c r="J587"/>
      <c r="K587" s="125"/>
      <c r="L587"/>
      <c r="M587"/>
      <c r="N587"/>
    </row>
    <row r="588" spans="1:14" s="11" customFormat="1" ht="49.5" customHeight="1">
      <c r="A588" s="15">
        <v>4</v>
      </c>
      <c r="B588" s="16">
        <v>21301022</v>
      </c>
      <c r="C588" s="36" t="s">
        <v>497</v>
      </c>
      <c r="D588" s="24">
        <v>1529300000</v>
      </c>
      <c r="E588" s="24">
        <f t="shared" si="99"/>
        <v>1835000000</v>
      </c>
      <c r="F588" s="37" t="str">
        <f t="shared" si="100"/>
        <v>2130102200</v>
      </c>
      <c r="G588" s="115"/>
      <c r="H588" s="115"/>
      <c r="I588" s="81">
        <v>399</v>
      </c>
      <c r="J588"/>
      <c r="K588" s="125"/>
      <c r="L588"/>
      <c r="M588"/>
      <c r="N588"/>
    </row>
    <row r="589" spans="1:14" s="11" customFormat="1" ht="49.5" customHeight="1">
      <c r="A589" s="15">
        <v>5</v>
      </c>
      <c r="B589" s="16">
        <v>21301021</v>
      </c>
      <c r="C589" s="36" t="s">
        <v>498</v>
      </c>
      <c r="D589" s="24">
        <v>1188600000</v>
      </c>
      <c r="E589" s="24">
        <f t="shared" si="99"/>
        <v>1426000000</v>
      </c>
      <c r="F589" s="37" t="str">
        <f t="shared" si="100"/>
        <v>2130102100</v>
      </c>
      <c r="G589" s="115"/>
      <c r="H589" s="115"/>
      <c r="I589" s="81">
        <v>400</v>
      </c>
      <c r="J589"/>
      <c r="K589" s="125"/>
      <c r="L589"/>
      <c r="M589"/>
      <c r="N589"/>
    </row>
    <row r="590" spans="1:14" s="11" customFormat="1" ht="49.5" customHeight="1">
      <c r="A590" s="15">
        <v>6</v>
      </c>
      <c r="B590" s="16">
        <v>21301001</v>
      </c>
      <c r="C590" s="36" t="s">
        <v>499</v>
      </c>
      <c r="D590" s="24">
        <v>1639400000</v>
      </c>
      <c r="E590" s="24">
        <f t="shared" si="99"/>
        <v>1967000000</v>
      </c>
      <c r="F590" s="37" t="str">
        <f t="shared" si="100"/>
        <v>2130100100</v>
      </c>
      <c r="G590" s="115"/>
      <c r="H590" s="115"/>
      <c r="I590" s="81">
        <v>401</v>
      </c>
      <c r="J590"/>
      <c r="K590" s="125"/>
      <c r="L590"/>
      <c r="M590"/>
      <c r="N590"/>
    </row>
    <row r="591" spans="1:14" s="11" customFormat="1" ht="49.5" customHeight="1">
      <c r="A591" s="15">
        <v>7</v>
      </c>
      <c r="B591" s="16">
        <v>21301003</v>
      </c>
      <c r="C591" s="36" t="s">
        <v>500</v>
      </c>
      <c r="D591" s="24">
        <v>1342700000</v>
      </c>
      <c r="E591" s="24">
        <f t="shared" si="99"/>
        <v>1611000000</v>
      </c>
      <c r="F591" s="37" t="str">
        <f t="shared" si="100"/>
        <v>2130100300</v>
      </c>
      <c r="G591" s="115"/>
      <c r="H591" s="115"/>
      <c r="I591" s="81">
        <v>402</v>
      </c>
      <c r="J591"/>
      <c r="K591" s="125"/>
      <c r="L591"/>
      <c r="M591"/>
      <c r="N591"/>
    </row>
    <row r="592" spans="1:14" s="11" customFormat="1" ht="49.5" customHeight="1">
      <c r="A592" s="15">
        <v>8</v>
      </c>
      <c r="B592" s="16">
        <v>21301006</v>
      </c>
      <c r="C592" s="36" t="s">
        <v>501</v>
      </c>
      <c r="D592" s="24">
        <v>314400000</v>
      </c>
      <c r="E592" s="24">
        <f t="shared" si="99"/>
        <v>377000000</v>
      </c>
      <c r="F592" s="37" t="str">
        <f t="shared" si="100"/>
        <v>2130100600</v>
      </c>
      <c r="G592" s="115"/>
      <c r="H592" s="115"/>
      <c r="I592" s="81">
        <v>403</v>
      </c>
      <c r="J592"/>
      <c r="K592" s="125"/>
      <c r="L592"/>
      <c r="M592"/>
      <c r="N592"/>
    </row>
    <row r="593" spans="1:14" s="11" customFormat="1" ht="49.5" customHeight="1">
      <c r="A593" s="15">
        <v>9</v>
      </c>
      <c r="B593" s="16">
        <v>21301008</v>
      </c>
      <c r="C593" s="36" t="s">
        <v>502</v>
      </c>
      <c r="D593" s="24">
        <v>198000000</v>
      </c>
      <c r="E593" s="24">
        <f t="shared" si="99"/>
        <v>238000000</v>
      </c>
      <c r="F593" s="37" t="str">
        <f t="shared" si="100"/>
        <v>2130100800</v>
      </c>
      <c r="G593" s="115"/>
      <c r="H593" s="115"/>
      <c r="I593" s="81">
        <v>404</v>
      </c>
      <c r="J593"/>
      <c r="K593" s="125"/>
      <c r="L593"/>
      <c r="M593"/>
      <c r="N593"/>
    </row>
    <row r="594" spans="1:14" s="11" customFormat="1" ht="49.5" customHeight="1">
      <c r="A594" s="15">
        <f t="shared" ref="A594:A596" si="101">A593+1</f>
        <v>10</v>
      </c>
      <c r="B594" s="16">
        <v>21301004</v>
      </c>
      <c r="C594" s="36" t="s">
        <v>503</v>
      </c>
      <c r="D594" s="24">
        <v>759600000</v>
      </c>
      <c r="E594" s="24">
        <f t="shared" si="99"/>
        <v>912000000</v>
      </c>
      <c r="F594" s="37" t="str">
        <f t="shared" si="100"/>
        <v>2130100400</v>
      </c>
      <c r="G594" s="115"/>
      <c r="H594" s="115"/>
      <c r="I594" s="81">
        <v>405</v>
      </c>
      <c r="J594"/>
      <c r="K594" s="125"/>
      <c r="L594"/>
      <c r="M594"/>
      <c r="N594"/>
    </row>
    <row r="595" spans="1:14" s="11" customFormat="1" ht="49.5" customHeight="1">
      <c r="A595" s="15">
        <f t="shared" si="101"/>
        <v>11</v>
      </c>
      <c r="B595" s="16">
        <v>21301005</v>
      </c>
      <c r="C595" s="36" t="s">
        <v>504</v>
      </c>
      <c r="D595" s="24">
        <v>1432100000</v>
      </c>
      <c r="E595" s="24">
        <f t="shared" si="99"/>
        <v>1719000000</v>
      </c>
      <c r="F595" s="37" t="str">
        <f t="shared" si="100"/>
        <v>2130100500</v>
      </c>
      <c r="G595" s="115"/>
      <c r="H595" s="115"/>
      <c r="I595" s="81">
        <v>406</v>
      </c>
      <c r="J595"/>
      <c r="K595" s="125"/>
      <c r="L595"/>
      <c r="M595"/>
      <c r="N595"/>
    </row>
    <row r="596" spans="1:14" s="11" customFormat="1" ht="49.5" customHeight="1">
      <c r="A596" s="15">
        <f t="shared" si="101"/>
        <v>12</v>
      </c>
      <c r="B596" s="16">
        <v>21301009</v>
      </c>
      <c r="C596" s="36" t="s">
        <v>505</v>
      </c>
      <c r="D596" s="24">
        <v>236900000</v>
      </c>
      <c r="E596" s="24">
        <f t="shared" si="99"/>
        <v>284000000</v>
      </c>
      <c r="F596" s="37" t="str">
        <f t="shared" si="100"/>
        <v>2130100900</v>
      </c>
      <c r="G596" s="115"/>
      <c r="H596" s="115"/>
      <c r="I596" s="81">
        <v>407</v>
      </c>
      <c r="J596"/>
      <c r="K596" s="125"/>
      <c r="L596"/>
      <c r="M596"/>
      <c r="N596"/>
    </row>
    <row r="597" spans="1:14" s="11" customFormat="1" ht="49.5" customHeight="1">
      <c r="A597" s="254" t="s">
        <v>1600</v>
      </c>
      <c r="B597" s="254"/>
      <c r="C597" s="254"/>
      <c r="D597" s="254"/>
      <c r="E597" s="24"/>
      <c r="F597" s="43"/>
      <c r="G597" s="115"/>
      <c r="H597" s="115"/>
      <c r="I597" s="81"/>
      <c r="J597"/>
      <c r="K597" s="125"/>
      <c r="L597"/>
      <c r="M597"/>
      <c r="N597"/>
    </row>
    <row r="598" spans="1:14" s="11" customFormat="1" ht="159" customHeight="1">
      <c r="A598" s="13" t="s">
        <v>0</v>
      </c>
      <c r="B598" s="14" t="s">
        <v>1</v>
      </c>
      <c r="C598" s="34" t="s">
        <v>2</v>
      </c>
      <c r="D598" s="23" t="s">
        <v>746</v>
      </c>
      <c r="E598" s="24"/>
      <c r="F598" s="43"/>
      <c r="G598" s="115"/>
      <c r="H598" s="115"/>
      <c r="I598" s="81"/>
      <c r="J598"/>
      <c r="K598" s="125"/>
      <c r="L598"/>
      <c r="M598"/>
      <c r="N598"/>
    </row>
    <row r="599" spans="1:14" s="11" customFormat="1" ht="49.5" customHeight="1">
      <c r="A599" s="15">
        <v>2</v>
      </c>
      <c r="B599" s="16">
        <v>2130112500</v>
      </c>
      <c r="C599" s="36" t="s">
        <v>1601</v>
      </c>
      <c r="D599" s="24">
        <v>2137200000</v>
      </c>
      <c r="E599" s="24">
        <f>ROUND(((100%+$H$599)*D599)*(100%+$H$600),-6)</f>
        <v>2565000000</v>
      </c>
      <c r="F599" s="43"/>
      <c r="G599" s="112" t="s">
        <v>696</v>
      </c>
      <c r="H599" s="114">
        <v>0.2</v>
      </c>
      <c r="I599" s="81"/>
      <c r="J599"/>
      <c r="K599" s="125"/>
      <c r="L599"/>
      <c r="M599"/>
      <c r="N599"/>
    </row>
    <row r="600" spans="1:14" s="11" customFormat="1" ht="49.5" customHeight="1">
      <c r="A600" s="15">
        <v>3</v>
      </c>
      <c r="B600" s="16">
        <v>2130110100</v>
      </c>
      <c r="C600" s="36" t="s">
        <v>1602</v>
      </c>
      <c r="D600" s="24">
        <v>1678000000</v>
      </c>
      <c r="E600" s="24">
        <f t="shared" ref="E600:E606" si="102">ROUND(((100%+$H$599)*D600)*(100%+$H$600),-6)</f>
        <v>2014000000</v>
      </c>
      <c r="F600" s="43"/>
      <c r="G600" s="112" t="s">
        <v>697</v>
      </c>
      <c r="H600" s="114">
        <v>0</v>
      </c>
      <c r="I600" s="81"/>
      <c r="J600"/>
      <c r="K600" s="125"/>
      <c r="L600"/>
      <c r="M600"/>
      <c r="N600"/>
    </row>
    <row r="601" spans="1:14" s="11" customFormat="1" ht="49.5" customHeight="1">
      <c r="A601" s="15">
        <v>4</v>
      </c>
      <c r="B601" s="16">
        <v>2130110600</v>
      </c>
      <c r="C601" s="36" t="s">
        <v>1603</v>
      </c>
      <c r="D601" s="24">
        <v>627600000</v>
      </c>
      <c r="E601" s="24">
        <f t="shared" si="102"/>
        <v>753000000</v>
      </c>
      <c r="F601" s="43"/>
      <c r="G601" s="115"/>
      <c r="H601" s="115"/>
      <c r="I601" s="81"/>
      <c r="J601"/>
      <c r="K601" s="125"/>
      <c r="L601"/>
      <c r="M601"/>
      <c r="N601"/>
    </row>
    <row r="602" spans="1:14" s="11" customFormat="1" ht="49.5" customHeight="1">
      <c r="A602" s="15">
        <v>5</v>
      </c>
      <c r="B602" s="16">
        <v>2130110800</v>
      </c>
      <c r="C602" s="36" t="s">
        <v>1604</v>
      </c>
      <c r="D602" s="24">
        <v>474700000</v>
      </c>
      <c r="E602" s="24">
        <f t="shared" si="102"/>
        <v>570000000</v>
      </c>
      <c r="F602" s="43"/>
      <c r="G602" s="115"/>
      <c r="H602" s="115"/>
      <c r="I602" s="81"/>
      <c r="J602"/>
      <c r="K602" s="125"/>
      <c r="L602"/>
      <c r="M602"/>
      <c r="N602"/>
    </row>
    <row r="603" spans="1:14" s="11" customFormat="1" ht="49.5" customHeight="1">
      <c r="A603" s="15">
        <v>6</v>
      </c>
      <c r="B603" s="16">
        <v>2130110400</v>
      </c>
      <c r="C603" s="36" t="s">
        <v>1605</v>
      </c>
      <c r="D603" s="24">
        <v>800600000</v>
      </c>
      <c r="E603" s="24">
        <f t="shared" si="102"/>
        <v>961000000</v>
      </c>
      <c r="F603" s="43"/>
      <c r="G603" s="115">
        <f>2*E603</f>
        <v>1922000000</v>
      </c>
      <c r="H603" s="115"/>
      <c r="I603" s="81"/>
      <c r="J603"/>
      <c r="K603" s="125"/>
      <c r="L603"/>
      <c r="M603"/>
      <c r="N603"/>
    </row>
    <row r="604" spans="1:14" s="11" customFormat="1" ht="49.5" customHeight="1">
      <c r="A604" s="15">
        <v>7</v>
      </c>
      <c r="B604" s="16">
        <v>2130110500</v>
      </c>
      <c r="C604" s="36" t="s">
        <v>1606</v>
      </c>
      <c r="D604" s="24">
        <v>1628400000</v>
      </c>
      <c r="E604" s="24">
        <f t="shared" si="102"/>
        <v>1954000000</v>
      </c>
      <c r="F604" s="43"/>
      <c r="G604" s="115"/>
      <c r="H604" s="115"/>
      <c r="I604" s="81"/>
      <c r="J604"/>
      <c r="K604" s="125"/>
      <c r="L604"/>
      <c r="M604"/>
      <c r="N604"/>
    </row>
    <row r="605" spans="1:14" s="11" customFormat="1" ht="49.5" customHeight="1">
      <c r="A605" s="15">
        <v>8</v>
      </c>
      <c r="B605" s="16">
        <v>2130110900</v>
      </c>
      <c r="C605" s="36" t="s">
        <v>1607</v>
      </c>
      <c r="D605" s="24">
        <v>466600000</v>
      </c>
      <c r="E605" s="24">
        <f t="shared" si="102"/>
        <v>560000000</v>
      </c>
      <c r="F605" s="43"/>
      <c r="G605" s="115"/>
      <c r="H605" s="115"/>
      <c r="I605" s="81"/>
      <c r="J605"/>
      <c r="K605" s="125"/>
      <c r="L605"/>
      <c r="M605"/>
      <c r="N605"/>
    </row>
    <row r="606" spans="1:14" s="11" customFormat="1" ht="49.5" customHeight="1">
      <c r="A606" s="15">
        <v>9</v>
      </c>
      <c r="B606" s="16">
        <v>2130114500</v>
      </c>
      <c r="C606" s="36" t="s">
        <v>1608</v>
      </c>
      <c r="D606" s="24">
        <v>93000000</v>
      </c>
      <c r="E606" s="24">
        <f t="shared" si="102"/>
        <v>112000000</v>
      </c>
      <c r="F606" s="43"/>
      <c r="G606" s="115"/>
      <c r="H606" s="115"/>
      <c r="I606" s="81"/>
      <c r="J606"/>
      <c r="K606" s="125"/>
      <c r="L606"/>
      <c r="M606"/>
      <c r="N606"/>
    </row>
    <row r="607" spans="1:14" s="11" customFormat="1" ht="49.5" customHeight="1">
      <c r="A607" s="15">
        <f t="shared" ref="A607:A608" si="103">A606+1</f>
        <v>10</v>
      </c>
      <c r="B607" s="16" t="s">
        <v>261</v>
      </c>
      <c r="C607" s="36" t="s">
        <v>1609</v>
      </c>
      <c r="D607" s="24" t="s">
        <v>1612</v>
      </c>
      <c r="E607" s="24"/>
      <c r="F607" s="43"/>
      <c r="G607" s="115"/>
      <c r="H607" s="115"/>
      <c r="I607" s="81"/>
      <c r="J607"/>
      <c r="K607" s="125"/>
      <c r="L607"/>
      <c r="M607"/>
      <c r="N607"/>
    </row>
    <row r="608" spans="1:14" s="11" customFormat="1" ht="49.5" customHeight="1">
      <c r="A608" s="15">
        <f t="shared" si="103"/>
        <v>11</v>
      </c>
      <c r="B608" s="16" t="s">
        <v>261</v>
      </c>
      <c r="C608" s="36" t="s">
        <v>1610</v>
      </c>
      <c r="D608" s="24" t="s">
        <v>458</v>
      </c>
      <c r="E608" s="24"/>
      <c r="F608" s="43"/>
      <c r="G608" s="115"/>
      <c r="H608" s="115"/>
      <c r="I608" s="81"/>
      <c r="J608"/>
      <c r="K608" s="125"/>
      <c r="L608"/>
      <c r="M608"/>
      <c r="N608"/>
    </row>
    <row r="609" spans="1:14" s="11" customFormat="1" ht="49.5" customHeight="1">
      <c r="A609" s="15"/>
      <c r="B609" s="16" t="s">
        <v>261</v>
      </c>
      <c r="C609" s="36" t="s">
        <v>1611</v>
      </c>
      <c r="D609" s="24" t="s">
        <v>458</v>
      </c>
      <c r="E609" s="24"/>
      <c r="F609" s="43"/>
      <c r="G609" s="115"/>
      <c r="H609" s="115"/>
      <c r="I609" s="81"/>
      <c r="J609"/>
      <c r="K609" s="125"/>
      <c r="L609"/>
      <c r="M609"/>
      <c r="N609"/>
    </row>
    <row r="610" spans="1:14" s="11" customFormat="1" ht="49.5" customHeight="1">
      <c r="A610" s="22" t="s">
        <v>1613</v>
      </c>
      <c r="B610" s="22"/>
      <c r="C610" s="39"/>
      <c r="D610" s="27"/>
      <c r="E610" s="45"/>
      <c r="F610" s="46"/>
      <c r="G610" s="115"/>
      <c r="H610" s="115"/>
      <c r="I610"/>
      <c r="J610"/>
      <c r="K610" s="125"/>
      <c r="L610"/>
      <c r="M610"/>
      <c r="N610"/>
    </row>
    <row r="611" spans="1:14" s="11" customFormat="1" ht="49.5" customHeight="1">
      <c r="A611" s="13" t="s">
        <v>0</v>
      </c>
      <c r="B611" s="14" t="s">
        <v>1</v>
      </c>
      <c r="C611" s="34" t="s">
        <v>2</v>
      </c>
      <c r="D611" s="23" t="s">
        <v>746</v>
      </c>
      <c r="E611" s="23" t="s">
        <v>464</v>
      </c>
      <c r="F611" s="35" t="s">
        <v>716</v>
      </c>
      <c r="G611" s="115"/>
      <c r="H611" s="115"/>
      <c r="I611"/>
      <c r="J611"/>
      <c r="K611" s="125"/>
      <c r="L611"/>
      <c r="M611"/>
      <c r="N611"/>
    </row>
    <row r="612" spans="1:14" s="11" customFormat="1" ht="49.5" customHeight="1">
      <c r="A612" s="15">
        <v>1</v>
      </c>
      <c r="B612" s="16" t="s">
        <v>711</v>
      </c>
      <c r="C612" s="36" t="s">
        <v>507</v>
      </c>
      <c r="D612" s="24">
        <v>4520900000</v>
      </c>
      <c r="E612" s="24">
        <f>ROUND(((100%+$H$612)*D612)*(100%+$H$613),-6)</f>
        <v>5425000000</v>
      </c>
      <c r="F612" s="37" t="str">
        <f>LEFT(B612,8)&amp;"00"</f>
        <v>2130122500</v>
      </c>
      <c r="G612" s="112" t="s">
        <v>696</v>
      </c>
      <c r="H612" s="114">
        <v>0.2</v>
      </c>
      <c r="I612" s="81">
        <v>408</v>
      </c>
      <c r="J612"/>
      <c r="K612" s="125"/>
      <c r="L612"/>
      <c r="M612"/>
      <c r="N612"/>
    </row>
    <row r="613" spans="1:14" s="11" customFormat="1" ht="49.5" customHeight="1">
      <c r="A613" s="15">
        <v>2</v>
      </c>
      <c r="B613" s="16" t="s">
        <v>705</v>
      </c>
      <c r="C613" s="36" t="s">
        <v>508</v>
      </c>
      <c r="D613" s="24">
        <v>2686300000</v>
      </c>
      <c r="E613" s="24">
        <f t="shared" ref="E613:E619" si="104">ROUND(((100%+$H$612)*D613)*(100%+$H$613),-6)</f>
        <v>3224000000</v>
      </c>
      <c r="F613" s="37" t="str">
        <f t="shared" ref="F613:F619" si="105">LEFT(B613,8)&amp;"00"</f>
        <v>2130120300</v>
      </c>
      <c r="G613" s="112" t="s">
        <v>697</v>
      </c>
      <c r="H613" s="114">
        <v>0</v>
      </c>
      <c r="I613" s="81">
        <v>409</v>
      </c>
      <c r="J613"/>
      <c r="K613" s="125"/>
      <c r="L613"/>
      <c r="M613"/>
      <c r="N613"/>
    </row>
    <row r="614" spans="1:14" s="11" customFormat="1" ht="49.5" customHeight="1">
      <c r="A614" s="15">
        <v>3</v>
      </c>
      <c r="B614" s="16" t="s">
        <v>708</v>
      </c>
      <c r="C614" s="36" t="s">
        <v>509</v>
      </c>
      <c r="D614" s="24">
        <v>471600000</v>
      </c>
      <c r="E614" s="24">
        <f t="shared" si="104"/>
        <v>566000000</v>
      </c>
      <c r="F614" s="37" t="str">
        <f t="shared" si="105"/>
        <v>2130120600</v>
      </c>
      <c r="G614" s="115"/>
      <c r="H614" s="115"/>
      <c r="I614" s="81">
        <v>410</v>
      </c>
      <c r="J614"/>
      <c r="K614" s="125"/>
      <c r="L614"/>
      <c r="M614"/>
      <c r="N614"/>
    </row>
    <row r="615" spans="1:14" s="11" customFormat="1" ht="49.5" customHeight="1">
      <c r="A615" s="15">
        <v>4</v>
      </c>
      <c r="B615" s="16" t="s">
        <v>709</v>
      </c>
      <c r="C615" s="36" t="s">
        <v>510</v>
      </c>
      <c r="D615" s="24">
        <v>333600000</v>
      </c>
      <c r="E615" s="24">
        <f t="shared" si="104"/>
        <v>400000000</v>
      </c>
      <c r="F615" s="37" t="str">
        <f t="shared" si="105"/>
        <v>2130120800</v>
      </c>
      <c r="G615" s="115"/>
      <c r="H615" s="115"/>
      <c r="I615" s="81">
        <v>411</v>
      </c>
      <c r="J615"/>
      <c r="K615" s="125"/>
      <c r="L615"/>
      <c r="M615"/>
      <c r="N615"/>
    </row>
    <row r="616" spans="1:14" s="11" customFormat="1" ht="49.5" customHeight="1">
      <c r="A616" s="15">
        <v>5</v>
      </c>
      <c r="B616" s="16" t="s">
        <v>706</v>
      </c>
      <c r="C616" s="36" t="s">
        <v>511</v>
      </c>
      <c r="D616" s="24">
        <v>873600000</v>
      </c>
      <c r="E616" s="24">
        <f t="shared" si="104"/>
        <v>1048000000</v>
      </c>
      <c r="F616" s="37" t="str">
        <f t="shared" si="105"/>
        <v>2130120400</v>
      </c>
      <c r="G616" s="115"/>
      <c r="H616" s="115"/>
      <c r="I616" s="81">
        <v>412</v>
      </c>
      <c r="J616"/>
      <c r="K616" s="125"/>
      <c r="L616"/>
      <c r="M616"/>
      <c r="N616"/>
    </row>
    <row r="617" spans="1:14" s="11" customFormat="1" ht="49.5" customHeight="1">
      <c r="A617" s="15">
        <v>6</v>
      </c>
      <c r="B617" s="16" t="s">
        <v>707</v>
      </c>
      <c r="C617" s="36" t="s">
        <v>512</v>
      </c>
      <c r="D617" s="24">
        <v>2003000000</v>
      </c>
      <c r="E617" s="24">
        <f t="shared" si="104"/>
        <v>2404000000</v>
      </c>
      <c r="F617" s="37" t="str">
        <f t="shared" si="105"/>
        <v>2130120500</v>
      </c>
      <c r="G617" s="115"/>
      <c r="H617" s="115"/>
      <c r="I617" s="81">
        <v>413</v>
      </c>
      <c r="J617"/>
      <c r="K617" s="125"/>
      <c r="L617"/>
      <c r="M617"/>
      <c r="N617"/>
    </row>
    <row r="618" spans="1:14" s="11" customFormat="1" ht="49.5" customHeight="1">
      <c r="A618" s="15">
        <v>7</v>
      </c>
      <c r="B618" s="16" t="s">
        <v>710</v>
      </c>
      <c r="C618" s="36" t="s">
        <v>513</v>
      </c>
      <c r="D618" s="24">
        <v>0</v>
      </c>
      <c r="E618" s="24">
        <f t="shared" si="104"/>
        <v>0</v>
      </c>
      <c r="F618" s="37" t="str">
        <f t="shared" si="105"/>
        <v>2130120900</v>
      </c>
      <c r="G618" s="115"/>
      <c r="H618" s="115"/>
      <c r="I618" s="81">
        <v>414</v>
      </c>
      <c r="J618"/>
      <c r="K618" s="125"/>
      <c r="L618"/>
      <c r="M618"/>
      <c r="N618"/>
    </row>
    <row r="619" spans="1:14" s="11" customFormat="1" ht="49.5" customHeight="1">
      <c r="A619" s="15">
        <v>8</v>
      </c>
      <c r="B619" s="16" t="s">
        <v>506</v>
      </c>
      <c r="C619" s="36" t="s">
        <v>514</v>
      </c>
      <c r="D619" s="24">
        <v>300500000</v>
      </c>
      <c r="E619" s="24">
        <f t="shared" si="104"/>
        <v>361000000</v>
      </c>
      <c r="F619" s="37" t="str">
        <f t="shared" si="105"/>
        <v>2130122700</v>
      </c>
      <c r="G619" s="115"/>
      <c r="H619" s="115"/>
      <c r="I619" s="81">
        <v>415</v>
      </c>
      <c r="J619"/>
      <c r="K619" s="125"/>
      <c r="L619"/>
      <c r="M619"/>
      <c r="N619"/>
    </row>
    <row r="620" spans="1:14" s="11" customFormat="1" ht="49.5" customHeight="1">
      <c r="A620" s="15">
        <v>9</v>
      </c>
      <c r="B620" s="16" t="s">
        <v>261</v>
      </c>
      <c r="C620" s="36" t="s">
        <v>515</v>
      </c>
      <c r="D620" s="24"/>
      <c r="E620" s="24"/>
      <c r="F620" s="37"/>
      <c r="G620" s="115"/>
      <c r="H620" s="115"/>
      <c r="I620"/>
      <c r="J620"/>
      <c r="K620" s="125"/>
      <c r="L620"/>
      <c r="M620"/>
      <c r="N620"/>
    </row>
    <row r="621" spans="1:14" s="11" customFormat="1" ht="49.5" customHeight="1">
      <c r="A621" s="22" t="s">
        <v>1614</v>
      </c>
      <c r="B621" s="22"/>
      <c r="C621" s="39"/>
      <c r="D621" s="27"/>
      <c r="E621" s="45"/>
      <c r="F621" s="43"/>
      <c r="G621" s="115"/>
      <c r="H621" s="115"/>
      <c r="I621"/>
      <c r="J621"/>
      <c r="K621" s="125"/>
      <c r="L621"/>
      <c r="M621"/>
      <c r="N621"/>
    </row>
    <row r="622" spans="1:14" s="11" customFormat="1" ht="49.5" customHeight="1">
      <c r="A622" s="13" t="s">
        <v>0</v>
      </c>
      <c r="B622" s="14" t="s">
        <v>1</v>
      </c>
      <c r="C622" s="34" t="s">
        <v>2</v>
      </c>
      <c r="D622" s="23" t="s">
        <v>746</v>
      </c>
      <c r="E622" s="23" t="s">
        <v>464</v>
      </c>
      <c r="F622" s="43"/>
      <c r="G622" s="115"/>
      <c r="H622" s="115"/>
      <c r="I622"/>
      <c r="J622"/>
      <c r="K622" s="125"/>
      <c r="L622"/>
      <c r="M622"/>
      <c r="N622"/>
    </row>
    <row r="623" spans="1:14" s="11" customFormat="1" ht="49.5" customHeight="1">
      <c r="A623" s="15"/>
      <c r="B623" s="16">
        <v>2130132300</v>
      </c>
      <c r="C623" s="36" t="s">
        <v>1615</v>
      </c>
      <c r="D623" s="24">
        <v>1396600000</v>
      </c>
      <c r="E623" s="24">
        <f>ROUND(((100%+$H$623)*D623)*(100%+$H$624),-6)</f>
        <v>1676000000</v>
      </c>
      <c r="F623" s="43"/>
      <c r="G623" s="112" t="s">
        <v>696</v>
      </c>
      <c r="H623" s="114">
        <v>0.2</v>
      </c>
      <c r="I623"/>
      <c r="J623"/>
      <c r="K623" s="125"/>
      <c r="L623"/>
      <c r="M623"/>
      <c r="N623"/>
    </row>
    <row r="624" spans="1:14" s="11" customFormat="1" ht="49.5" customHeight="1">
      <c r="A624" s="15"/>
      <c r="B624" s="16" t="s">
        <v>261</v>
      </c>
      <c r="C624" s="36" t="s">
        <v>1616</v>
      </c>
      <c r="D624" s="24" t="s">
        <v>483</v>
      </c>
      <c r="E624" s="24"/>
      <c r="F624" s="43"/>
      <c r="G624" s="112" t="s">
        <v>697</v>
      </c>
      <c r="H624" s="114">
        <v>0</v>
      </c>
      <c r="I624"/>
      <c r="J624"/>
      <c r="K624" s="125"/>
      <c r="L624"/>
      <c r="M624"/>
      <c r="N624"/>
    </row>
    <row r="625" spans="1:14" s="11" customFormat="1" ht="49.5" customHeight="1">
      <c r="A625" s="22"/>
      <c r="B625" s="22"/>
      <c r="C625" s="39"/>
      <c r="D625" s="27"/>
      <c r="E625" s="45"/>
      <c r="F625" s="46"/>
      <c r="G625" s="115"/>
      <c r="H625" s="115"/>
      <c r="I625"/>
      <c r="J625"/>
      <c r="K625" s="125"/>
      <c r="L625"/>
      <c r="M625"/>
      <c r="N625"/>
    </row>
    <row r="626" spans="1:14" s="11" customFormat="1" ht="49.5" customHeight="1">
      <c r="A626" s="13" t="s">
        <v>0</v>
      </c>
      <c r="B626" s="14" t="s">
        <v>1</v>
      </c>
      <c r="C626" s="34" t="s">
        <v>2</v>
      </c>
      <c r="D626" s="23" t="s">
        <v>746</v>
      </c>
      <c r="E626" s="23" t="s">
        <v>464</v>
      </c>
      <c r="F626" s="35" t="s">
        <v>716</v>
      </c>
      <c r="G626" s="115"/>
      <c r="H626" s="115"/>
      <c r="I626"/>
      <c r="J626"/>
      <c r="K626" s="125"/>
      <c r="L626"/>
      <c r="M626"/>
      <c r="N626"/>
    </row>
    <row r="627" spans="1:14" s="11" customFormat="1" ht="49.5" customHeight="1">
      <c r="A627" s="15">
        <v>1</v>
      </c>
      <c r="B627" s="16" t="s">
        <v>120</v>
      </c>
      <c r="C627" s="36" t="s">
        <v>121</v>
      </c>
      <c r="D627" s="24">
        <v>2002300000</v>
      </c>
      <c r="E627" s="24">
        <f>ROUND(((100%+$H$627)*D627)*(100%+$H$628),-6)</f>
        <v>2403000000</v>
      </c>
      <c r="F627" s="37" t="str">
        <f>LEFT(B627,8)&amp;"00"</f>
        <v>2130092400</v>
      </c>
      <c r="G627" s="112" t="s">
        <v>696</v>
      </c>
      <c r="H627" s="114">
        <v>0.2</v>
      </c>
      <c r="I627" s="81">
        <v>416</v>
      </c>
      <c r="J627"/>
      <c r="K627" s="125"/>
      <c r="L627"/>
      <c r="M627"/>
      <c r="N627"/>
    </row>
    <row r="628" spans="1:14" s="11" customFormat="1" ht="49.5" customHeight="1">
      <c r="A628" s="15">
        <f>A627+1</f>
        <v>2</v>
      </c>
      <c r="B628" s="16" t="s">
        <v>122</v>
      </c>
      <c r="C628" s="36" t="s">
        <v>1632</v>
      </c>
      <c r="D628" s="24">
        <v>1568600000</v>
      </c>
      <c r="E628" s="24">
        <f t="shared" ref="E628:E633" si="106">ROUND(((100%+$H$627)*D628)*(100%+$H$628),-6)</f>
        <v>1882000000</v>
      </c>
      <c r="F628" s="37" t="str">
        <f t="shared" ref="F628:F633" si="107">LEFT(B628,8)&amp;"00"</f>
        <v>2130090100</v>
      </c>
      <c r="G628" s="112" t="s">
        <v>697</v>
      </c>
      <c r="H628" s="114">
        <v>0</v>
      </c>
      <c r="I628" s="81">
        <v>417</v>
      </c>
      <c r="J628"/>
      <c r="K628" s="125"/>
      <c r="L628"/>
      <c r="M628"/>
      <c r="N628"/>
    </row>
    <row r="629" spans="1:14" s="11" customFormat="1" ht="49.5" customHeight="1">
      <c r="A629" s="15">
        <f>A628+1</f>
        <v>3</v>
      </c>
      <c r="B629" s="16" t="s">
        <v>125</v>
      </c>
      <c r="C629" s="36" t="s">
        <v>126</v>
      </c>
      <c r="D629" s="24">
        <v>300500000</v>
      </c>
      <c r="E629" s="24">
        <f t="shared" si="106"/>
        <v>361000000</v>
      </c>
      <c r="F629" s="37" t="str">
        <f t="shared" si="107"/>
        <v>2130090600</v>
      </c>
      <c r="G629" s="115"/>
      <c r="H629" s="115"/>
      <c r="I629" s="81">
        <v>418</v>
      </c>
      <c r="J629"/>
      <c r="K629" s="125"/>
      <c r="L629"/>
      <c r="M629"/>
      <c r="N629"/>
    </row>
    <row r="630" spans="1:14" s="11" customFormat="1" ht="49.5" customHeight="1">
      <c r="A630" s="15">
        <f t="shared" ref="A630:A634" si="108">A629+1</f>
        <v>4</v>
      </c>
      <c r="B630" s="16" t="s">
        <v>1633</v>
      </c>
      <c r="C630" s="36" t="s">
        <v>388</v>
      </c>
      <c r="D630" s="24">
        <v>110000000</v>
      </c>
      <c r="E630" s="24">
        <f t="shared" si="106"/>
        <v>132000000</v>
      </c>
      <c r="F630" s="37" t="str">
        <f t="shared" si="107"/>
        <v>2130090800</v>
      </c>
      <c r="G630" s="115"/>
      <c r="H630" s="115"/>
      <c r="I630" s="81">
        <v>419</v>
      </c>
      <c r="J630"/>
      <c r="K630" s="125"/>
      <c r="L630"/>
      <c r="M630"/>
      <c r="N630"/>
    </row>
    <row r="631" spans="1:14" s="11" customFormat="1" ht="49.5" customHeight="1">
      <c r="A631" s="15">
        <f t="shared" si="108"/>
        <v>5</v>
      </c>
      <c r="B631" s="16" t="s">
        <v>123</v>
      </c>
      <c r="C631" s="36" t="s">
        <v>124</v>
      </c>
      <c r="D631" s="24">
        <v>492700000</v>
      </c>
      <c r="E631" s="24">
        <f t="shared" si="106"/>
        <v>591000000</v>
      </c>
      <c r="F631" s="37" t="str">
        <f t="shared" si="107"/>
        <v>2130090400</v>
      </c>
      <c r="G631" s="115"/>
      <c r="H631" s="115"/>
      <c r="I631" s="81">
        <v>420</v>
      </c>
      <c r="J631"/>
      <c r="K631" s="125"/>
      <c r="L631"/>
      <c r="M631"/>
      <c r="N631"/>
    </row>
    <row r="632" spans="1:14" s="11" customFormat="1" ht="49.5" customHeight="1">
      <c r="A632" s="15">
        <f t="shared" si="108"/>
        <v>6</v>
      </c>
      <c r="B632" s="16" t="s">
        <v>1634</v>
      </c>
      <c r="C632" s="36" t="s">
        <v>387</v>
      </c>
      <c r="D632" s="24">
        <v>1547300000</v>
      </c>
      <c r="E632" s="24">
        <f t="shared" si="106"/>
        <v>1857000000</v>
      </c>
      <c r="F632" s="37" t="str">
        <f t="shared" si="107"/>
        <v>2130090500</v>
      </c>
      <c r="G632" s="115"/>
      <c r="H632" s="115"/>
      <c r="I632" s="81">
        <v>421</v>
      </c>
      <c r="J632"/>
      <c r="K632" s="125"/>
      <c r="L632"/>
      <c r="M632"/>
      <c r="N632"/>
    </row>
    <row r="633" spans="1:14" s="11" customFormat="1" ht="49.5" customHeight="1">
      <c r="A633" s="15">
        <f t="shared" si="108"/>
        <v>7</v>
      </c>
      <c r="B633" s="16" t="s">
        <v>1635</v>
      </c>
      <c r="C633" s="36" t="s">
        <v>389</v>
      </c>
      <c r="D633" s="24">
        <v>201500000</v>
      </c>
      <c r="E633" s="24">
        <f t="shared" si="106"/>
        <v>242000000</v>
      </c>
      <c r="F633" s="37" t="str">
        <f t="shared" si="107"/>
        <v>2130090900</v>
      </c>
      <c r="G633" s="115"/>
      <c r="H633" s="115"/>
      <c r="I633" s="81">
        <v>422</v>
      </c>
      <c r="J633"/>
      <c r="K633" s="125"/>
      <c r="L633"/>
      <c r="M633"/>
      <c r="N633"/>
    </row>
    <row r="634" spans="1:14" s="11" customFormat="1" ht="49.5" customHeight="1">
      <c r="A634" s="15">
        <f t="shared" si="108"/>
        <v>8</v>
      </c>
      <c r="B634" s="16" t="s">
        <v>261</v>
      </c>
      <c r="C634" s="44" t="s">
        <v>382</v>
      </c>
      <c r="D634" s="24" t="s">
        <v>383</v>
      </c>
      <c r="E634" s="24"/>
      <c r="F634" s="38"/>
      <c r="G634" s="115"/>
      <c r="H634" s="115"/>
      <c r="I634" s="81">
        <v>423</v>
      </c>
      <c r="J634"/>
      <c r="K634" s="125"/>
      <c r="L634"/>
      <c r="M634"/>
      <c r="N634"/>
    </row>
    <row r="635" spans="1:14" s="11" customFormat="1" ht="49.5" customHeight="1">
      <c r="A635" s="253" t="s">
        <v>117</v>
      </c>
      <c r="B635" s="253"/>
      <c r="C635" s="253"/>
      <c r="D635" s="253"/>
      <c r="E635" s="31"/>
      <c r="F635" s="32"/>
      <c r="G635" s="115"/>
      <c r="H635" s="115"/>
      <c r="I635"/>
      <c r="J635"/>
      <c r="K635" s="125"/>
      <c r="L635"/>
      <c r="M635"/>
      <c r="N635"/>
    </row>
    <row r="636" spans="1:14" s="11" customFormat="1" ht="49.5" customHeight="1">
      <c r="A636" s="13" t="s">
        <v>0</v>
      </c>
      <c r="B636" s="14" t="s">
        <v>1</v>
      </c>
      <c r="C636" s="34" t="s">
        <v>2</v>
      </c>
      <c r="D636" s="23" t="s">
        <v>746</v>
      </c>
      <c r="E636" s="23" t="s">
        <v>464</v>
      </c>
      <c r="F636" s="35" t="s">
        <v>716</v>
      </c>
      <c r="G636" s="115"/>
      <c r="H636" s="115"/>
      <c r="I636"/>
      <c r="J636"/>
      <c r="K636" s="125"/>
      <c r="L636"/>
      <c r="M636"/>
      <c r="N636"/>
    </row>
    <row r="637" spans="1:14" s="11" customFormat="1" ht="49.5" customHeight="1">
      <c r="A637" s="15">
        <v>1</v>
      </c>
      <c r="B637" s="16" t="s">
        <v>250</v>
      </c>
      <c r="C637" s="36" t="s">
        <v>118</v>
      </c>
      <c r="D637" s="24">
        <v>833800000</v>
      </c>
      <c r="E637" s="24">
        <f>ROUND(((100%+$H$637)*D637)*(100%+$H$638),-6)</f>
        <v>1001000000</v>
      </c>
      <c r="F637" s="37" t="str">
        <f>LEFT(B637,8)&amp;"00"</f>
        <v>2140060100</v>
      </c>
      <c r="G637" s="112" t="s">
        <v>696</v>
      </c>
      <c r="H637" s="114">
        <v>0.2</v>
      </c>
      <c r="I637" s="81">
        <v>424</v>
      </c>
      <c r="J637"/>
      <c r="K637" s="125"/>
      <c r="L637"/>
      <c r="M637"/>
      <c r="N637"/>
    </row>
    <row r="638" spans="1:14" s="11" customFormat="1" ht="49.5" customHeight="1">
      <c r="A638" s="15">
        <f>A637+1</f>
        <v>2</v>
      </c>
      <c r="B638" s="16" t="s">
        <v>83</v>
      </c>
      <c r="C638" s="36" t="s">
        <v>84</v>
      </c>
      <c r="D638" s="24">
        <v>1253400000</v>
      </c>
      <c r="E638" s="24">
        <f t="shared" ref="E638:E646" si="109">ROUND(((100%+$H$637)*D638)*(100%+$H$638),-6)</f>
        <v>1504000000</v>
      </c>
      <c r="F638" s="37" t="str">
        <f t="shared" ref="F638:F645" si="110">LEFT(B638,8)&amp;"00"</f>
        <v>2140010200</v>
      </c>
      <c r="G638" s="112" t="s">
        <v>697</v>
      </c>
      <c r="H638" s="114">
        <v>0</v>
      </c>
      <c r="I638" s="81">
        <v>425</v>
      </c>
      <c r="J638"/>
      <c r="K638" s="125"/>
      <c r="L638"/>
      <c r="M638"/>
      <c r="N638"/>
    </row>
    <row r="639" spans="1:14" s="11" customFormat="1" ht="49.5" customHeight="1">
      <c r="A639" s="15"/>
      <c r="B639" s="16">
        <v>2140020200</v>
      </c>
      <c r="C639" s="36" t="s">
        <v>1085</v>
      </c>
      <c r="D639" s="24">
        <v>1286800000</v>
      </c>
      <c r="E639" s="24">
        <f t="shared" si="109"/>
        <v>1544000000</v>
      </c>
      <c r="F639" s="37"/>
      <c r="G639" s="115"/>
      <c r="H639" s="116"/>
      <c r="I639" s="81">
        <v>426</v>
      </c>
      <c r="J639"/>
      <c r="K639" s="125"/>
      <c r="L639"/>
      <c r="M639"/>
      <c r="N639"/>
    </row>
    <row r="640" spans="1:14" s="11" customFormat="1" ht="49.5" customHeight="1">
      <c r="A640" s="15">
        <f>A638+1</f>
        <v>3</v>
      </c>
      <c r="B640" s="16" t="s">
        <v>712</v>
      </c>
      <c r="C640" s="36" t="s">
        <v>390</v>
      </c>
      <c r="D640" s="24">
        <v>735600000</v>
      </c>
      <c r="E640" s="24">
        <f t="shared" si="109"/>
        <v>883000000</v>
      </c>
      <c r="F640" s="37" t="str">
        <f t="shared" si="110"/>
        <v>2140040400</v>
      </c>
      <c r="G640" s="115"/>
      <c r="H640" s="115"/>
      <c r="I640" s="81">
        <v>427</v>
      </c>
      <c r="J640"/>
      <c r="K640" s="125"/>
      <c r="L640"/>
      <c r="M640"/>
      <c r="N640"/>
    </row>
    <row r="641" spans="1:14" s="11" customFormat="1" ht="49.5" customHeight="1">
      <c r="A641" s="15">
        <f t="shared" ref="A641:A645" si="111">A640+1</f>
        <v>4</v>
      </c>
      <c r="B641" s="16" t="s">
        <v>713</v>
      </c>
      <c r="C641" s="36" t="s">
        <v>391</v>
      </c>
      <c r="D641" s="24">
        <v>647300000</v>
      </c>
      <c r="E641" s="24">
        <f t="shared" si="109"/>
        <v>777000000</v>
      </c>
      <c r="F641" s="37" t="str">
        <f t="shared" si="110"/>
        <v>2140040200</v>
      </c>
      <c r="G641" s="115"/>
      <c r="H641" s="115"/>
      <c r="I641" s="81">
        <v>428</v>
      </c>
      <c r="J641"/>
      <c r="K641" s="125"/>
      <c r="L641"/>
      <c r="M641"/>
      <c r="N641"/>
    </row>
    <row r="642" spans="1:14" s="11" customFormat="1" ht="49.5" customHeight="1">
      <c r="A642" s="15">
        <f t="shared" si="111"/>
        <v>5</v>
      </c>
      <c r="B642" s="16" t="s">
        <v>395</v>
      </c>
      <c r="C642" s="36" t="s">
        <v>392</v>
      </c>
      <c r="D642" s="24">
        <v>660400000</v>
      </c>
      <c r="E642" s="24">
        <f t="shared" si="109"/>
        <v>792000000</v>
      </c>
      <c r="F642" s="37" t="str">
        <f t="shared" si="110"/>
        <v>2140040100</v>
      </c>
      <c r="G642" s="115"/>
      <c r="H642" s="115"/>
      <c r="I642" s="81">
        <v>429</v>
      </c>
      <c r="J642"/>
      <c r="K642" s="125"/>
      <c r="L642"/>
      <c r="M642"/>
      <c r="N642"/>
    </row>
    <row r="643" spans="1:14" s="11" customFormat="1" ht="49.5" customHeight="1">
      <c r="A643" s="15">
        <f t="shared" si="111"/>
        <v>6</v>
      </c>
      <c r="B643" s="16" t="s">
        <v>394</v>
      </c>
      <c r="C643" s="36" t="s">
        <v>393</v>
      </c>
      <c r="D643" s="24">
        <v>587400000</v>
      </c>
      <c r="E643" s="24">
        <f t="shared" si="109"/>
        <v>705000000</v>
      </c>
      <c r="F643" s="37" t="str">
        <f t="shared" si="110"/>
        <v>2140040100</v>
      </c>
      <c r="G643" s="115"/>
      <c r="H643" s="115"/>
      <c r="I643" s="81">
        <v>430</v>
      </c>
      <c r="J643"/>
      <c r="K643" s="125"/>
      <c r="L643"/>
      <c r="M643"/>
      <c r="N643"/>
    </row>
    <row r="644" spans="1:14" s="11" customFormat="1" ht="49.5" customHeight="1">
      <c r="A644" s="15">
        <f t="shared" si="111"/>
        <v>7</v>
      </c>
      <c r="B644" s="16">
        <v>2140010100</v>
      </c>
      <c r="C644" s="36" t="s">
        <v>465</v>
      </c>
      <c r="D644" s="24">
        <v>1155600000</v>
      </c>
      <c r="E644" s="24">
        <f t="shared" si="109"/>
        <v>1387000000</v>
      </c>
      <c r="F644" s="37" t="str">
        <f t="shared" si="110"/>
        <v>2140010100</v>
      </c>
      <c r="G644" s="115"/>
      <c r="H644" s="115"/>
      <c r="I644" s="81">
        <v>431</v>
      </c>
      <c r="J644"/>
      <c r="K644" s="125"/>
      <c r="L644"/>
      <c r="M644"/>
      <c r="N644"/>
    </row>
    <row r="645" spans="1:14" s="11" customFormat="1" ht="49.5" customHeight="1">
      <c r="A645" s="15">
        <f t="shared" si="111"/>
        <v>8</v>
      </c>
      <c r="B645" s="16">
        <v>2140030200</v>
      </c>
      <c r="C645" s="36" t="s">
        <v>466</v>
      </c>
      <c r="D645" s="24">
        <v>917200000</v>
      </c>
      <c r="E645" s="24">
        <f t="shared" si="109"/>
        <v>1101000000</v>
      </c>
      <c r="F645" s="37" t="str">
        <f t="shared" si="110"/>
        <v>2140030200</v>
      </c>
      <c r="G645" s="115"/>
      <c r="H645" s="115"/>
      <c r="I645" s="81">
        <v>432</v>
      </c>
      <c r="J645"/>
      <c r="K645" s="125"/>
      <c r="L645"/>
      <c r="M645"/>
      <c r="N645"/>
    </row>
    <row r="646" spans="1:14" s="11" customFormat="1" ht="49.5" customHeight="1">
      <c r="A646" s="15"/>
      <c r="B646" s="16">
        <v>2140070100</v>
      </c>
      <c r="C646" s="36" t="s">
        <v>1617</v>
      </c>
      <c r="D646" s="24">
        <v>1180600000</v>
      </c>
      <c r="E646" s="24">
        <f t="shared" si="109"/>
        <v>1417000000</v>
      </c>
      <c r="F646" s="43"/>
      <c r="G646" s="115"/>
      <c r="H646" s="115"/>
      <c r="I646" s="81"/>
      <c r="J646"/>
      <c r="K646" s="125"/>
      <c r="L646"/>
      <c r="M646"/>
      <c r="N646"/>
    </row>
    <row r="647" spans="1:14" s="11" customFormat="1" ht="49.5" customHeight="1">
      <c r="A647" s="253" t="s">
        <v>85</v>
      </c>
      <c r="B647" s="253"/>
      <c r="C647" s="253"/>
      <c r="D647" s="253"/>
      <c r="E647" s="31"/>
      <c r="F647" s="32"/>
      <c r="G647" s="115"/>
      <c r="H647" s="115"/>
      <c r="I647"/>
      <c r="J647"/>
      <c r="K647" s="125"/>
      <c r="L647"/>
      <c r="M647"/>
      <c r="N647"/>
    </row>
    <row r="648" spans="1:14" s="11" customFormat="1" ht="49.5" customHeight="1">
      <c r="A648" s="13" t="s">
        <v>0</v>
      </c>
      <c r="B648" s="14" t="s">
        <v>1</v>
      </c>
      <c r="C648" s="34" t="s">
        <v>2</v>
      </c>
      <c r="D648" s="23" t="s">
        <v>746</v>
      </c>
      <c r="E648" s="23" t="s">
        <v>464</v>
      </c>
      <c r="F648" s="35" t="s">
        <v>716</v>
      </c>
      <c r="G648" s="115"/>
      <c r="H648" s="115"/>
      <c r="I648"/>
      <c r="J648"/>
      <c r="K648" s="125"/>
      <c r="L648"/>
      <c r="M648"/>
      <c r="N648"/>
    </row>
    <row r="649" spans="1:14" s="11" customFormat="1" ht="49.5" customHeight="1">
      <c r="A649" s="15">
        <v>1</v>
      </c>
      <c r="B649" s="16" t="s">
        <v>412</v>
      </c>
      <c r="C649" s="36" t="s">
        <v>115</v>
      </c>
      <c r="D649" s="24">
        <v>1181600000</v>
      </c>
      <c r="E649" s="24">
        <f>ROUND(((100%+$H$649)*D649)*(100%+$H$650),-6)</f>
        <v>1418000000</v>
      </c>
      <c r="F649" s="37" t="str">
        <f>LEFT(B649,8)&amp;"00"</f>
        <v>2150031300</v>
      </c>
      <c r="G649" s="112" t="s">
        <v>696</v>
      </c>
      <c r="H649" s="114">
        <v>0.2</v>
      </c>
      <c r="I649" s="81">
        <v>433</v>
      </c>
      <c r="J649"/>
      <c r="K649" s="125"/>
      <c r="L649"/>
      <c r="M649"/>
      <c r="N649"/>
    </row>
    <row r="650" spans="1:14" s="11" customFormat="1" ht="49.5" customHeight="1">
      <c r="A650" s="15">
        <f>A649+1</f>
        <v>2</v>
      </c>
      <c r="B650" s="16" t="s">
        <v>413</v>
      </c>
      <c r="C650" s="36" t="s">
        <v>116</v>
      </c>
      <c r="D650" s="24">
        <v>288000000</v>
      </c>
      <c r="E650" s="24">
        <f>ROUND(((100%+$H$649)*D650)*(100%+$H$650),-6)</f>
        <v>346000000</v>
      </c>
      <c r="F650" s="37" t="str">
        <f t="shared" ref="F650:F668" si="112">LEFT(B650,8)&amp;"00"</f>
        <v>2150031400</v>
      </c>
      <c r="G650" s="112" t="s">
        <v>697</v>
      </c>
      <c r="H650" s="114">
        <v>0</v>
      </c>
      <c r="I650" s="81">
        <v>434</v>
      </c>
      <c r="J650"/>
      <c r="K650" s="125"/>
      <c r="L650"/>
      <c r="M650"/>
      <c r="N650"/>
    </row>
    <row r="651" spans="1:14" s="11" customFormat="1" ht="49.5" customHeight="1">
      <c r="A651" s="15">
        <f t="shared" ref="A651:A668" si="113">A650+1</f>
        <v>3</v>
      </c>
      <c r="B651" s="16" t="s">
        <v>86</v>
      </c>
      <c r="C651" s="36" t="s">
        <v>87</v>
      </c>
      <c r="D651" s="24">
        <v>1556900000</v>
      </c>
      <c r="E651" s="24">
        <f>E652+E653</f>
        <v>1869000000</v>
      </c>
      <c r="F651" s="37"/>
      <c r="G651" s="115"/>
      <c r="H651" s="115"/>
      <c r="I651" s="81">
        <v>435</v>
      </c>
      <c r="J651"/>
      <c r="K651" s="125"/>
      <c r="L651"/>
      <c r="M651"/>
      <c r="N651"/>
    </row>
    <row r="652" spans="1:14" s="11" customFormat="1" ht="49.5" customHeight="1">
      <c r="A652" s="15">
        <f t="shared" si="113"/>
        <v>4</v>
      </c>
      <c r="B652" s="16" t="s">
        <v>86</v>
      </c>
      <c r="C652" s="36" t="s">
        <v>94</v>
      </c>
      <c r="D652" s="24">
        <v>1238900000</v>
      </c>
      <c r="E652" s="24">
        <f>ROUND(((100%+$H$649)*D652)*(100%+$H$650),-6)</f>
        <v>1487000000</v>
      </c>
      <c r="F652" s="37" t="str">
        <f t="shared" si="112"/>
        <v>2150010200</v>
      </c>
      <c r="G652" s="115"/>
      <c r="H652" s="115"/>
      <c r="I652" s="81">
        <v>436</v>
      </c>
      <c r="J652"/>
      <c r="K652" s="125"/>
      <c r="L652"/>
      <c r="M652"/>
      <c r="N652"/>
    </row>
    <row r="653" spans="1:14" s="11" customFormat="1" ht="49.5" customHeight="1">
      <c r="A653" s="15">
        <f t="shared" si="113"/>
        <v>5</v>
      </c>
      <c r="B653" s="16" t="s">
        <v>88</v>
      </c>
      <c r="C653" s="36" t="s">
        <v>89</v>
      </c>
      <c r="D653" s="24">
        <v>318000000</v>
      </c>
      <c r="E653" s="24">
        <f>ROUND(((100%+$H$649)*D653)*(100%+$H$650),-6)</f>
        <v>382000000</v>
      </c>
      <c r="F653" s="37" t="str">
        <f t="shared" si="112"/>
        <v>2150010400</v>
      </c>
      <c r="G653" s="115"/>
      <c r="H653" s="115"/>
      <c r="I653" s="81">
        <v>437</v>
      </c>
      <c r="J653"/>
      <c r="K653" s="125"/>
      <c r="L653"/>
      <c r="M653"/>
      <c r="N653"/>
    </row>
    <row r="654" spans="1:14" s="11" customFormat="1" ht="49.5" customHeight="1">
      <c r="A654" s="15">
        <f t="shared" si="113"/>
        <v>6</v>
      </c>
      <c r="B654" s="16" t="s">
        <v>90</v>
      </c>
      <c r="C654" s="36" t="s">
        <v>91</v>
      </c>
      <c r="D654" s="24">
        <v>1110500000</v>
      </c>
      <c r="E654" s="24">
        <f>E655+E656</f>
        <v>1332000000</v>
      </c>
      <c r="F654" s="37"/>
      <c r="G654" s="115"/>
      <c r="H654" s="115"/>
      <c r="I654" s="81">
        <v>438</v>
      </c>
      <c r="J654"/>
      <c r="K654" s="125"/>
      <c r="L654"/>
      <c r="M654"/>
      <c r="N654"/>
    </row>
    <row r="655" spans="1:14" s="11" customFormat="1" ht="49.5" customHeight="1">
      <c r="A655" s="15">
        <f t="shared" si="113"/>
        <v>7</v>
      </c>
      <c r="B655" s="16" t="s">
        <v>90</v>
      </c>
      <c r="C655" s="36" t="s">
        <v>95</v>
      </c>
      <c r="D655" s="24">
        <v>854400000</v>
      </c>
      <c r="E655" s="24">
        <f>ROUND(((100%+$H$649)*D655)*(100%+$H$650),-6)</f>
        <v>1025000000</v>
      </c>
      <c r="F655" s="37" t="str">
        <f t="shared" si="112"/>
        <v>2150010100</v>
      </c>
      <c r="G655" s="115"/>
      <c r="H655" s="115"/>
      <c r="I655" s="81">
        <v>439</v>
      </c>
      <c r="J655"/>
      <c r="K655" s="125"/>
      <c r="L655"/>
      <c r="M655"/>
      <c r="N655"/>
    </row>
    <row r="656" spans="1:14" s="11" customFormat="1" ht="49.5" customHeight="1">
      <c r="A656" s="15">
        <f t="shared" si="113"/>
        <v>8</v>
      </c>
      <c r="B656" s="16" t="s">
        <v>92</v>
      </c>
      <c r="C656" s="36" t="s">
        <v>93</v>
      </c>
      <c r="D656" s="24">
        <v>256100000</v>
      </c>
      <c r="E656" s="24">
        <f>ROUND(((100%+$H$649)*D656)*(100%+$H$650),-6)</f>
        <v>307000000</v>
      </c>
      <c r="F656" s="37" t="str">
        <f t="shared" si="112"/>
        <v>2150010300</v>
      </c>
      <c r="G656" s="115"/>
      <c r="H656" s="115"/>
      <c r="I656" s="81">
        <v>440</v>
      </c>
      <c r="J656"/>
      <c r="K656" s="125"/>
      <c r="L656"/>
      <c r="M656"/>
      <c r="N656"/>
    </row>
    <row r="657" spans="1:14" s="11" customFormat="1" ht="49.5" customHeight="1">
      <c r="A657" s="15">
        <f t="shared" si="113"/>
        <v>9</v>
      </c>
      <c r="B657" s="16" t="s">
        <v>414</v>
      </c>
      <c r="C657" s="36" t="s">
        <v>399</v>
      </c>
      <c r="D657" s="24">
        <v>2599300000</v>
      </c>
      <c r="E657" s="24">
        <f>E658+E659</f>
        <v>3119000000</v>
      </c>
      <c r="F657" s="37"/>
      <c r="G657" s="115"/>
      <c r="H657" s="115"/>
      <c r="I657" s="81">
        <v>441</v>
      </c>
      <c r="J657"/>
      <c r="K657" s="125"/>
      <c r="L657"/>
      <c r="M657"/>
      <c r="N657"/>
    </row>
    <row r="658" spans="1:14" s="11" customFormat="1" ht="49.5" customHeight="1">
      <c r="A658" s="15">
        <f t="shared" si="113"/>
        <v>10</v>
      </c>
      <c r="B658" s="16" t="s">
        <v>414</v>
      </c>
      <c r="C658" s="36" t="s">
        <v>398</v>
      </c>
      <c r="D658" s="24">
        <v>1931900000</v>
      </c>
      <c r="E658" s="24">
        <f>ROUND(((100%+$H$649)*D658)*(100%+$H$650),-6)</f>
        <v>2318000000</v>
      </c>
      <c r="F658" s="37" t="str">
        <f t="shared" si="112"/>
        <v>2150040200</v>
      </c>
      <c r="G658" s="115"/>
      <c r="H658" s="115"/>
      <c r="I658" s="81">
        <v>442</v>
      </c>
      <c r="J658"/>
      <c r="K658" s="125"/>
      <c r="L658"/>
      <c r="M658"/>
      <c r="N658"/>
    </row>
    <row r="659" spans="1:14" s="11" customFormat="1" ht="49.5" customHeight="1">
      <c r="A659" s="15">
        <f t="shared" si="113"/>
        <v>11</v>
      </c>
      <c r="B659" s="16" t="s">
        <v>415</v>
      </c>
      <c r="C659" s="36" t="s">
        <v>400</v>
      </c>
      <c r="D659" s="24">
        <v>667400000</v>
      </c>
      <c r="E659" s="24">
        <f>ROUND(((100%+$H$649)*D659)*(100%+$H$650),-6)</f>
        <v>801000000</v>
      </c>
      <c r="F659" s="37" t="str">
        <f t="shared" si="112"/>
        <v>2150040400</v>
      </c>
      <c r="G659" s="115"/>
      <c r="H659" s="115"/>
      <c r="I659" s="81">
        <v>443</v>
      </c>
      <c r="J659"/>
      <c r="K659" s="125"/>
      <c r="L659"/>
      <c r="M659"/>
      <c r="N659"/>
    </row>
    <row r="660" spans="1:14" s="11" customFormat="1" ht="49.5" customHeight="1">
      <c r="A660" s="15">
        <f t="shared" si="113"/>
        <v>12</v>
      </c>
      <c r="B660" s="16" t="s">
        <v>416</v>
      </c>
      <c r="C660" s="36" t="s">
        <v>401</v>
      </c>
      <c r="D660" s="24">
        <v>2225100000</v>
      </c>
      <c r="E660" s="24">
        <f>E661+E662</f>
        <v>2670000000</v>
      </c>
      <c r="F660" s="37"/>
      <c r="G660" s="115"/>
      <c r="H660" s="115"/>
      <c r="I660" s="81">
        <v>444</v>
      </c>
      <c r="J660"/>
      <c r="K660" s="125"/>
      <c r="L660"/>
      <c r="M660"/>
      <c r="N660"/>
    </row>
    <row r="661" spans="1:14" s="11" customFormat="1" ht="49.5" customHeight="1">
      <c r="A661" s="15">
        <f t="shared" si="113"/>
        <v>13</v>
      </c>
      <c r="B661" s="16" t="s">
        <v>416</v>
      </c>
      <c r="C661" s="36" t="s">
        <v>402</v>
      </c>
      <c r="D661" s="24">
        <v>1682800000</v>
      </c>
      <c r="E661" s="24">
        <f>ROUND(((100%+$H$649)*D661)*(100%+$H$650),-6)</f>
        <v>2019000000</v>
      </c>
      <c r="F661" s="37" t="str">
        <f t="shared" si="112"/>
        <v>2150040100</v>
      </c>
      <c r="G661" s="115"/>
      <c r="H661" s="115"/>
      <c r="I661" s="81">
        <v>445</v>
      </c>
      <c r="J661"/>
      <c r="K661" s="125"/>
      <c r="L661"/>
      <c r="M661"/>
      <c r="N661"/>
    </row>
    <row r="662" spans="1:14" s="11" customFormat="1" ht="49.5" customHeight="1">
      <c r="A662" s="15">
        <f t="shared" si="113"/>
        <v>14</v>
      </c>
      <c r="B662" s="16" t="s">
        <v>417</v>
      </c>
      <c r="C662" s="36" t="s">
        <v>403</v>
      </c>
      <c r="D662" s="24">
        <v>542300000</v>
      </c>
      <c r="E662" s="24">
        <f>ROUND(((100%+$H$649)*D662)*(100%+$H$650),-6)</f>
        <v>651000000</v>
      </c>
      <c r="F662" s="37" t="str">
        <f t="shared" si="112"/>
        <v>2150040300</v>
      </c>
      <c r="G662" s="115"/>
      <c r="H662" s="115"/>
      <c r="I662" s="81">
        <v>446</v>
      </c>
      <c r="J662"/>
      <c r="K662" s="125"/>
      <c r="L662"/>
      <c r="M662"/>
      <c r="N662"/>
    </row>
    <row r="663" spans="1:14" s="11" customFormat="1" ht="49.5" customHeight="1">
      <c r="A663" s="15">
        <f t="shared" si="113"/>
        <v>15</v>
      </c>
      <c r="B663" s="16" t="s">
        <v>715</v>
      </c>
      <c r="C663" s="36" t="s">
        <v>404</v>
      </c>
      <c r="D663" s="24">
        <v>2877600000</v>
      </c>
      <c r="E663" s="24">
        <f>E664+E665</f>
        <v>3453000000</v>
      </c>
      <c r="F663" s="37"/>
      <c r="G663" s="115"/>
      <c r="H663" s="115"/>
      <c r="I663" s="81">
        <v>447</v>
      </c>
      <c r="J663"/>
      <c r="K663" s="125"/>
      <c r="L663"/>
      <c r="M663"/>
      <c r="N663"/>
    </row>
    <row r="664" spans="1:14" s="11" customFormat="1" ht="49.5" customHeight="1">
      <c r="A664" s="15">
        <f t="shared" si="113"/>
        <v>16</v>
      </c>
      <c r="B664" s="16" t="s">
        <v>715</v>
      </c>
      <c r="C664" s="36" t="s">
        <v>405</v>
      </c>
      <c r="D664" s="24">
        <v>2155400000</v>
      </c>
      <c r="E664" s="24">
        <f>ROUND(((100%+$H$649)*D664)*(100%+$H$650),-6)</f>
        <v>2586000000</v>
      </c>
      <c r="F664" s="37" t="str">
        <f t="shared" si="112"/>
        <v>2150020200</v>
      </c>
      <c r="G664" s="115"/>
      <c r="H664" s="115"/>
      <c r="I664" s="81">
        <v>448</v>
      </c>
      <c r="J664"/>
      <c r="K664" s="125"/>
      <c r="L664"/>
      <c r="M664"/>
      <c r="N664"/>
    </row>
    <row r="665" spans="1:14" s="11" customFormat="1" ht="49.5" customHeight="1">
      <c r="A665" s="15">
        <f t="shared" si="113"/>
        <v>17</v>
      </c>
      <c r="B665" s="16" t="s">
        <v>419</v>
      </c>
      <c r="C665" s="36" t="s">
        <v>406</v>
      </c>
      <c r="D665" s="24">
        <v>722200000</v>
      </c>
      <c r="E665" s="24">
        <f>ROUND(((100%+$H$649)*D665)*(100%+$H$650),-6)</f>
        <v>867000000</v>
      </c>
      <c r="F665" s="37" t="str">
        <f t="shared" si="112"/>
        <v>2150020400</v>
      </c>
      <c r="G665" s="115"/>
      <c r="H665" s="115"/>
      <c r="I665" s="81">
        <v>449</v>
      </c>
      <c r="J665"/>
      <c r="K665" s="125"/>
      <c r="L665"/>
      <c r="M665"/>
      <c r="N665"/>
    </row>
    <row r="666" spans="1:14" s="11" customFormat="1" ht="49.5" customHeight="1">
      <c r="A666" s="15">
        <f t="shared" si="113"/>
        <v>18</v>
      </c>
      <c r="B666" s="16" t="s">
        <v>418</v>
      </c>
      <c r="C666" s="36" t="s">
        <v>407</v>
      </c>
      <c r="D666" s="24">
        <v>2502700000</v>
      </c>
      <c r="E666" s="24">
        <f>E667+E668</f>
        <v>3004000000</v>
      </c>
      <c r="F666" s="37"/>
      <c r="G666" s="115"/>
      <c r="H666" s="115"/>
      <c r="I666" s="81">
        <v>450</v>
      </c>
      <c r="J666"/>
      <c r="K666" s="125"/>
      <c r="L666"/>
      <c r="M666"/>
      <c r="N666"/>
    </row>
    <row r="667" spans="1:14" s="11" customFormat="1" ht="49.5" customHeight="1">
      <c r="A667" s="15">
        <f t="shared" si="113"/>
        <v>19</v>
      </c>
      <c r="B667" s="16" t="s">
        <v>418</v>
      </c>
      <c r="C667" s="36" t="s">
        <v>408</v>
      </c>
      <c r="D667" s="24">
        <v>1918800000</v>
      </c>
      <c r="E667" s="24">
        <f>ROUND(((100%+$H$649)*D667)*(100%+$H$650),-6)</f>
        <v>2303000000</v>
      </c>
      <c r="F667" s="37" t="str">
        <f t="shared" si="112"/>
        <v>2150020100</v>
      </c>
      <c r="G667" s="115"/>
      <c r="H667" s="115"/>
      <c r="I667" s="81">
        <v>451</v>
      </c>
      <c r="J667"/>
      <c r="K667" s="125"/>
      <c r="L667"/>
      <c r="M667"/>
      <c r="N667"/>
    </row>
    <row r="668" spans="1:14" s="11" customFormat="1" ht="49.5" customHeight="1">
      <c r="A668" s="15">
        <f t="shared" si="113"/>
        <v>20</v>
      </c>
      <c r="B668" s="16" t="s">
        <v>420</v>
      </c>
      <c r="C668" s="36" t="s">
        <v>409</v>
      </c>
      <c r="D668" s="24">
        <v>583900000</v>
      </c>
      <c r="E668" s="24">
        <f>ROUND(((100%+$H$649)*D668)*(100%+$H$650),-6)</f>
        <v>701000000</v>
      </c>
      <c r="F668" s="37" t="str">
        <f t="shared" si="112"/>
        <v>2150020300</v>
      </c>
      <c r="G668" s="115"/>
      <c r="H668" s="115"/>
      <c r="I668" s="81">
        <v>452</v>
      </c>
      <c r="J668"/>
      <c r="K668" s="125"/>
      <c r="L668"/>
      <c r="M668"/>
      <c r="N668"/>
    </row>
    <row r="669" spans="1:14" s="11" customFormat="1" ht="49.5" customHeight="1">
      <c r="A669" s="253" t="s">
        <v>396</v>
      </c>
      <c r="B669" s="253"/>
      <c r="C669" s="253"/>
      <c r="D669" s="253" t="s">
        <v>3</v>
      </c>
      <c r="E669" s="31"/>
      <c r="F669" s="32"/>
      <c r="G669" s="115"/>
      <c r="H669" s="115"/>
      <c r="I669"/>
      <c r="J669"/>
      <c r="K669" s="125"/>
      <c r="L669"/>
      <c r="M669"/>
      <c r="N669"/>
    </row>
    <row r="670" spans="1:14" s="11" customFormat="1" ht="49.5" customHeight="1">
      <c r="A670" s="13" t="s">
        <v>0</v>
      </c>
      <c r="B670" s="14" t="s">
        <v>1</v>
      </c>
      <c r="C670" s="34" t="s">
        <v>2</v>
      </c>
      <c r="D670" s="23" t="s">
        <v>746</v>
      </c>
      <c r="E670" s="23" t="s">
        <v>464</v>
      </c>
      <c r="F670" s="35" t="s">
        <v>716</v>
      </c>
      <c r="G670" s="115"/>
      <c r="H670" s="115"/>
      <c r="I670"/>
      <c r="J670"/>
      <c r="K670" s="125"/>
      <c r="L670"/>
      <c r="M670"/>
      <c r="N670"/>
    </row>
    <row r="671" spans="1:14" s="11" customFormat="1" ht="49.5" customHeight="1">
      <c r="A671" s="15" t="s">
        <v>6</v>
      </c>
      <c r="B671" s="16" t="s">
        <v>714</v>
      </c>
      <c r="C671" s="36" t="s">
        <v>110</v>
      </c>
      <c r="D671" s="24">
        <v>2960200000</v>
      </c>
      <c r="E671" s="24">
        <f>ROUND(((100%+$H$671)*D671)*(100%+$H$672),-6)</f>
        <v>3552000000</v>
      </c>
      <c r="F671" s="37" t="str">
        <f>LEFT(B671,8)&amp;"00"</f>
        <v>2150030700</v>
      </c>
      <c r="G671" s="112" t="s">
        <v>696</v>
      </c>
      <c r="H671" s="114">
        <v>0.2</v>
      </c>
      <c r="I671" s="81">
        <v>453</v>
      </c>
      <c r="J671"/>
      <c r="K671" s="125"/>
      <c r="L671"/>
      <c r="M671"/>
      <c r="N671"/>
    </row>
    <row r="672" spans="1:14" s="11" customFormat="1" ht="49.5" customHeight="1">
      <c r="A672" s="15">
        <f>A671+1</f>
        <v>2</v>
      </c>
      <c r="B672" s="16" t="s">
        <v>425</v>
      </c>
      <c r="C672" s="36" t="s">
        <v>410</v>
      </c>
      <c r="D672" s="24">
        <v>4029600000</v>
      </c>
      <c r="E672" s="24">
        <f t="shared" ref="E672:E680" si="114">ROUND(((100%+$H$671)*D672)*(100%+$H$672),-6)</f>
        <v>4836000000</v>
      </c>
      <c r="F672" s="37" t="str">
        <f t="shared" ref="F672:F680" si="115">LEFT(B672,8)&amp;"00"</f>
        <v>2150020700</v>
      </c>
      <c r="G672" s="112" t="s">
        <v>697</v>
      </c>
      <c r="H672" s="114">
        <v>0</v>
      </c>
      <c r="I672" s="81">
        <v>454</v>
      </c>
      <c r="J672"/>
      <c r="K672" s="125"/>
      <c r="L672"/>
      <c r="M672"/>
      <c r="N672"/>
    </row>
    <row r="673" spans="1:14" s="11" customFormat="1" ht="49.5" customHeight="1">
      <c r="A673" s="15">
        <f t="shared" ref="A673:A680" si="116">A672+1</f>
        <v>3</v>
      </c>
      <c r="B673" s="16" t="s">
        <v>424</v>
      </c>
      <c r="C673" s="36" t="s">
        <v>111</v>
      </c>
      <c r="D673" s="24">
        <v>3127700000</v>
      </c>
      <c r="E673" s="24">
        <f t="shared" si="114"/>
        <v>3753000000</v>
      </c>
      <c r="F673" s="37" t="str">
        <f t="shared" si="115"/>
        <v>2150090800</v>
      </c>
      <c r="G673" s="115"/>
      <c r="H673" s="115"/>
      <c r="I673" s="81">
        <v>455</v>
      </c>
      <c r="J673"/>
      <c r="K673" s="125"/>
      <c r="L673"/>
      <c r="M673"/>
      <c r="N673"/>
    </row>
    <row r="674" spans="1:14" s="11" customFormat="1" ht="49.5" customHeight="1">
      <c r="A674" s="15">
        <f t="shared" si="116"/>
        <v>4</v>
      </c>
      <c r="B674" s="16" t="s">
        <v>428</v>
      </c>
      <c r="C674" s="36" t="s">
        <v>427</v>
      </c>
      <c r="D674" s="24">
        <v>3156000000</v>
      </c>
      <c r="E674" s="24">
        <f t="shared" si="114"/>
        <v>3787000000</v>
      </c>
      <c r="F674" s="37" t="str">
        <f t="shared" si="115"/>
        <v>2150050700</v>
      </c>
      <c r="G674" s="115"/>
      <c r="H674" s="115"/>
      <c r="I674" s="81">
        <v>456</v>
      </c>
      <c r="J674"/>
      <c r="K674" s="125"/>
      <c r="L674"/>
      <c r="M674"/>
      <c r="N674"/>
    </row>
    <row r="675" spans="1:14" s="11" customFormat="1" ht="49.5" customHeight="1">
      <c r="A675" s="15">
        <f t="shared" si="116"/>
        <v>5</v>
      </c>
      <c r="B675" s="16" t="s">
        <v>423</v>
      </c>
      <c r="C675" s="36" t="s">
        <v>112</v>
      </c>
      <c r="D675" s="24">
        <v>1751000000</v>
      </c>
      <c r="E675" s="24">
        <f t="shared" si="114"/>
        <v>2101000000</v>
      </c>
      <c r="F675" s="37" t="str">
        <f t="shared" si="115"/>
        <v>2150060500</v>
      </c>
      <c r="G675" s="115"/>
      <c r="H675" s="115"/>
      <c r="I675" s="81">
        <v>457</v>
      </c>
      <c r="J675"/>
      <c r="K675" s="125"/>
      <c r="L675"/>
      <c r="M675"/>
      <c r="N675"/>
    </row>
    <row r="676" spans="1:14" s="11" customFormat="1" ht="49.5" customHeight="1">
      <c r="A676" s="15">
        <f t="shared" si="116"/>
        <v>6</v>
      </c>
      <c r="B676" s="16" t="s">
        <v>422</v>
      </c>
      <c r="C676" s="36" t="s">
        <v>113</v>
      </c>
      <c r="D676" s="24">
        <v>1848800000</v>
      </c>
      <c r="E676" s="24">
        <f t="shared" si="114"/>
        <v>2219000000</v>
      </c>
      <c r="F676" s="37" t="str">
        <f t="shared" si="115"/>
        <v>2150061000</v>
      </c>
      <c r="G676" s="115"/>
      <c r="H676" s="115"/>
      <c r="I676" s="81">
        <v>458</v>
      </c>
      <c r="J676"/>
      <c r="K676" s="125"/>
      <c r="L676"/>
      <c r="M676"/>
      <c r="N676"/>
    </row>
    <row r="677" spans="1:14" s="11" customFormat="1" ht="49.5" customHeight="1">
      <c r="A677" s="15"/>
      <c r="B677" s="16">
        <v>2150030500</v>
      </c>
      <c r="C677" s="36" t="s">
        <v>1089</v>
      </c>
      <c r="D677" s="24">
        <v>1129000000</v>
      </c>
      <c r="E677" s="24">
        <f t="shared" si="114"/>
        <v>1355000000</v>
      </c>
      <c r="F677" s="37" t="s">
        <v>1090</v>
      </c>
      <c r="G677" s="115"/>
      <c r="H677" s="115"/>
      <c r="I677" s="81">
        <v>459</v>
      </c>
      <c r="J677"/>
      <c r="K677" s="125"/>
      <c r="L677"/>
      <c r="M677"/>
      <c r="N677"/>
    </row>
    <row r="678" spans="1:14" s="11" customFormat="1" ht="49.5" customHeight="1">
      <c r="A678" s="15">
        <f>A676+1</f>
        <v>7</v>
      </c>
      <c r="B678" s="16" t="s">
        <v>421</v>
      </c>
      <c r="C678" s="36" t="s">
        <v>397</v>
      </c>
      <c r="D678" s="24">
        <v>2219300000</v>
      </c>
      <c r="E678" s="24">
        <f t="shared" si="114"/>
        <v>2663000000</v>
      </c>
      <c r="F678" s="37" t="str">
        <f t="shared" si="115"/>
        <v>2150060900</v>
      </c>
      <c r="G678" s="115"/>
      <c r="H678" s="115"/>
      <c r="I678" s="81">
        <v>460</v>
      </c>
      <c r="J678"/>
      <c r="K678" s="125"/>
      <c r="L678"/>
      <c r="M678"/>
      <c r="N678"/>
    </row>
    <row r="679" spans="1:14" s="11" customFormat="1" ht="49.5" customHeight="1">
      <c r="A679" s="15">
        <f t="shared" si="116"/>
        <v>8</v>
      </c>
      <c r="B679" s="16" t="s">
        <v>249</v>
      </c>
      <c r="C679" s="36" t="s">
        <v>114</v>
      </c>
      <c r="D679" s="24">
        <v>1042700000</v>
      </c>
      <c r="E679" s="24">
        <f t="shared" si="114"/>
        <v>1251000000</v>
      </c>
      <c r="F679" s="37" t="str">
        <f t="shared" si="115"/>
        <v>2150080600</v>
      </c>
      <c r="G679" s="115"/>
      <c r="H679" s="115"/>
      <c r="I679" s="81">
        <v>461</v>
      </c>
      <c r="J679"/>
      <c r="K679" s="125"/>
      <c r="L679"/>
      <c r="M679"/>
      <c r="N679"/>
    </row>
    <row r="680" spans="1:14" s="11" customFormat="1" ht="49.5" customHeight="1">
      <c r="A680" s="15">
        <f t="shared" si="116"/>
        <v>9</v>
      </c>
      <c r="B680" s="16" t="s">
        <v>96</v>
      </c>
      <c r="C680" s="36" t="s">
        <v>97</v>
      </c>
      <c r="D680" s="24">
        <v>687100000</v>
      </c>
      <c r="E680" s="24">
        <f t="shared" si="114"/>
        <v>825000000</v>
      </c>
      <c r="F680" s="37" t="str">
        <f t="shared" si="115"/>
        <v>2150010600</v>
      </c>
      <c r="G680" s="115"/>
      <c r="H680" s="115"/>
      <c r="I680" s="81">
        <v>462</v>
      </c>
      <c r="J680"/>
      <c r="K680" s="125"/>
      <c r="L680"/>
      <c r="M680"/>
      <c r="N680"/>
    </row>
    <row r="681" spans="1:14" s="11" customFormat="1" ht="49.5" customHeight="1">
      <c r="A681" s="253" t="s">
        <v>411</v>
      </c>
      <c r="B681" s="253"/>
      <c r="C681" s="253"/>
      <c r="D681" s="253"/>
      <c r="E681" s="31"/>
      <c r="F681" s="32"/>
      <c r="G681" s="115"/>
      <c r="H681" s="115"/>
      <c r="I681"/>
      <c r="J681"/>
      <c r="K681" s="125"/>
      <c r="L681"/>
      <c r="M681"/>
      <c r="N681"/>
    </row>
    <row r="682" spans="1:14" s="11" customFormat="1" ht="49.5" customHeight="1">
      <c r="A682" s="13" t="s">
        <v>0</v>
      </c>
      <c r="B682" s="14" t="s">
        <v>1</v>
      </c>
      <c r="C682" s="34" t="s">
        <v>2</v>
      </c>
      <c r="D682" s="23" t="s">
        <v>746</v>
      </c>
      <c r="E682" s="23" t="s">
        <v>464</v>
      </c>
      <c r="F682" s="35" t="s">
        <v>716</v>
      </c>
      <c r="G682" s="115"/>
      <c r="H682" s="115"/>
      <c r="I682"/>
      <c r="J682"/>
      <c r="K682" s="125"/>
      <c r="L682"/>
      <c r="M682"/>
      <c r="N682"/>
    </row>
    <row r="683" spans="1:14" s="11" customFormat="1" ht="49.5" customHeight="1">
      <c r="A683" s="15">
        <v>1</v>
      </c>
      <c r="B683" s="16" t="s">
        <v>98</v>
      </c>
      <c r="C683" s="36" t="s">
        <v>99</v>
      </c>
      <c r="D683" s="24">
        <v>853700000</v>
      </c>
      <c r="E683" s="24">
        <f>ROUND(((100%+$H$683)*D683)*(100%+$H$684),-6)</f>
        <v>1024000000</v>
      </c>
      <c r="F683" s="37" t="str">
        <f>LEFT(B683,8)&amp;"00"</f>
        <v>2160010100</v>
      </c>
      <c r="G683" s="112" t="s">
        <v>696</v>
      </c>
      <c r="H683" s="114">
        <v>0.2</v>
      </c>
      <c r="I683" s="81">
        <v>463</v>
      </c>
      <c r="J683"/>
      <c r="K683" s="125"/>
      <c r="L683"/>
      <c r="M683"/>
      <c r="N683"/>
    </row>
    <row r="684" spans="1:14" s="11" customFormat="1" ht="49.5" customHeight="1">
      <c r="A684" s="15">
        <f>A683+1</f>
        <v>2</v>
      </c>
      <c r="B684" s="16" t="s">
        <v>100</v>
      </c>
      <c r="C684" s="36" t="s">
        <v>101</v>
      </c>
      <c r="D684" s="24">
        <v>1262800000</v>
      </c>
      <c r="E684" s="24">
        <f t="shared" ref="E684:E689" si="117">ROUND(((100%+$H$683)*D684)*(100%+$H$684),-6)</f>
        <v>1515000000</v>
      </c>
      <c r="F684" s="37" t="str">
        <f t="shared" ref="F684:F687" si="118">LEFT(B684,8)&amp;"00"</f>
        <v>2160010200</v>
      </c>
      <c r="G684" s="112" t="s">
        <v>697</v>
      </c>
      <c r="H684" s="114">
        <v>0</v>
      </c>
      <c r="I684" s="81">
        <v>464</v>
      </c>
      <c r="J684"/>
      <c r="K684" s="125"/>
      <c r="L684"/>
      <c r="M684"/>
      <c r="N684"/>
    </row>
    <row r="685" spans="1:14" s="11" customFormat="1" ht="49.5" customHeight="1">
      <c r="A685" s="15">
        <f t="shared" ref="A685:A689" si="119">A684+1</f>
        <v>3</v>
      </c>
      <c r="B685" s="16" t="s">
        <v>102</v>
      </c>
      <c r="C685" s="36" t="s">
        <v>103</v>
      </c>
      <c r="D685" s="24">
        <v>475200000</v>
      </c>
      <c r="E685" s="24">
        <f t="shared" si="117"/>
        <v>570000000</v>
      </c>
      <c r="F685" s="37" t="str">
        <f>LEFT(B685,8)&amp;"04"</f>
        <v>2170060204</v>
      </c>
      <c r="G685" s="115"/>
      <c r="H685" s="115"/>
      <c r="I685" s="81">
        <v>465</v>
      </c>
      <c r="J685"/>
      <c r="K685" s="125"/>
      <c r="L685"/>
      <c r="M685"/>
      <c r="N685"/>
    </row>
    <row r="686" spans="1:14" s="11" customFormat="1" ht="49.5" customHeight="1">
      <c r="A686" s="15">
        <f t="shared" si="119"/>
        <v>4</v>
      </c>
      <c r="B686" s="16" t="s">
        <v>104</v>
      </c>
      <c r="C686" s="36" t="s">
        <v>105</v>
      </c>
      <c r="D686" s="24">
        <v>851800000</v>
      </c>
      <c r="E686" s="24">
        <f t="shared" si="117"/>
        <v>1022000000</v>
      </c>
      <c r="F686" s="37" t="str">
        <f t="shared" si="118"/>
        <v>2170060600</v>
      </c>
      <c r="G686" s="115"/>
      <c r="H686" s="115"/>
      <c r="I686" s="81">
        <v>466</v>
      </c>
      <c r="J686"/>
      <c r="K686" s="125"/>
      <c r="L686"/>
      <c r="M686"/>
      <c r="N686"/>
    </row>
    <row r="687" spans="1:14" s="11" customFormat="1" ht="49.5" customHeight="1">
      <c r="A687" s="15">
        <f t="shared" si="119"/>
        <v>5</v>
      </c>
      <c r="B687" s="16" t="s">
        <v>104</v>
      </c>
      <c r="C687" s="36" t="s">
        <v>426</v>
      </c>
      <c r="D687" s="24">
        <v>804500000</v>
      </c>
      <c r="E687" s="24">
        <f t="shared" si="117"/>
        <v>965000000</v>
      </c>
      <c r="F687" s="37" t="str">
        <f t="shared" si="118"/>
        <v>2170060600</v>
      </c>
      <c r="G687" s="115"/>
      <c r="H687" s="115"/>
      <c r="I687" s="81">
        <v>467</v>
      </c>
      <c r="J687"/>
      <c r="K687" s="125"/>
      <c r="L687"/>
      <c r="M687"/>
      <c r="N687"/>
    </row>
    <row r="688" spans="1:14" s="11" customFormat="1" ht="49.5" customHeight="1">
      <c r="A688" s="15">
        <f t="shared" si="119"/>
        <v>6</v>
      </c>
      <c r="B688" s="16">
        <v>2170060502</v>
      </c>
      <c r="C688" s="36" t="s">
        <v>429</v>
      </c>
      <c r="D688" s="24">
        <v>496800000</v>
      </c>
      <c r="E688" s="24">
        <f t="shared" si="117"/>
        <v>596000000</v>
      </c>
      <c r="F688" s="37" t="str">
        <f>LEFT(B688,8)&amp;"01"</f>
        <v>2170060501</v>
      </c>
      <c r="G688" s="115"/>
      <c r="H688" s="115"/>
      <c r="I688" s="81">
        <v>468</v>
      </c>
      <c r="J688"/>
      <c r="K688" s="125"/>
      <c r="L688"/>
      <c r="M688"/>
      <c r="N688"/>
    </row>
    <row r="689" spans="1:14" s="11" customFormat="1" ht="49.5" customHeight="1">
      <c r="A689" s="15">
        <f t="shared" si="119"/>
        <v>7</v>
      </c>
      <c r="B689" s="16">
        <v>2170060501</v>
      </c>
      <c r="C689" s="36" t="s">
        <v>430</v>
      </c>
      <c r="D689" s="24">
        <v>437900000</v>
      </c>
      <c r="E689" s="24">
        <f t="shared" si="117"/>
        <v>525000000</v>
      </c>
      <c r="F689" s="37" t="str">
        <f>LEFT(B689,8)&amp;"02"</f>
        <v>2170060502</v>
      </c>
      <c r="G689" s="115"/>
      <c r="H689" s="115"/>
      <c r="I689" s="81">
        <v>469</v>
      </c>
      <c r="J689"/>
      <c r="K689" s="125"/>
      <c r="L689"/>
      <c r="M689"/>
      <c r="N689"/>
    </row>
    <row r="690" spans="1:14" s="11" customFormat="1" ht="49.5" customHeight="1">
      <c r="A690" s="253" t="s">
        <v>212</v>
      </c>
      <c r="B690" s="253"/>
      <c r="C690" s="253"/>
      <c r="D690" s="253"/>
      <c r="E690" s="31"/>
      <c r="F690" s="32"/>
      <c r="G690" s="115"/>
      <c r="H690" s="115"/>
      <c r="I690"/>
      <c r="J690"/>
      <c r="K690" s="125"/>
      <c r="L690"/>
      <c r="M690"/>
      <c r="N690"/>
    </row>
    <row r="691" spans="1:14" s="11" customFormat="1" ht="49.5" customHeight="1">
      <c r="A691" s="13" t="s">
        <v>0</v>
      </c>
      <c r="B691" s="14" t="s">
        <v>1</v>
      </c>
      <c r="C691" s="34" t="s">
        <v>2</v>
      </c>
      <c r="D691" s="23" t="s">
        <v>213</v>
      </c>
      <c r="E691" s="23" t="s">
        <v>464</v>
      </c>
      <c r="F691" s="35" t="s">
        <v>716</v>
      </c>
      <c r="G691" s="115"/>
      <c r="H691" s="115"/>
      <c r="I691"/>
      <c r="J691"/>
      <c r="K691" s="125"/>
      <c r="L691"/>
      <c r="M691"/>
      <c r="N691"/>
    </row>
    <row r="692" spans="1:14" s="11" customFormat="1" ht="49.5" customHeight="1">
      <c r="A692" s="15">
        <v>1</v>
      </c>
      <c r="B692" s="16" t="s">
        <v>214</v>
      </c>
      <c r="C692" s="36" t="s">
        <v>1636</v>
      </c>
      <c r="D692" s="24">
        <v>2910100000</v>
      </c>
      <c r="E692" s="24">
        <f>(2*E693)+E696+E697+(2*E694)+(2*E695)+(3*E698)+E699</f>
        <v>3490000000</v>
      </c>
      <c r="F692" s="37"/>
      <c r="G692" s="112" t="s">
        <v>696</v>
      </c>
      <c r="H692" s="114">
        <v>0.2</v>
      </c>
      <c r="I692" s="81">
        <v>470</v>
      </c>
      <c r="J692"/>
      <c r="K692" s="125"/>
      <c r="L692"/>
      <c r="M692"/>
      <c r="N692"/>
    </row>
    <row r="693" spans="1:14" s="11" customFormat="1" ht="49.5" customHeight="1">
      <c r="A693" s="15">
        <f>A692+1</f>
        <v>2</v>
      </c>
      <c r="B693" s="16" t="s">
        <v>215</v>
      </c>
      <c r="C693" s="36" t="s">
        <v>216</v>
      </c>
      <c r="D693" s="24">
        <v>479400000</v>
      </c>
      <c r="E693" s="24">
        <f>ROUND(((100%+$H$692)*D693)*(100%+$H$693),-6)</f>
        <v>575000000</v>
      </c>
      <c r="F693" s="37" t="str">
        <f>LEFT(B693,8)&amp;"01"</f>
        <v>2170070101</v>
      </c>
      <c r="G693" s="112" t="s">
        <v>697</v>
      </c>
      <c r="H693" s="114">
        <v>0</v>
      </c>
      <c r="I693" s="81">
        <v>471</v>
      </c>
      <c r="J693"/>
      <c r="K693" s="125"/>
      <c r="L693"/>
      <c r="M693"/>
      <c r="N693"/>
    </row>
    <row r="694" spans="1:14" s="11" customFormat="1" ht="49.5" customHeight="1">
      <c r="A694" s="15">
        <f t="shared" ref="A694:A699" si="120">A693+1</f>
        <v>3</v>
      </c>
      <c r="B694" s="16" t="s">
        <v>217</v>
      </c>
      <c r="C694" s="36" t="s">
        <v>218</v>
      </c>
      <c r="D694" s="24">
        <v>237600000</v>
      </c>
      <c r="E694" s="24">
        <f t="shared" ref="E694:E699" si="121">ROUND(((100%+$H$692)*D694)*(100%+$H$693),-6)</f>
        <v>285000000</v>
      </c>
      <c r="F694" s="37" t="str">
        <f>LEFT(B694,8)&amp;"01"</f>
        <v>2170079901</v>
      </c>
      <c r="G694" s="115"/>
      <c r="H694" s="115"/>
      <c r="I694" s="81">
        <v>472</v>
      </c>
      <c r="J694"/>
      <c r="K694" s="125"/>
      <c r="L694"/>
      <c r="M694"/>
      <c r="N694"/>
    </row>
    <row r="695" spans="1:14" s="11" customFormat="1" ht="49.5" customHeight="1">
      <c r="A695" s="15">
        <f t="shared" si="120"/>
        <v>4</v>
      </c>
      <c r="B695" s="16" t="s">
        <v>219</v>
      </c>
      <c r="C695" s="36" t="s">
        <v>220</v>
      </c>
      <c r="D695" s="24">
        <v>208000000</v>
      </c>
      <c r="E695" s="24">
        <f t="shared" si="121"/>
        <v>250000000</v>
      </c>
      <c r="F695" s="37" t="str">
        <f>LEFT(B695,8)&amp;"03"</f>
        <v>2170079903</v>
      </c>
      <c r="G695" s="115"/>
      <c r="H695" s="115"/>
      <c r="I695" s="81">
        <v>473</v>
      </c>
      <c r="J695"/>
      <c r="K695" s="125"/>
      <c r="L695"/>
      <c r="M695"/>
      <c r="N695"/>
    </row>
    <row r="696" spans="1:14" s="11" customFormat="1" ht="49.5" customHeight="1">
      <c r="A696" s="15">
        <f t="shared" si="120"/>
        <v>5</v>
      </c>
      <c r="B696" s="16" t="s">
        <v>221</v>
      </c>
      <c r="C696" s="36" t="s">
        <v>222</v>
      </c>
      <c r="D696" s="24">
        <v>188400000</v>
      </c>
      <c r="E696" s="24">
        <f t="shared" si="121"/>
        <v>226000000</v>
      </c>
      <c r="F696" s="37" t="str">
        <f t="shared" ref="F696:F697" si="122">LEFT(B696,8)&amp;"00"</f>
        <v>2170070200</v>
      </c>
      <c r="G696" s="115"/>
      <c r="H696" s="115"/>
      <c r="I696" s="81">
        <v>474</v>
      </c>
      <c r="J696"/>
      <c r="K696" s="125"/>
      <c r="L696"/>
      <c r="M696"/>
      <c r="N696"/>
    </row>
    <row r="697" spans="1:14" s="11" customFormat="1" ht="49.5" customHeight="1">
      <c r="A697" s="15">
        <f t="shared" si="120"/>
        <v>6</v>
      </c>
      <c r="B697" s="16" t="s">
        <v>223</v>
      </c>
      <c r="C697" s="36" t="s">
        <v>224</v>
      </c>
      <c r="D697" s="24">
        <v>198500000</v>
      </c>
      <c r="E697" s="24">
        <f t="shared" si="121"/>
        <v>238000000</v>
      </c>
      <c r="F697" s="37" t="str">
        <f t="shared" si="122"/>
        <v>2170070200</v>
      </c>
      <c r="G697" s="115"/>
      <c r="H697" s="115"/>
      <c r="I697" s="81">
        <v>475</v>
      </c>
      <c r="J697"/>
      <c r="K697" s="125"/>
      <c r="L697"/>
      <c r="M697"/>
      <c r="N697"/>
    </row>
    <row r="698" spans="1:14" s="11" customFormat="1" ht="49.5" customHeight="1">
      <c r="A698" s="15">
        <f t="shared" si="120"/>
        <v>7</v>
      </c>
      <c r="B698" s="16" t="s">
        <v>225</v>
      </c>
      <c r="C698" s="36" t="s">
        <v>226</v>
      </c>
      <c r="D698" s="24">
        <v>170400000</v>
      </c>
      <c r="E698" s="24">
        <f t="shared" si="121"/>
        <v>204000000</v>
      </c>
      <c r="F698" s="37" t="str">
        <f>LEFT(B698,8)&amp;"01"</f>
        <v>2170070301</v>
      </c>
      <c r="G698" s="115"/>
      <c r="H698" s="115"/>
      <c r="I698" s="81">
        <v>476</v>
      </c>
      <c r="J698"/>
      <c r="K698" s="125"/>
      <c r="L698"/>
      <c r="M698"/>
      <c r="N698"/>
    </row>
    <row r="699" spans="1:14" s="11" customFormat="1" ht="49.5" customHeight="1">
      <c r="A699" s="15">
        <f t="shared" si="120"/>
        <v>8</v>
      </c>
      <c r="B699" s="16" t="s">
        <v>227</v>
      </c>
      <c r="C699" s="36" t="s">
        <v>228</v>
      </c>
      <c r="D699" s="24">
        <v>162000000</v>
      </c>
      <c r="E699" s="24">
        <f t="shared" si="121"/>
        <v>194000000</v>
      </c>
      <c r="F699" s="37" t="str">
        <f>LEFT(B699,8)&amp;"02"</f>
        <v>2170070302</v>
      </c>
      <c r="G699" s="115"/>
      <c r="H699" s="115"/>
      <c r="I699" s="81">
        <v>477</v>
      </c>
      <c r="J699"/>
      <c r="K699" s="125"/>
      <c r="L699"/>
      <c r="M699"/>
      <c r="N699"/>
    </row>
    <row r="700" spans="1:14" s="11" customFormat="1" ht="49.5" customHeight="1">
      <c r="A700" s="253" t="s">
        <v>229</v>
      </c>
      <c r="B700" s="253"/>
      <c r="C700" s="253"/>
      <c r="D700" s="253"/>
      <c r="E700" s="31"/>
      <c r="F700" s="32"/>
      <c r="G700" s="115"/>
      <c r="H700" s="115"/>
      <c r="I700"/>
      <c r="J700"/>
      <c r="K700" s="125"/>
      <c r="L700"/>
      <c r="M700"/>
      <c r="N700"/>
    </row>
    <row r="701" spans="1:14" s="11" customFormat="1" ht="49.5" customHeight="1">
      <c r="A701" s="13" t="s">
        <v>0</v>
      </c>
      <c r="B701" s="14" t="s">
        <v>1</v>
      </c>
      <c r="C701" s="34" t="s">
        <v>2</v>
      </c>
      <c r="D701" s="23" t="s">
        <v>213</v>
      </c>
      <c r="E701" s="23" t="s">
        <v>464</v>
      </c>
      <c r="F701" s="35" t="s">
        <v>716</v>
      </c>
      <c r="G701" s="115"/>
      <c r="H701" s="115"/>
      <c r="I701"/>
      <c r="J701"/>
      <c r="K701" s="125"/>
      <c r="L701"/>
      <c r="M701"/>
      <c r="N701"/>
    </row>
    <row r="702" spans="1:14" s="11" customFormat="1" ht="76.5" customHeight="1">
      <c r="A702" s="15">
        <v>1</v>
      </c>
      <c r="B702" s="16" t="s">
        <v>221</v>
      </c>
      <c r="C702" s="36" t="s">
        <v>1637</v>
      </c>
      <c r="D702" s="24">
        <v>2243800000</v>
      </c>
      <c r="E702" s="24">
        <f>(E703)+E706+E707+(E704)+(E705)+(3*E708)+E709+E710</f>
        <v>2690000000</v>
      </c>
      <c r="F702" s="38"/>
      <c r="G702" s="112" t="s">
        <v>696</v>
      </c>
      <c r="H702" s="114">
        <v>0.2</v>
      </c>
      <c r="I702" s="81">
        <v>478</v>
      </c>
      <c r="J702"/>
      <c r="K702" s="125"/>
      <c r="L702"/>
      <c r="M702"/>
      <c r="N702"/>
    </row>
    <row r="703" spans="1:14" s="11" customFormat="1" ht="49.5" customHeight="1">
      <c r="A703" s="15">
        <f>A702+1</f>
        <v>2</v>
      </c>
      <c r="B703" s="16" t="s">
        <v>215</v>
      </c>
      <c r="C703" s="36" t="s">
        <v>216</v>
      </c>
      <c r="D703" s="24">
        <v>479400000</v>
      </c>
      <c r="E703" s="24">
        <f>ROUND(((100%+$H$702)*D703)*(100%+$H$703),-6)</f>
        <v>575000000</v>
      </c>
      <c r="F703" s="111" t="str">
        <f>LEFT(B703,8)&amp;"01"</f>
        <v>2170070101</v>
      </c>
      <c r="G703" s="112" t="s">
        <v>697</v>
      </c>
      <c r="H703" s="114">
        <v>0</v>
      </c>
      <c r="I703" s="81">
        <v>479</v>
      </c>
      <c r="J703"/>
      <c r="K703" s="125"/>
      <c r="L703"/>
      <c r="M703"/>
      <c r="N703"/>
    </row>
    <row r="704" spans="1:14" s="11" customFormat="1" ht="49.5" customHeight="1">
      <c r="A704" s="15">
        <f t="shared" ref="A704:A710" si="123">A703+1</f>
        <v>3</v>
      </c>
      <c r="B704" s="16" t="s">
        <v>217</v>
      </c>
      <c r="C704" s="36" t="s">
        <v>218</v>
      </c>
      <c r="D704" s="24">
        <v>237600000</v>
      </c>
      <c r="E704" s="24">
        <f t="shared" ref="E704:E710" si="124">ROUND(((100%+$H$702)*D704)*(100%+$H$703),-6)</f>
        <v>285000000</v>
      </c>
      <c r="F704" s="37" t="str">
        <f>LEFT(B704,8)&amp;"01"</f>
        <v>2170079901</v>
      </c>
      <c r="G704" s="115"/>
      <c r="H704" s="115"/>
      <c r="I704" s="81">
        <v>480</v>
      </c>
      <c r="J704"/>
      <c r="K704" s="125"/>
      <c r="L704"/>
      <c r="M704"/>
      <c r="N704"/>
    </row>
    <row r="705" spans="1:14" s="11" customFormat="1" ht="49.5" customHeight="1">
      <c r="A705" s="15">
        <f t="shared" si="123"/>
        <v>4</v>
      </c>
      <c r="B705" s="16" t="s">
        <v>219</v>
      </c>
      <c r="C705" s="36" t="s">
        <v>220</v>
      </c>
      <c r="D705" s="24">
        <v>208000000</v>
      </c>
      <c r="E705" s="24">
        <f t="shared" si="124"/>
        <v>250000000</v>
      </c>
      <c r="F705" s="37" t="str">
        <f>LEFT(B705,8)&amp;"03"</f>
        <v>2170079903</v>
      </c>
      <c r="G705" s="115"/>
      <c r="H705" s="115"/>
      <c r="I705" s="81">
        <v>481</v>
      </c>
      <c r="J705"/>
      <c r="K705" s="125"/>
      <c r="L705"/>
      <c r="M705"/>
      <c r="N705"/>
    </row>
    <row r="706" spans="1:14" s="11" customFormat="1" ht="49.5" customHeight="1">
      <c r="A706" s="15">
        <f t="shared" si="123"/>
        <v>5</v>
      </c>
      <c r="B706" s="16" t="s">
        <v>221</v>
      </c>
      <c r="C706" s="36" t="s">
        <v>222</v>
      </c>
      <c r="D706" s="24">
        <v>188400000</v>
      </c>
      <c r="E706" s="24">
        <f t="shared" si="124"/>
        <v>226000000</v>
      </c>
      <c r="F706" s="37" t="str">
        <f t="shared" ref="F706:F707" si="125">LEFT(B706,8)&amp;"00"</f>
        <v>2170070200</v>
      </c>
      <c r="G706" s="115"/>
      <c r="H706" s="115"/>
      <c r="I706" s="81">
        <v>482</v>
      </c>
      <c r="J706"/>
      <c r="K706" s="125"/>
      <c r="L706"/>
      <c r="M706"/>
      <c r="N706"/>
    </row>
    <row r="707" spans="1:14" s="11" customFormat="1" ht="49.5" customHeight="1">
      <c r="A707" s="15">
        <f t="shared" si="123"/>
        <v>6</v>
      </c>
      <c r="B707" s="16" t="s">
        <v>223</v>
      </c>
      <c r="C707" s="36" t="s">
        <v>224</v>
      </c>
      <c r="D707" s="24">
        <v>198500000</v>
      </c>
      <c r="E707" s="24">
        <f t="shared" si="124"/>
        <v>238000000</v>
      </c>
      <c r="F707" s="37" t="str">
        <f t="shared" si="125"/>
        <v>2170070200</v>
      </c>
      <c r="G707" s="115"/>
      <c r="H707" s="115"/>
      <c r="I707" s="81">
        <v>483</v>
      </c>
      <c r="J707"/>
      <c r="K707" s="125"/>
      <c r="L707"/>
      <c r="M707"/>
      <c r="N707"/>
    </row>
    <row r="708" spans="1:14" s="11" customFormat="1" ht="49.5" customHeight="1">
      <c r="A708" s="15">
        <f t="shared" si="123"/>
        <v>7</v>
      </c>
      <c r="B708" s="16" t="s">
        <v>225</v>
      </c>
      <c r="C708" s="36" t="s">
        <v>226</v>
      </c>
      <c r="D708" s="24">
        <v>170400000</v>
      </c>
      <c r="E708" s="24">
        <f t="shared" si="124"/>
        <v>204000000</v>
      </c>
      <c r="F708" s="37" t="str">
        <f>LEFT(B708,8)&amp;"01"</f>
        <v>2170070301</v>
      </c>
      <c r="G708" s="115"/>
      <c r="H708" s="115"/>
      <c r="I708" s="81">
        <v>484</v>
      </c>
      <c r="J708"/>
      <c r="K708" s="125"/>
      <c r="L708"/>
      <c r="M708"/>
      <c r="N708"/>
    </row>
    <row r="709" spans="1:14" s="11" customFormat="1" ht="49.5" customHeight="1">
      <c r="A709" s="15">
        <f t="shared" si="123"/>
        <v>8</v>
      </c>
      <c r="B709" s="16" t="s">
        <v>227</v>
      </c>
      <c r="C709" s="36" t="s">
        <v>228</v>
      </c>
      <c r="D709" s="24">
        <v>162000000</v>
      </c>
      <c r="E709" s="24">
        <f t="shared" si="124"/>
        <v>194000000</v>
      </c>
      <c r="F709" s="37" t="str">
        <f>LEFT(B709,8)&amp;"02"</f>
        <v>2170070302</v>
      </c>
      <c r="G709" s="115"/>
      <c r="H709" s="115"/>
      <c r="I709" s="81">
        <v>485</v>
      </c>
      <c r="J709"/>
      <c r="K709" s="125"/>
      <c r="L709"/>
      <c r="M709"/>
      <c r="N709"/>
    </row>
    <row r="710" spans="1:14" s="11" customFormat="1" ht="49.5" customHeight="1">
      <c r="A710" s="15">
        <f t="shared" si="123"/>
        <v>9</v>
      </c>
      <c r="B710" s="16" t="s">
        <v>230</v>
      </c>
      <c r="C710" s="36" t="s">
        <v>231</v>
      </c>
      <c r="D710" s="24">
        <v>258700000</v>
      </c>
      <c r="E710" s="24">
        <f t="shared" si="124"/>
        <v>310000000</v>
      </c>
      <c r="F710" s="37" t="str">
        <f>LEFT(B710,8)&amp;"01"</f>
        <v>2170070401</v>
      </c>
      <c r="G710" s="115"/>
      <c r="H710" s="115"/>
      <c r="I710" s="81">
        <v>486</v>
      </c>
      <c r="J710"/>
      <c r="K710" s="125"/>
      <c r="L710"/>
      <c r="M710"/>
      <c r="N710"/>
    </row>
    <row r="711" spans="1:14" s="11" customFormat="1" ht="49.5" customHeight="1">
      <c r="A711" s="253" t="s">
        <v>232</v>
      </c>
      <c r="B711" s="253"/>
      <c r="C711" s="253"/>
      <c r="D711" s="253"/>
      <c r="E711" s="31"/>
      <c r="F711" s="32"/>
      <c r="G711" s="115"/>
      <c r="H711" s="115"/>
      <c r="I711"/>
      <c r="J711"/>
      <c r="K711" s="125"/>
      <c r="L711"/>
      <c r="M711"/>
      <c r="N711"/>
    </row>
    <row r="712" spans="1:14" s="11" customFormat="1" ht="49.5" customHeight="1">
      <c r="A712" s="13" t="s">
        <v>0</v>
      </c>
      <c r="B712" s="14" t="s">
        <v>1</v>
      </c>
      <c r="C712" s="34" t="s">
        <v>2</v>
      </c>
      <c r="D712" s="23" t="s">
        <v>213</v>
      </c>
      <c r="E712" s="23" t="s">
        <v>464</v>
      </c>
      <c r="F712" s="35" t="s">
        <v>716</v>
      </c>
      <c r="G712" s="115"/>
      <c r="H712" s="115"/>
      <c r="I712"/>
      <c r="J712"/>
      <c r="K712" s="125"/>
      <c r="L712"/>
      <c r="M712"/>
      <c r="N712"/>
    </row>
    <row r="713" spans="1:14" s="11" customFormat="1" ht="67.5" customHeight="1">
      <c r="A713" s="15">
        <v>1</v>
      </c>
      <c r="B713" s="16" t="s">
        <v>233</v>
      </c>
      <c r="C713" s="36" t="s">
        <v>1638</v>
      </c>
      <c r="D713" s="24">
        <v>1577500000</v>
      </c>
      <c r="E713" s="24">
        <f>E714+E715+(3*E716)+E717+(2*E718)</f>
        <v>1890000000</v>
      </c>
      <c r="F713" s="38"/>
      <c r="G713" s="112" t="s">
        <v>696</v>
      </c>
      <c r="H713" s="114">
        <v>0.2</v>
      </c>
      <c r="I713" s="81">
        <v>487</v>
      </c>
      <c r="J713"/>
      <c r="K713" s="125"/>
      <c r="L713"/>
      <c r="M713"/>
      <c r="N713"/>
    </row>
    <row r="714" spans="1:14" s="11" customFormat="1" ht="49.5" customHeight="1">
      <c r="A714" s="15" t="s">
        <v>7</v>
      </c>
      <c r="B714" s="16" t="s">
        <v>221</v>
      </c>
      <c r="C714" s="36" t="s">
        <v>222</v>
      </c>
      <c r="D714" s="24">
        <v>188400000</v>
      </c>
      <c r="E714" s="24">
        <f>ROUND(((100%+$H$713)*D714)*(100%+$H$714),-6)</f>
        <v>226000000</v>
      </c>
      <c r="F714" s="111" t="str">
        <f>LEFT(B714,8)&amp;"00"</f>
        <v>2170070200</v>
      </c>
      <c r="G714" s="112" t="s">
        <v>697</v>
      </c>
      <c r="H714" s="114">
        <v>0</v>
      </c>
      <c r="I714" s="81">
        <v>488</v>
      </c>
      <c r="J714"/>
      <c r="K714" s="125"/>
      <c r="L714"/>
      <c r="M714"/>
      <c r="N714"/>
    </row>
    <row r="715" spans="1:14" s="11" customFormat="1" ht="49.5" customHeight="1">
      <c r="A715" s="15" t="s">
        <v>8</v>
      </c>
      <c r="B715" s="16" t="s">
        <v>223</v>
      </c>
      <c r="C715" s="36" t="s">
        <v>224</v>
      </c>
      <c r="D715" s="24">
        <v>198500000</v>
      </c>
      <c r="E715" s="24">
        <f t="shared" ref="E715:E718" si="126">ROUND(((100%+$H$713)*D715)*(100%+$H$714),-6)</f>
        <v>238000000</v>
      </c>
      <c r="F715" s="37" t="str">
        <f t="shared" ref="F715" si="127">LEFT(B715,8)&amp;"00"</f>
        <v>2170070200</v>
      </c>
      <c r="G715" s="115"/>
      <c r="H715" s="115"/>
      <c r="I715" s="81">
        <v>489</v>
      </c>
      <c r="J715"/>
      <c r="K715" s="125"/>
      <c r="L715"/>
      <c r="M715"/>
      <c r="N715"/>
    </row>
    <row r="716" spans="1:14" s="11" customFormat="1" ht="49.5" customHeight="1">
      <c r="A716" s="15" t="s">
        <v>9</v>
      </c>
      <c r="B716" s="16" t="s">
        <v>225</v>
      </c>
      <c r="C716" s="36" t="s">
        <v>226</v>
      </c>
      <c r="D716" s="24">
        <v>170400000</v>
      </c>
      <c r="E716" s="24">
        <f t="shared" si="126"/>
        <v>204000000</v>
      </c>
      <c r="F716" s="37" t="str">
        <f>LEFT(B716,8)&amp;"01"</f>
        <v>2170070301</v>
      </c>
      <c r="G716" s="115"/>
      <c r="H716" s="115"/>
      <c r="I716" s="81">
        <v>490</v>
      </c>
      <c r="J716"/>
      <c r="K716" s="125"/>
      <c r="L716"/>
      <c r="M716"/>
      <c r="N716"/>
    </row>
    <row r="717" spans="1:14" s="11" customFormat="1" ht="49.5" customHeight="1">
      <c r="A717" s="15" t="s">
        <v>10</v>
      </c>
      <c r="B717" s="16" t="s">
        <v>227</v>
      </c>
      <c r="C717" s="36" t="s">
        <v>228</v>
      </c>
      <c r="D717" s="24">
        <v>162000000</v>
      </c>
      <c r="E717" s="24">
        <f t="shared" si="126"/>
        <v>194000000</v>
      </c>
      <c r="F717" s="37" t="str">
        <f>LEFT(B717,8)&amp;"02"</f>
        <v>2170070302</v>
      </c>
      <c r="G717" s="115"/>
      <c r="H717" s="115"/>
      <c r="I717" s="81">
        <v>491</v>
      </c>
      <c r="J717"/>
      <c r="K717" s="125"/>
      <c r="L717"/>
      <c r="M717"/>
      <c r="N717"/>
    </row>
    <row r="718" spans="1:14" s="11" customFormat="1" ht="49.5" customHeight="1">
      <c r="A718" s="15" t="s">
        <v>12</v>
      </c>
      <c r="B718" s="16" t="s">
        <v>230</v>
      </c>
      <c r="C718" s="36" t="s">
        <v>231</v>
      </c>
      <c r="D718" s="24">
        <v>258700000</v>
      </c>
      <c r="E718" s="24">
        <f t="shared" si="126"/>
        <v>310000000</v>
      </c>
      <c r="F718" s="37" t="str">
        <f>LEFT(B718,8)&amp;"01"</f>
        <v>2170070401</v>
      </c>
      <c r="G718" s="115"/>
      <c r="H718" s="115"/>
      <c r="I718" s="81">
        <v>492</v>
      </c>
      <c r="J718"/>
      <c r="K718" s="125"/>
      <c r="L718"/>
      <c r="M718"/>
      <c r="N718"/>
    </row>
    <row r="719" spans="1:14" s="11" customFormat="1" ht="49.5" customHeight="1">
      <c r="A719" s="253" t="s">
        <v>234</v>
      </c>
      <c r="B719" s="253"/>
      <c r="C719" s="253"/>
      <c r="D719" s="253"/>
      <c r="E719" s="31"/>
      <c r="F719" s="32"/>
      <c r="G719" s="115"/>
      <c r="H719" s="115"/>
      <c r="I719"/>
      <c r="J719"/>
      <c r="K719" s="125"/>
      <c r="L719"/>
      <c r="M719"/>
      <c r="N719"/>
    </row>
    <row r="720" spans="1:14" s="11" customFormat="1" ht="49.5" customHeight="1">
      <c r="A720" s="13" t="s">
        <v>0</v>
      </c>
      <c r="B720" s="14" t="s">
        <v>1</v>
      </c>
      <c r="C720" s="34" t="s">
        <v>2</v>
      </c>
      <c r="D720" s="23" t="s">
        <v>213</v>
      </c>
      <c r="E720" s="23" t="s">
        <v>464</v>
      </c>
      <c r="F720" s="35" t="s">
        <v>716</v>
      </c>
      <c r="G720" s="115"/>
      <c r="H720" s="115"/>
      <c r="I720"/>
      <c r="J720"/>
      <c r="K720" s="125"/>
      <c r="L720"/>
      <c r="M720"/>
      <c r="N720"/>
    </row>
    <row r="721" spans="1:14" s="11" customFormat="1" ht="71.25" customHeight="1">
      <c r="A721" s="15">
        <v>1</v>
      </c>
      <c r="B721" s="16" t="s">
        <v>235</v>
      </c>
      <c r="C721" s="36" t="s">
        <v>1639</v>
      </c>
      <c r="D721" s="24">
        <v>1661300000</v>
      </c>
      <c r="E721" s="24">
        <f>(2*E722)+E724+E725+(2*E723)+E726</f>
        <v>1992000000</v>
      </c>
      <c r="F721" s="38"/>
      <c r="G721" s="112" t="s">
        <v>696</v>
      </c>
      <c r="H721" s="114">
        <v>0.2</v>
      </c>
      <c r="I721" s="81">
        <v>493</v>
      </c>
      <c r="J721"/>
      <c r="K721" s="125"/>
      <c r="L721"/>
      <c r="M721"/>
      <c r="N721"/>
    </row>
    <row r="722" spans="1:14" s="11" customFormat="1" ht="49.5" customHeight="1">
      <c r="A722" s="15" t="s">
        <v>7</v>
      </c>
      <c r="B722" s="16" t="s">
        <v>236</v>
      </c>
      <c r="C722" s="36" t="s">
        <v>237</v>
      </c>
      <c r="D722" s="24">
        <v>338400000</v>
      </c>
      <c r="E722" s="24">
        <f>ROUND(((100%+$H$721)*D722)*(100%+$H$722),-6)</f>
        <v>406000000</v>
      </c>
      <c r="F722" s="111" t="str">
        <f>LEFT(B722,8)&amp;"02"</f>
        <v>2170070102</v>
      </c>
      <c r="G722" s="112" t="s">
        <v>697</v>
      </c>
      <c r="H722" s="114">
        <v>0</v>
      </c>
      <c r="I722" s="81">
        <v>494</v>
      </c>
      <c r="J722"/>
      <c r="K722" s="125"/>
      <c r="L722"/>
      <c r="M722"/>
      <c r="N722"/>
    </row>
    <row r="723" spans="1:14" s="11" customFormat="1" ht="49.5" customHeight="1">
      <c r="A723" s="15" t="s">
        <v>8</v>
      </c>
      <c r="B723" s="16" t="s">
        <v>238</v>
      </c>
      <c r="C723" s="36" t="s">
        <v>239</v>
      </c>
      <c r="D723" s="24">
        <v>213600000</v>
      </c>
      <c r="E723" s="24">
        <f t="shared" ref="E723:E726" si="128">ROUND(((100%+$H$721)*D723)*(100%+$H$722),-6)</f>
        <v>256000000</v>
      </c>
      <c r="F723" s="37" t="str">
        <f>LEFT(B723,8)&amp;"02"</f>
        <v>2170079902</v>
      </c>
      <c r="G723" s="115"/>
      <c r="H723" s="115"/>
      <c r="I723" s="81">
        <v>495</v>
      </c>
      <c r="J723"/>
      <c r="K723" s="125"/>
      <c r="L723"/>
      <c r="M723"/>
      <c r="N723"/>
    </row>
    <row r="724" spans="1:14" s="11" customFormat="1" ht="49.5" customHeight="1">
      <c r="A724" s="15" t="s">
        <v>9</v>
      </c>
      <c r="B724" s="16" t="s">
        <v>221</v>
      </c>
      <c r="C724" s="36" t="s">
        <v>222</v>
      </c>
      <c r="D724" s="24">
        <v>188400000</v>
      </c>
      <c r="E724" s="24">
        <f t="shared" si="128"/>
        <v>226000000</v>
      </c>
      <c r="F724" s="37" t="str">
        <f t="shared" ref="F724:F725" si="129">LEFT(B724,8)&amp;"00"</f>
        <v>2170070200</v>
      </c>
      <c r="G724" s="115"/>
      <c r="H724" s="115"/>
      <c r="I724" s="81">
        <v>496</v>
      </c>
      <c r="J724"/>
      <c r="K724" s="125"/>
      <c r="L724"/>
      <c r="M724"/>
      <c r="N724"/>
    </row>
    <row r="725" spans="1:14" s="11" customFormat="1" ht="49.5" customHeight="1">
      <c r="A725" s="15" t="s">
        <v>10</v>
      </c>
      <c r="B725" s="16" t="s">
        <v>223</v>
      </c>
      <c r="C725" s="36" t="s">
        <v>224</v>
      </c>
      <c r="D725" s="24">
        <v>198500000</v>
      </c>
      <c r="E725" s="24">
        <f t="shared" si="128"/>
        <v>238000000</v>
      </c>
      <c r="F725" s="37" t="str">
        <f t="shared" si="129"/>
        <v>2170070200</v>
      </c>
      <c r="G725" s="115"/>
      <c r="H725" s="115"/>
      <c r="I725" s="81">
        <v>497</v>
      </c>
      <c r="J725"/>
      <c r="K725" s="125"/>
      <c r="L725"/>
      <c r="M725"/>
      <c r="N725"/>
    </row>
    <row r="726" spans="1:14" s="11" customFormat="1" ht="49.5" customHeight="1">
      <c r="A726" s="15" t="s">
        <v>12</v>
      </c>
      <c r="B726" s="16" t="s">
        <v>225</v>
      </c>
      <c r="C726" s="36" t="s">
        <v>240</v>
      </c>
      <c r="D726" s="24">
        <v>170400000</v>
      </c>
      <c r="E726" s="24">
        <f t="shared" si="128"/>
        <v>204000000</v>
      </c>
      <c r="F726" s="37" t="str">
        <f>LEFT(B726,8)&amp;"01"</f>
        <v>2170070301</v>
      </c>
      <c r="G726" s="115"/>
      <c r="H726" s="115"/>
      <c r="I726" s="81">
        <v>498</v>
      </c>
      <c r="J726"/>
      <c r="K726" s="125"/>
      <c r="L726"/>
      <c r="M726"/>
      <c r="N726"/>
    </row>
    <row r="727" spans="1:14" s="11" customFormat="1" ht="49.5" customHeight="1">
      <c r="A727" s="253" t="s">
        <v>241</v>
      </c>
      <c r="B727" s="253"/>
      <c r="C727" s="253"/>
      <c r="D727" s="253"/>
      <c r="E727" s="31"/>
      <c r="F727" s="32"/>
      <c r="G727" s="115"/>
      <c r="H727" s="115"/>
      <c r="I727"/>
      <c r="J727"/>
      <c r="K727" s="125"/>
      <c r="L727"/>
      <c r="M727"/>
      <c r="N727"/>
    </row>
    <row r="728" spans="1:14" s="11" customFormat="1" ht="49.5" customHeight="1">
      <c r="A728" s="13" t="s">
        <v>0</v>
      </c>
      <c r="B728" s="14" t="s">
        <v>1</v>
      </c>
      <c r="C728" s="34" t="s">
        <v>2</v>
      </c>
      <c r="D728" s="23" t="s">
        <v>213</v>
      </c>
      <c r="E728" s="23" t="s">
        <v>464</v>
      </c>
      <c r="F728" s="35" t="s">
        <v>716</v>
      </c>
      <c r="G728" s="115"/>
      <c r="H728" s="115"/>
      <c r="I728"/>
      <c r="J728"/>
      <c r="K728" s="125"/>
      <c r="L728"/>
      <c r="M728"/>
      <c r="N728"/>
    </row>
    <row r="729" spans="1:14" s="11" customFormat="1" ht="69" customHeight="1">
      <c r="A729" s="15">
        <v>1</v>
      </c>
      <c r="B729" s="16" t="s">
        <v>242</v>
      </c>
      <c r="C729" s="36" t="s">
        <v>1640</v>
      </c>
      <c r="D729" s="24">
        <v>1301700000</v>
      </c>
      <c r="E729" s="24">
        <f>E730+E732+E733+E731+E734+E735</f>
        <v>1561000000</v>
      </c>
      <c r="F729" s="38"/>
      <c r="G729" s="112" t="s">
        <v>696</v>
      </c>
      <c r="H729" s="114">
        <v>0.2</v>
      </c>
      <c r="I729" s="81">
        <v>499</v>
      </c>
      <c r="J729"/>
      <c r="K729" s="125"/>
      <c r="L729"/>
      <c r="M729"/>
      <c r="N729"/>
    </row>
    <row r="730" spans="1:14" s="11" customFormat="1" ht="49.5" customHeight="1">
      <c r="A730" s="15" t="s">
        <v>7</v>
      </c>
      <c r="B730" s="16" t="s">
        <v>236</v>
      </c>
      <c r="C730" s="36" t="s">
        <v>237</v>
      </c>
      <c r="D730" s="24">
        <v>338400000</v>
      </c>
      <c r="E730" s="24">
        <f>ROUND(((100%+$H$729)*D730)*(100%+$H$730),-6)</f>
        <v>406000000</v>
      </c>
      <c r="F730" s="111" t="str">
        <f>LEFT(B730,8)&amp;"02"</f>
        <v>2170070102</v>
      </c>
      <c r="G730" s="112" t="s">
        <v>697</v>
      </c>
      <c r="H730" s="114">
        <v>0</v>
      </c>
      <c r="I730" s="81">
        <v>500</v>
      </c>
      <c r="J730"/>
      <c r="K730" s="125"/>
      <c r="L730"/>
      <c r="M730"/>
      <c r="N730"/>
    </row>
    <row r="731" spans="1:14" s="11" customFormat="1" ht="49.5" customHeight="1">
      <c r="A731" s="15" t="s">
        <v>8</v>
      </c>
      <c r="B731" s="16" t="s">
        <v>238</v>
      </c>
      <c r="C731" s="36" t="s">
        <v>239</v>
      </c>
      <c r="D731" s="24">
        <v>213600000</v>
      </c>
      <c r="E731" s="24">
        <f t="shared" ref="E731:E735" si="130">ROUND(((100%+$H$729)*D731)*(100%+$H$730),-6)</f>
        <v>256000000</v>
      </c>
      <c r="F731" s="37" t="str">
        <f>LEFT(B731,8)&amp;"02"</f>
        <v>2170079902</v>
      </c>
      <c r="G731" s="115"/>
      <c r="H731" s="115"/>
      <c r="I731" s="81">
        <v>501</v>
      </c>
      <c r="J731"/>
      <c r="K731" s="125"/>
      <c r="L731"/>
      <c r="M731"/>
      <c r="N731"/>
    </row>
    <row r="732" spans="1:14" s="11" customFormat="1" ht="49.5" customHeight="1">
      <c r="A732" s="15" t="s">
        <v>9</v>
      </c>
      <c r="B732" s="16" t="s">
        <v>221</v>
      </c>
      <c r="C732" s="36" t="s">
        <v>243</v>
      </c>
      <c r="D732" s="24">
        <v>188400000</v>
      </c>
      <c r="E732" s="24">
        <f t="shared" si="130"/>
        <v>226000000</v>
      </c>
      <c r="F732" s="37" t="str">
        <f t="shared" ref="F732:F733" si="131">LEFT(B732,8)&amp;"00"</f>
        <v>2170070200</v>
      </c>
      <c r="G732" s="115"/>
      <c r="H732" s="115"/>
      <c r="I732" s="81">
        <v>502</v>
      </c>
      <c r="J732"/>
      <c r="K732" s="125"/>
      <c r="L732"/>
      <c r="M732"/>
      <c r="N732"/>
    </row>
    <row r="733" spans="1:14" s="11" customFormat="1" ht="49.5" customHeight="1">
      <c r="A733" s="15" t="s">
        <v>10</v>
      </c>
      <c r="B733" s="16" t="s">
        <v>223</v>
      </c>
      <c r="C733" s="36" t="s">
        <v>224</v>
      </c>
      <c r="D733" s="24">
        <v>198500000</v>
      </c>
      <c r="E733" s="24">
        <f t="shared" si="130"/>
        <v>238000000</v>
      </c>
      <c r="F733" s="37" t="str">
        <f t="shared" si="131"/>
        <v>2170070200</v>
      </c>
      <c r="G733" s="115"/>
      <c r="H733" s="115"/>
      <c r="I733" s="81">
        <v>503</v>
      </c>
      <c r="J733"/>
      <c r="K733" s="125"/>
      <c r="L733"/>
      <c r="M733"/>
      <c r="N733"/>
    </row>
    <row r="734" spans="1:14" s="11" customFormat="1" ht="49.5" customHeight="1">
      <c r="A734" s="15" t="s">
        <v>12</v>
      </c>
      <c r="B734" s="16" t="s">
        <v>225</v>
      </c>
      <c r="C734" s="36" t="s">
        <v>226</v>
      </c>
      <c r="D734" s="24">
        <v>170400000</v>
      </c>
      <c r="E734" s="24">
        <f t="shared" si="130"/>
        <v>204000000</v>
      </c>
      <c r="F734" s="37" t="str">
        <f>LEFT(B734,8)&amp;"01"</f>
        <v>2170070301</v>
      </c>
      <c r="G734" s="115"/>
      <c r="H734" s="115"/>
      <c r="I734" s="81">
        <v>504</v>
      </c>
      <c r="J734"/>
      <c r="K734" s="125"/>
      <c r="L734"/>
      <c r="M734"/>
      <c r="N734"/>
    </row>
    <row r="735" spans="1:14" s="11" customFormat="1" ht="49.5" customHeight="1">
      <c r="A735" s="15" t="s">
        <v>11</v>
      </c>
      <c r="B735" s="16" t="s">
        <v>244</v>
      </c>
      <c r="C735" s="36" t="s">
        <v>245</v>
      </c>
      <c r="D735" s="24">
        <v>192400000</v>
      </c>
      <c r="E735" s="24">
        <f t="shared" si="130"/>
        <v>231000000</v>
      </c>
      <c r="F735" s="37" t="str">
        <f>LEFT(B735,8)&amp;"02"</f>
        <v>2170070402</v>
      </c>
      <c r="G735" s="115"/>
      <c r="H735" s="115"/>
      <c r="I735" s="81">
        <v>505</v>
      </c>
      <c r="J735"/>
      <c r="K735" s="125"/>
      <c r="L735"/>
      <c r="M735"/>
      <c r="N735"/>
    </row>
    <row r="736" spans="1:14" s="11" customFormat="1" ht="49.5" customHeight="1">
      <c r="A736" s="253" t="s">
        <v>246</v>
      </c>
      <c r="B736" s="253"/>
      <c r="C736" s="253"/>
      <c r="D736" s="253"/>
      <c r="E736" s="31"/>
      <c r="F736" s="32"/>
      <c r="G736" s="115"/>
      <c r="H736" s="115"/>
      <c r="I736"/>
      <c r="J736"/>
      <c r="K736" s="125"/>
      <c r="L736"/>
      <c r="M736"/>
      <c r="N736"/>
    </row>
    <row r="737" spans="1:14" s="11" customFormat="1" ht="49.5" customHeight="1">
      <c r="A737" s="13" t="s">
        <v>0</v>
      </c>
      <c r="B737" s="14" t="s">
        <v>1</v>
      </c>
      <c r="C737" s="34" t="s">
        <v>2</v>
      </c>
      <c r="D737" s="23" t="s">
        <v>213</v>
      </c>
      <c r="E737" s="23" t="s">
        <v>464</v>
      </c>
      <c r="F737" s="35" t="s">
        <v>716</v>
      </c>
      <c r="G737" s="115"/>
      <c r="H737" s="115"/>
      <c r="I737"/>
      <c r="J737"/>
      <c r="K737" s="125"/>
      <c r="L737"/>
      <c r="M737"/>
      <c r="N737"/>
    </row>
    <row r="738" spans="1:14" s="11" customFormat="1" ht="70.5" customHeight="1">
      <c r="A738" s="15">
        <v>1</v>
      </c>
      <c r="B738" s="16" t="s">
        <v>247</v>
      </c>
      <c r="C738" s="36" t="s">
        <v>1641</v>
      </c>
      <c r="D738" s="24">
        <v>1104100000</v>
      </c>
      <c r="E738" s="24">
        <f>E739+E740+E741+E742+(2*E743)</f>
        <v>1324000000</v>
      </c>
      <c r="F738" s="38"/>
      <c r="G738" s="112" t="s">
        <v>696</v>
      </c>
      <c r="H738" s="114">
        <v>0.2</v>
      </c>
      <c r="I738" s="81">
        <v>506</v>
      </c>
      <c r="J738"/>
      <c r="K738" s="125"/>
      <c r="L738"/>
      <c r="M738"/>
      <c r="N738"/>
    </row>
    <row r="739" spans="1:14" s="11" customFormat="1" ht="49.5" customHeight="1">
      <c r="A739" s="15" t="s">
        <v>7</v>
      </c>
      <c r="B739" s="16" t="s">
        <v>221</v>
      </c>
      <c r="C739" s="36" t="s">
        <v>222</v>
      </c>
      <c r="D739" s="24">
        <v>188400000</v>
      </c>
      <c r="E739" s="24">
        <f>ROUND(((100%+$H$738)*D739)*(100%+$H$739),-6)</f>
        <v>226000000</v>
      </c>
      <c r="F739" s="111" t="str">
        <f>LEFT(B739,8)&amp;"00"</f>
        <v>2170070200</v>
      </c>
      <c r="G739" s="112" t="s">
        <v>697</v>
      </c>
      <c r="H739" s="114">
        <v>0</v>
      </c>
      <c r="I739" s="81">
        <v>507</v>
      </c>
      <c r="J739"/>
      <c r="K739" s="125"/>
      <c r="L739"/>
      <c r="M739"/>
      <c r="N739"/>
    </row>
    <row r="740" spans="1:14" s="11" customFormat="1" ht="49.5" customHeight="1">
      <c r="A740" s="15" t="s">
        <v>8</v>
      </c>
      <c r="B740" s="16" t="s">
        <v>223</v>
      </c>
      <c r="C740" s="36" t="s">
        <v>224</v>
      </c>
      <c r="D740" s="24">
        <v>198500000</v>
      </c>
      <c r="E740" s="24">
        <f t="shared" ref="E740:E743" si="132">ROUND(((100%+$H$738)*D740)*(100%+$H$739),-6)</f>
        <v>238000000</v>
      </c>
      <c r="F740" s="37" t="str">
        <f t="shared" ref="F740" si="133">LEFT(B740,8)&amp;"00"</f>
        <v>2170070200</v>
      </c>
      <c r="G740" s="115"/>
      <c r="H740" s="115"/>
      <c r="I740" s="81">
        <v>508</v>
      </c>
      <c r="J740"/>
      <c r="K740" s="125"/>
      <c r="L740"/>
      <c r="M740"/>
      <c r="N740"/>
    </row>
    <row r="741" spans="1:14" s="11" customFormat="1" ht="49.5" customHeight="1">
      <c r="A741" s="15" t="s">
        <v>9</v>
      </c>
      <c r="B741" s="16" t="s">
        <v>225</v>
      </c>
      <c r="C741" s="36" t="s">
        <v>226</v>
      </c>
      <c r="D741" s="24">
        <v>170400000</v>
      </c>
      <c r="E741" s="24">
        <f t="shared" si="132"/>
        <v>204000000</v>
      </c>
      <c r="F741" s="37" t="str">
        <f>LEFT(B741,8)&amp;"01"</f>
        <v>2170070301</v>
      </c>
      <c r="G741" s="115"/>
      <c r="H741" s="115"/>
      <c r="I741" s="81">
        <v>509</v>
      </c>
      <c r="J741"/>
      <c r="K741" s="125"/>
      <c r="L741"/>
      <c r="M741"/>
      <c r="N741"/>
    </row>
    <row r="742" spans="1:14" s="11" customFormat="1" ht="49.5" customHeight="1">
      <c r="A742" s="15" t="s">
        <v>10</v>
      </c>
      <c r="B742" s="16" t="s">
        <v>227</v>
      </c>
      <c r="C742" s="36" t="s">
        <v>228</v>
      </c>
      <c r="D742" s="24">
        <v>162000000</v>
      </c>
      <c r="E742" s="24">
        <f t="shared" si="132"/>
        <v>194000000</v>
      </c>
      <c r="F742" s="37" t="str">
        <f>LEFT(B742,8)&amp;"02"</f>
        <v>2170070302</v>
      </c>
      <c r="G742" s="115"/>
      <c r="H742" s="115"/>
      <c r="I742" s="81">
        <v>510</v>
      </c>
      <c r="J742"/>
      <c r="K742" s="125"/>
      <c r="L742"/>
      <c r="M742"/>
      <c r="N742"/>
    </row>
    <row r="743" spans="1:14" s="11" customFormat="1" ht="49.5" customHeight="1">
      <c r="A743" s="15" t="s">
        <v>12</v>
      </c>
      <c r="B743" s="16" t="s">
        <v>230</v>
      </c>
      <c r="C743" s="36" t="s">
        <v>245</v>
      </c>
      <c r="D743" s="24">
        <v>192400000</v>
      </c>
      <c r="E743" s="24">
        <f t="shared" si="132"/>
        <v>231000000</v>
      </c>
      <c r="F743" s="37" t="str">
        <f>LEFT(B743,8)&amp;"02"</f>
        <v>2170070402</v>
      </c>
      <c r="G743" s="115"/>
      <c r="H743" s="115"/>
      <c r="I743" s="81">
        <v>511</v>
      </c>
      <c r="J743"/>
      <c r="K743" s="125"/>
      <c r="L743"/>
      <c r="M743"/>
      <c r="N743"/>
    </row>
  </sheetData>
  <mergeCells count="8255">
    <mergeCell ref="A13:D13"/>
    <mergeCell ref="A425:D425"/>
    <mergeCell ref="A470:D470"/>
    <mergeCell ref="A481:D481"/>
    <mergeCell ref="A76:D76"/>
    <mergeCell ref="A233:D233"/>
    <mergeCell ref="A243:D243"/>
    <mergeCell ref="A255:D255"/>
    <mergeCell ref="A94:D94"/>
    <mergeCell ref="A736:D736"/>
    <mergeCell ref="A700:D700"/>
    <mergeCell ref="A711:D711"/>
    <mergeCell ref="A719:D719"/>
    <mergeCell ref="A411:D411"/>
    <mergeCell ref="A419:D419"/>
    <mergeCell ref="A132:D132"/>
    <mergeCell ref="A143:D143"/>
    <mergeCell ref="A153:D153"/>
    <mergeCell ref="A164:D164"/>
    <mergeCell ref="A198:D198"/>
    <mergeCell ref="A210:D210"/>
    <mergeCell ref="A510:D510"/>
    <mergeCell ref="A523:D523"/>
    <mergeCell ref="A517:D517"/>
    <mergeCell ref="A539:D539"/>
    <mergeCell ref="A551:D551"/>
    <mergeCell ref="A572:D572"/>
    <mergeCell ref="A52:D52"/>
    <mergeCell ref="A669:D669"/>
    <mergeCell ref="A727:D727"/>
    <mergeCell ref="A431:D431"/>
    <mergeCell ref="A403:D403"/>
    <mergeCell ref="XEI24:XEL24"/>
    <mergeCell ref="XEM24:XEP24"/>
    <mergeCell ref="XEQ24:XET24"/>
    <mergeCell ref="XEU24:XEX24"/>
    <mergeCell ref="XEY24:XFB24"/>
    <mergeCell ref="A1:D1"/>
    <mergeCell ref="XDK24:XDN24"/>
    <mergeCell ref="XDO24:XDR24"/>
    <mergeCell ref="XDS24:XDV24"/>
    <mergeCell ref="XDW24:XDZ24"/>
    <mergeCell ref="XEA24:XED24"/>
    <mergeCell ref="XEE24:XEH24"/>
    <mergeCell ref="XCM24:XCP24"/>
    <mergeCell ref="XCQ24:XCT24"/>
    <mergeCell ref="XCU24:XCX24"/>
    <mergeCell ref="XCY24:XDB24"/>
    <mergeCell ref="XDC24:XDF24"/>
    <mergeCell ref="XDG24:XDJ24"/>
    <mergeCell ref="XBO24:XBR24"/>
    <mergeCell ref="XBS24:XBV24"/>
    <mergeCell ref="XBW24:XBZ24"/>
    <mergeCell ref="XCA24:XCD24"/>
    <mergeCell ref="XCE24:XCH24"/>
    <mergeCell ref="XCI24:XCL24"/>
    <mergeCell ref="XAQ24:XAT24"/>
    <mergeCell ref="XAU24:XAX24"/>
    <mergeCell ref="XAY24:XBB24"/>
    <mergeCell ref="XBC24:XBF24"/>
    <mergeCell ref="XBG24:XBJ24"/>
    <mergeCell ref="XBK24:XBN24"/>
    <mergeCell ref="WZS24:WZV24"/>
    <mergeCell ref="A2:D2"/>
    <mergeCell ref="WZW24:WZZ24"/>
    <mergeCell ref="XAA24:XAD24"/>
    <mergeCell ref="XAE24:XAH24"/>
    <mergeCell ref="XAI24:XAL24"/>
    <mergeCell ref="XAM24:XAP24"/>
    <mergeCell ref="WYU24:WYX24"/>
    <mergeCell ref="WYY24:WZB24"/>
    <mergeCell ref="WZC24:WZF24"/>
    <mergeCell ref="WZG24:WZJ24"/>
    <mergeCell ref="WZK24:WZN24"/>
    <mergeCell ref="WZO24:WZR24"/>
    <mergeCell ref="WXW24:WXZ24"/>
    <mergeCell ref="WYA24:WYD24"/>
    <mergeCell ref="WYE24:WYH24"/>
    <mergeCell ref="WYI24:WYL24"/>
    <mergeCell ref="WYM24:WYP24"/>
    <mergeCell ref="WYQ24:WYT24"/>
    <mergeCell ref="WWY24:WXB24"/>
    <mergeCell ref="WXC24:WXF24"/>
    <mergeCell ref="WXG24:WXJ24"/>
    <mergeCell ref="WXK24:WXN24"/>
    <mergeCell ref="WXO24:WXR24"/>
    <mergeCell ref="WXS24:WXV24"/>
    <mergeCell ref="WWA24:WWD24"/>
    <mergeCell ref="WWE24:WWH24"/>
    <mergeCell ref="WWI24:WWL24"/>
    <mergeCell ref="WWM24:WWP24"/>
    <mergeCell ref="WWQ24:WWT24"/>
    <mergeCell ref="WWU24:WWX24"/>
    <mergeCell ref="WVC24:WVF24"/>
    <mergeCell ref="WVG24:WVJ24"/>
    <mergeCell ref="WVK24:WVN24"/>
    <mergeCell ref="WVO24:WVR24"/>
    <mergeCell ref="WVS24:WVV24"/>
    <mergeCell ref="WVW24:WVZ24"/>
    <mergeCell ref="WUE24:WUH24"/>
    <mergeCell ref="WUI24:WUL24"/>
    <mergeCell ref="WUM24:WUP24"/>
    <mergeCell ref="WUQ24:WUT24"/>
    <mergeCell ref="WUU24:WUX24"/>
    <mergeCell ref="WUY24:WVB24"/>
    <mergeCell ref="WTG24:WTJ24"/>
    <mergeCell ref="WTK24:WTN24"/>
    <mergeCell ref="WTO24:WTR24"/>
    <mergeCell ref="WTS24:WTV24"/>
    <mergeCell ref="WTW24:WTZ24"/>
    <mergeCell ref="WUA24:WUD24"/>
    <mergeCell ref="WSI24:WSL24"/>
    <mergeCell ref="WSM24:WSP24"/>
    <mergeCell ref="WSQ24:WST24"/>
    <mergeCell ref="WSU24:WSX24"/>
    <mergeCell ref="WSY24:WTB24"/>
    <mergeCell ref="WTC24:WTF24"/>
    <mergeCell ref="WRK24:WRN24"/>
    <mergeCell ref="WRO24:WRR24"/>
    <mergeCell ref="WRS24:WRV24"/>
    <mergeCell ref="WRW24:WRZ24"/>
    <mergeCell ref="WSA24:WSD24"/>
    <mergeCell ref="WSE24:WSH24"/>
    <mergeCell ref="WQM24:WQP24"/>
    <mergeCell ref="WQQ24:WQT24"/>
    <mergeCell ref="WQU24:WQX24"/>
    <mergeCell ref="WQY24:WRB24"/>
    <mergeCell ref="WRC24:WRF24"/>
    <mergeCell ref="WRG24:WRJ24"/>
    <mergeCell ref="WPO24:WPR24"/>
    <mergeCell ref="WPS24:WPV24"/>
    <mergeCell ref="WPW24:WPZ24"/>
    <mergeCell ref="WQA24:WQD24"/>
    <mergeCell ref="WQE24:WQH24"/>
    <mergeCell ref="WQI24:WQL24"/>
    <mergeCell ref="WOQ24:WOT24"/>
    <mergeCell ref="WOU24:WOX24"/>
    <mergeCell ref="WOY24:WPB24"/>
    <mergeCell ref="WPC24:WPF24"/>
    <mergeCell ref="WPG24:WPJ24"/>
    <mergeCell ref="WPK24:WPN24"/>
    <mergeCell ref="WNS24:WNV24"/>
    <mergeCell ref="WNW24:WNZ24"/>
    <mergeCell ref="WOA24:WOD24"/>
    <mergeCell ref="WOE24:WOH24"/>
    <mergeCell ref="WOI24:WOL24"/>
    <mergeCell ref="WOM24:WOP24"/>
    <mergeCell ref="WMU24:WMX24"/>
    <mergeCell ref="WMY24:WNB24"/>
    <mergeCell ref="WNC24:WNF24"/>
    <mergeCell ref="WNG24:WNJ24"/>
    <mergeCell ref="WNK24:WNN24"/>
    <mergeCell ref="WNO24:WNR24"/>
    <mergeCell ref="WLW24:WLZ24"/>
    <mergeCell ref="WMA24:WMD24"/>
    <mergeCell ref="WME24:WMH24"/>
    <mergeCell ref="WMI24:WML24"/>
    <mergeCell ref="WMM24:WMP24"/>
    <mergeCell ref="WMQ24:WMT24"/>
    <mergeCell ref="WKY24:WLB24"/>
    <mergeCell ref="WLC24:WLF24"/>
    <mergeCell ref="WLG24:WLJ24"/>
    <mergeCell ref="WLK24:WLN24"/>
    <mergeCell ref="WLO24:WLR24"/>
    <mergeCell ref="WLS24:WLV24"/>
    <mergeCell ref="WKA24:WKD24"/>
    <mergeCell ref="WKE24:WKH24"/>
    <mergeCell ref="WKI24:WKL24"/>
    <mergeCell ref="WKM24:WKP24"/>
    <mergeCell ref="WKQ24:WKT24"/>
    <mergeCell ref="WKU24:WKX24"/>
    <mergeCell ref="WJC24:WJF24"/>
    <mergeCell ref="WJG24:WJJ24"/>
    <mergeCell ref="WJK24:WJN24"/>
    <mergeCell ref="WJO24:WJR24"/>
    <mergeCell ref="WJS24:WJV24"/>
    <mergeCell ref="WJW24:WJZ24"/>
    <mergeCell ref="WIE24:WIH24"/>
    <mergeCell ref="WII24:WIL24"/>
    <mergeCell ref="WIM24:WIP24"/>
    <mergeCell ref="WIQ24:WIT24"/>
    <mergeCell ref="WIU24:WIX24"/>
    <mergeCell ref="WIY24:WJB24"/>
    <mergeCell ref="WHG24:WHJ24"/>
    <mergeCell ref="WHK24:WHN24"/>
    <mergeCell ref="WHO24:WHR24"/>
    <mergeCell ref="WHS24:WHV24"/>
    <mergeCell ref="WHW24:WHZ24"/>
    <mergeCell ref="WIA24:WID24"/>
    <mergeCell ref="WGI24:WGL24"/>
    <mergeCell ref="WGM24:WGP24"/>
    <mergeCell ref="WGQ24:WGT24"/>
    <mergeCell ref="WGU24:WGX24"/>
    <mergeCell ref="WGY24:WHB24"/>
    <mergeCell ref="WHC24:WHF24"/>
    <mergeCell ref="WFK24:WFN24"/>
    <mergeCell ref="WFO24:WFR24"/>
    <mergeCell ref="WFS24:WFV24"/>
    <mergeCell ref="WFW24:WFZ24"/>
    <mergeCell ref="WGA24:WGD24"/>
    <mergeCell ref="WGE24:WGH24"/>
    <mergeCell ref="WEM24:WEP24"/>
    <mergeCell ref="WEQ24:WET24"/>
    <mergeCell ref="WEU24:WEX24"/>
    <mergeCell ref="WEY24:WFB24"/>
    <mergeCell ref="WFC24:WFF24"/>
    <mergeCell ref="WFG24:WFJ24"/>
    <mergeCell ref="WDO24:WDR24"/>
    <mergeCell ref="WDS24:WDV24"/>
    <mergeCell ref="WDW24:WDZ24"/>
    <mergeCell ref="WEA24:WED24"/>
    <mergeCell ref="WEE24:WEH24"/>
    <mergeCell ref="WEI24:WEL24"/>
    <mergeCell ref="WCQ24:WCT24"/>
    <mergeCell ref="WCU24:WCX24"/>
    <mergeCell ref="WCY24:WDB24"/>
    <mergeCell ref="WDC24:WDF24"/>
    <mergeCell ref="WDG24:WDJ24"/>
    <mergeCell ref="WDK24:WDN24"/>
    <mergeCell ref="WBS24:WBV24"/>
    <mergeCell ref="WBW24:WBZ24"/>
    <mergeCell ref="WCA24:WCD24"/>
    <mergeCell ref="WCE24:WCH24"/>
    <mergeCell ref="WCI24:WCL24"/>
    <mergeCell ref="WCM24:WCP24"/>
    <mergeCell ref="WAU24:WAX24"/>
    <mergeCell ref="WAY24:WBB24"/>
    <mergeCell ref="WBC24:WBF24"/>
    <mergeCell ref="WBG24:WBJ24"/>
    <mergeCell ref="WBK24:WBN24"/>
    <mergeCell ref="WBO24:WBR24"/>
    <mergeCell ref="VZW24:VZZ24"/>
    <mergeCell ref="WAA24:WAD24"/>
    <mergeCell ref="WAE24:WAH24"/>
    <mergeCell ref="WAI24:WAL24"/>
    <mergeCell ref="WAM24:WAP24"/>
    <mergeCell ref="WAQ24:WAT24"/>
    <mergeCell ref="VYY24:VZB24"/>
    <mergeCell ref="VZC24:VZF24"/>
    <mergeCell ref="VZG24:VZJ24"/>
    <mergeCell ref="VZK24:VZN24"/>
    <mergeCell ref="VZO24:VZR24"/>
    <mergeCell ref="VZS24:VZV24"/>
    <mergeCell ref="VYA24:VYD24"/>
    <mergeCell ref="VYE24:VYH24"/>
    <mergeCell ref="VYI24:VYL24"/>
    <mergeCell ref="VYM24:VYP24"/>
    <mergeCell ref="VYQ24:VYT24"/>
    <mergeCell ref="VYU24:VYX24"/>
    <mergeCell ref="VXC24:VXF24"/>
    <mergeCell ref="VXG24:VXJ24"/>
    <mergeCell ref="VXK24:VXN24"/>
    <mergeCell ref="VXO24:VXR24"/>
    <mergeCell ref="VXS24:VXV24"/>
    <mergeCell ref="VXW24:VXZ24"/>
    <mergeCell ref="VWE24:VWH24"/>
    <mergeCell ref="VWI24:VWL24"/>
    <mergeCell ref="VWM24:VWP24"/>
    <mergeCell ref="VWQ24:VWT24"/>
    <mergeCell ref="VWU24:VWX24"/>
    <mergeCell ref="VWY24:VXB24"/>
    <mergeCell ref="VVG24:VVJ24"/>
    <mergeCell ref="VVK24:VVN24"/>
    <mergeCell ref="VVO24:VVR24"/>
    <mergeCell ref="VVS24:VVV24"/>
    <mergeCell ref="VVW24:VVZ24"/>
    <mergeCell ref="VWA24:VWD24"/>
    <mergeCell ref="VUI24:VUL24"/>
    <mergeCell ref="VUM24:VUP24"/>
    <mergeCell ref="VUQ24:VUT24"/>
    <mergeCell ref="VUU24:VUX24"/>
    <mergeCell ref="VUY24:VVB24"/>
    <mergeCell ref="VVC24:VVF24"/>
    <mergeCell ref="VTK24:VTN24"/>
    <mergeCell ref="VTO24:VTR24"/>
    <mergeCell ref="VTS24:VTV24"/>
    <mergeCell ref="VTW24:VTZ24"/>
    <mergeCell ref="VUA24:VUD24"/>
    <mergeCell ref="VUE24:VUH24"/>
    <mergeCell ref="VSM24:VSP24"/>
    <mergeCell ref="VSQ24:VST24"/>
    <mergeCell ref="VSU24:VSX24"/>
    <mergeCell ref="VSY24:VTB24"/>
    <mergeCell ref="VTC24:VTF24"/>
    <mergeCell ref="VTG24:VTJ24"/>
    <mergeCell ref="VRO24:VRR24"/>
    <mergeCell ref="VRS24:VRV24"/>
    <mergeCell ref="VRW24:VRZ24"/>
    <mergeCell ref="VSA24:VSD24"/>
    <mergeCell ref="VSE24:VSH24"/>
    <mergeCell ref="VSI24:VSL24"/>
    <mergeCell ref="VQQ24:VQT24"/>
    <mergeCell ref="VQU24:VQX24"/>
    <mergeCell ref="VQY24:VRB24"/>
    <mergeCell ref="VRC24:VRF24"/>
    <mergeCell ref="VRG24:VRJ24"/>
    <mergeCell ref="VRK24:VRN24"/>
    <mergeCell ref="VPS24:VPV24"/>
    <mergeCell ref="VPW24:VPZ24"/>
    <mergeCell ref="VQA24:VQD24"/>
    <mergeCell ref="VQE24:VQH24"/>
    <mergeCell ref="VQI24:VQL24"/>
    <mergeCell ref="VQM24:VQP24"/>
    <mergeCell ref="VOU24:VOX24"/>
    <mergeCell ref="VOY24:VPB24"/>
    <mergeCell ref="VPC24:VPF24"/>
    <mergeCell ref="VPG24:VPJ24"/>
    <mergeCell ref="VPK24:VPN24"/>
    <mergeCell ref="VPO24:VPR24"/>
    <mergeCell ref="VNW24:VNZ24"/>
    <mergeCell ref="VOA24:VOD24"/>
    <mergeCell ref="VOE24:VOH24"/>
    <mergeCell ref="VOI24:VOL24"/>
    <mergeCell ref="VOM24:VOP24"/>
    <mergeCell ref="VOQ24:VOT24"/>
    <mergeCell ref="VMY24:VNB24"/>
    <mergeCell ref="VNC24:VNF24"/>
    <mergeCell ref="VNG24:VNJ24"/>
    <mergeCell ref="VNK24:VNN24"/>
    <mergeCell ref="VNO24:VNR24"/>
    <mergeCell ref="VNS24:VNV24"/>
    <mergeCell ref="VMA24:VMD24"/>
    <mergeCell ref="VME24:VMH24"/>
    <mergeCell ref="VMI24:VML24"/>
    <mergeCell ref="VMM24:VMP24"/>
    <mergeCell ref="VMQ24:VMT24"/>
    <mergeCell ref="VMU24:VMX24"/>
    <mergeCell ref="VLC24:VLF24"/>
    <mergeCell ref="VLG24:VLJ24"/>
    <mergeCell ref="VLK24:VLN24"/>
    <mergeCell ref="VLO24:VLR24"/>
    <mergeCell ref="VLS24:VLV24"/>
    <mergeCell ref="VLW24:VLZ24"/>
    <mergeCell ref="VKE24:VKH24"/>
    <mergeCell ref="VKI24:VKL24"/>
    <mergeCell ref="VKM24:VKP24"/>
    <mergeCell ref="VKQ24:VKT24"/>
    <mergeCell ref="VKU24:VKX24"/>
    <mergeCell ref="VKY24:VLB24"/>
    <mergeCell ref="VJG24:VJJ24"/>
    <mergeCell ref="VJK24:VJN24"/>
    <mergeCell ref="VJO24:VJR24"/>
    <mergeCell ref="VJS24:VJV24"/>
    <mergeCell ref="VJW24:VJZ24"/>
    <mergeCell ref="VKA24:VKD24"/>
    <mergeCell ref="VII24:VIL24"/>
    <mergeCell ref="VIM24:VIP24"/>
    <mergeCell ref="VIQ24:VIT24"/>
    <mergeCell ref="VIU24:VIX24"/>
    <mergeCell ref="VIY24:VJB24"/>
    <mergeCell ref="VJC24:VJF24"/>
    <mergeCell ref="VHK24:VHN24"/>
    <mergeCell ref="VHO24:VHR24"/>
    <mergeCell ref="VHS24:VHV24"/>
    <mergeCell ref="VHW24:VHZ24"/>
    <mergeCell ref="VIA24:VID24"/>
    <mergeCell ref="VIE24:VIH24"/>
    <mergeCell ref="VGM24:VGP24"/>
    <mergeCell ref="VGQ24:VGT24"/>
    <mergeCell ref="VGU24:VGX24"/>
    <mergeCell ref="VGY24:VHB24"/>
    <mergeCell ref="VHC24:VHF24"/>
    <mergeCell ref="VHG24:VHJ24"/>
    <mergeCell ref="VFO24:VFR24"/>
    <mergeCell ref="VFS24:VFV24"/>
    <mergeCell ref="VFW24:VFZ24"/>
    <mergeCell ref="VGA24:VGD24"/>
    <mergeCell ref="VGE24:VGH24"/>
    <mergeCell ref="VGI24:VGL24"/>
    <mergeCell ref="VEQ24:VET24"/>
    <mergeCell ref="VEU24:VEX24"/>
    <mergeCell ref="VEY24:VFB24"/>
    <mergeCell ref="VFC24:VFF24"/>
    <mergeCell ref="VFG24:VFJ24"/>
    <mergeCell ref="VFK24:VFN24"/>
    <mergeCell ref="VDS24:VDV24"/>
    <mergeCell ref="VDW24:VDZ24"/>
    <mergeCell ref="VEA24:VED24"/>
    <mergeCell ref="VEE24:VEH24"/>
    <mergeCell ref="VEI24:VEL24"/>
    <mergeCell ref="VEM24:VEP24"/>
    <mergeCell ref="VCU24:VCX24"/>
    <mergeCell ref="VCY24:VDB24"/>
    <mergeCell ref="VDC24:VDF24"/>
    <mergeCell ref="VDG24:VDJ24"/>
    <mergeCell ref="VDK24:VDN24"/>
    <mergeCell ref="VDO24:VDR24"/>
    <mergeCell ref="VBW24:VBZ24"/>
    <mergeCell ref="VCA24:VCD24"/>
    <mergeCell ref="VCE24:VCH24"/>
    <mergeCell ref="VCI24:VCL24"/>
    <mergeCell ref="VCM24:VCP24"/>
    <mergeCell ref="VCQ24:VCT24"/>
    <mergeCell ref="VAY24:VBB24"/>
    <mergeCell ref="VBC24:VBF24"/>
    <mergeCell ref="VBG24:VBJ24"/>
    <mergeCell ref="VBK24:VBN24"/>
    <mergeCell ref="VBO24:VBR24"/>
    <mergeCell ref="VBS24:VBV24"/>
    <mergeCell ref="VAA24:VAD24"/>
    <mergeCell ref="VAE24:VAH24"/>
    <mergeCell ref="VAI24:VAL24"/>
    <mergeCell ref="VAM24:VAP24"/>
    <mergeCell ref="VAQ24:VAT24"/>
    <mergeCell ref="VAU24:VAX24"/>
    <mergeCell ref="UZC24:UZF24"/>
    <mergeCell ref="UZG24:UZJ24"/>
    <mergeCell ref="UZK24:UZN24"/>
    <mergeCell ref="UZO24:UZR24"/>
    <mergeCell ref="UZS24:UZV24"/>
    <mergeCell ref="UZW24:UZZ24"/>
    <mergeCell ref="UYE24:UYH24"/>
    <mergeCell ref="UYI24:UYL24"/>
    <mergeCell ref="UYM24:UYP24"/>
    <mergeCell ref="UYQ24:UYT24"/>
    <mergeCell ref="UYU24:UYX24"/>
    <mergeCell ref="UYY24:UZB24"/>
    <mergeCell ref="UXG24:UXJ24"/>
    <mergeCell ref="UXK24:UXN24"/>
    <mergeCell ref="UXO24:UXR24"/>
    <mergeCell ref="UXS24:UXV24"/>
    <mergeCell ref="UXW24:UXZ24"/>
    <mergeCell ref="UYA24:UYD24"/>
    <mergeCell ref="UWI24:UWL24"/>
    <mergeCell ref="UWM24:UWP24"/>
    <mergeCell ref="UWQ24:UWT24"/>
    <mergeCell ref="UWU24:UWX24"/>
    <mergeCell ref="UWY24:UXB24"/>
    <mergeCell ref="UXC24:UXF24"/>
    <mergeCell ref="UVK24:UVN24"/>
    <mergeCell ref="UVO24:UVR24"/>
    <mergeCell ref="UVS24:UVV24"/>
    <mergeCell ref="UVW24:UVZ24"/>
    <mergeCell ref="UWA24:UWD24"/>
    <mergeCell ref="UWE24:UWH24"/>
    <mergeCell ref="UUM24:UUP24"/>
    <mergeCell ref="UUQ24:UUT24"/>
    <mergeCell ref="UUU24:UUX24"/>
    <mergeCell ref="UUY24:UVB24"/>
    <mergeCell ref="UVC24:UVF24"/>
    <mergeCell ref="UVG24:UVJ24"/>
    <mergeCell ref="UTO24:UTR24"/>
    <mergeCell ref="UTS24:UTV24"/>
    <mergeCell ref="UTW24:UTZ24"/>
    <mergeCell ref="UUA24:UUD24"/>
    <mergeCell ref="UUE24:UUH24"/>
    <mergeCell ref="UUI24:UUL24"/>
    <mergeCell ref="USQ24:UST24"/>
    <mergeCell ref="USU24:USX24"/>
    <mergeCell ref="USY24:UTB24"/>
    <mergeCell ref="UTC24:UTF24"/>
    <mergeCell ref="UTG24:UTJ24"/>
    <mergeCell ref="UTK24:UTN24"/>
    <mergeCell ref="URS24:URV24"/>
    <mergeCell ref="URW24:URZ24"/>
    <mergeCell ref="USA24:USD24"/>
    <mergeCell ref="USE24:USH24"/>
    <mergeCell ref="USI24:USL24"/>
    <mergeCell ref="USM24:USP24"/>
    <mergeCell ref="UQU24:UQX24"/>
    <mergeCell ref="UQY24:URB24"/>
    <mergeCell ref="URC24:URF24"/>
    <mergeCell ref="URG24:URJ24"/>
    <mergeCell ref="URK24:URN24"/>
    <mergeCell ref="URO24:URR24"/>
    <mergeCell ref="UPW24:UPZ24"/>
    <mergeCell ref="UQA24:UQD24"/>
    <mergeCell ref="UQE24:UQH24"/>
    <mergeCell ref="UQI24:UQL24"/>
    <mergeCell ref="UQM24:UQP24"/>
    <mergeCell ref="UQQ24:UQT24"/>
    <mergeCell ref="UOY24:UPB24"/>
    <mergeCell ref="UPC24:UPF24"/>
    <mergeCell ref="UPG24:UPJ24"/>
    <mergeCell ref="UPK24:UPN24"/>
    <mergeCell ref="UPO24:UPR24"/>
    <mergeCell ref="UPS24:UPV24"/>
    <mergeCell ref="UOA24:UOD24"/>
    <mergeCell ref="UOE24:UOH24"/>
    <mergeCell ref="UOI24:UOL24"/>
    <mergeCell ref="UOM24:UOP24"/>
    <mergeCell ref="UOQ24:UOT24"/>
    <mergeCell ref="UOU24:UOX24"/>
    <mergeCell ref="UNC24:UNF24"/>
    <mergeCell ref="UNG24:UNJ24"/>
    <mergeCell ref="UNK24:UNN24"/>
    <mergeCell ref="UNO24:UNR24"/>
    <mergeCell ref="UNS24:UNV24"/>
    <mergeCell ref="UNW24:UNZ24"/>
    <mergeCell ref="UME24:UMH24"/>
    <mergeCell ref="UMI24:UML24"/>
    <mergeCell ref="UMM24:UMP24"/>
    <mergeCell ref="UMQ24:UMT24"/>
    <mergeCell ref="UMU24:UMX24"/>
    <mergeCell ref="UMY24:UNB24"/>
    <mergeCell ref="ULG24:ULJ24"/>
    <mergeCell ref="ULK24:ULN24"/>
    <mergeCell ref="ULO24:ULR24"/>
    <mergeCell ref="ULS24:ULV24"/>
    <mergeCell ref="ULW24:ULZ24"/>
    <mergeCell ref="UMA24:UMD24"/>
    <mergeCell ref="UKI24:UKL24"/>
    <mergeCell ref="UKM24:UKP24"/>
    <mergeCell ref="UKQ24:UKT24"/>
    <mergeCell ref="UKU24:UKX24"/>
    <mergeCell ref="UKY24:ULB24"/>
    <mergeCell ref="ULC24:ULF24"/>
    <mergeCell ref="UJK24:UJN24"/>
    <mergeCell ref="UJO24:UJR24"/>
    <mergeCell ref="UJS24:UJV24"/>
    <mergeCell ref="UJW24:UJZ24"/>
    <mergeCell ref="UKA24:UKD24"/>
    <mergeCell ref="UKE24:UKH24"/>
    <mergeCell ref="UIM24:UIP24"/>
    <mergeCell ref="UIQ24:UIT24"/>
    <mergeCell ref="UIU24:UIX24"/>
    <mergeCell ref="UIY24:UJB24"/>
    <mergeCell ref="UJC24:UJF24"/>
    <mergeCell ref="UJG24:UJJ24"/>
    <mergeCell ref="UHO24:UHR24"/>
    <mergeCell ref="UHS24:UHV24"/>
    <mergeCell ref="UHW24:UHZ24"/>
    <mergeCell ref="UIA24:UID24"/>
    <mergeCell ref="UIE24:UIH24"/>
    <mergeCell ref="UII24:UIL24"/>
    <mergeCell ref="UGQ24:UGT24"/>
    <mergeCell ref="UGU24:UGX24"/>
    <mergeCell ref="UGY24:UHB24"/>
    <mergeCell ref="UHC24:UHF24"/>
    <mergeCell ref="UHG24:UHJ24"/>
    <mergeCell ref="UHK24:UHN24"/>
    <mergeCell ref="UFS24:UFV24"/>
    <mergeCell ref="UFW24:UFZ24"/>
    <mergeCell ref="UGA24:UGD24"/>
    <mergeCell ref="UGE24:UGH24"/>
    <mergeCell ref="UGI24:UGL24"/>
    <mergeCell ref="UGM24:UGP24"/>
    <mergeCell ref="UEU24:UEX24"/>
    <mergeCell ref="UEY24:UFB24"/>
    <mergeCell ref="UFC24:UFF24"/>
    <mergeCell ref="UFG24:UFJ24"/>
    <mergeCell ref="UFK24:UFN24"/>
    <mergeCell ref="UFO24:UFR24"/>
    <mergeCell ref="UDW24:UDZ24"/>
    <mergeCell ref="UEA24:UED24"/>
    <mergeCell ref="UEE24:UEH24"/>
    <mergeCell ref="UEI24:UEL24"/>
    <mergeCell ref="UEM24:UEP24"/>
    <mergeCell ref="UEQ24:UET24"/>
    <mergeCell ref="UCY24:UDB24"/>
    <mergeCell ref="UDC24:UDF24"/>
    <mergeCell ref="UDG24:UDJ24"/>
    <mergeCell ref="UDK24:UDN24"/>
    <mergeCell ref="UDO24:UDR24"/>
    <mergeCell ref="UDS24:UDV24"/>
    <mergeCell ref="UCA24:UCD24"/>
    <mergeCell ref="UCE24:UCH24"/>
    <mergeCell ref="UCI24:UCL24"/>
    <mergeCell ref="UCM24:UCP24"/>
    <mergeCell ref="UCQ24:UCT24"/>
    <mergeCell ref="UCU24:UCX24"/>
    <mergeCell ref="UBC24:UBF24"/>
    <mergeCell ref="UBG24:UBJ24"/>
    <mergeCell ref="UBK24:UBN24"/>
    <mergeCell ref="UBO24:UBR24"/>
    <mergeCell ref="UBS24:UBV24"/>
    <mergeCell ref="UBW24:UBZ24"/>
    <mergeCell ref="UAE24:UAH24"/>
    <mergeCell ref="UAI24:UAL24"/>
    <mergeCell ref="UAM24:UAP24"/>
    <mergeCell ref="UAQ24:UAT24"/>
    <mergeCell ref="UAU24:UAX24"/>
    <mergeCell ref="UAY24:UBB24"/>
    <mergeCell ref="TZG24:TZJ24"/>
    <mergeCell ref="TZK24:TZN24"/>
    <mergeCell ref="TZO24:TZR24"/>
    <mergeCell ref="TZS24:TZV24"/>
    <mergeCell ref="TZW24:TZZ24"/>
    <mergeCell ref="UAA24:UAD24"/>
    <mergeCell ref="TYI24:TYL24"/>
    <mergeCell ref="TYM24:TYP24"/>
    <mergeCell ref="TYQ24:TYT24"/>
    <mergeCell ref="TYU24:TYX24"/>
    <mergeCell ref="TYY24:TZB24"/>
    <mergeCell ref="TZC24:TZF24"/>
    <mergeCell ref="TXK24:TXN24"/>
    <mergeCell ref="TXO24:TXR24"/>
    <mergeCell ref="TXS24:TXV24"/>
    <mergeCell ref="TXW24:TXZ24"/>
    <mergeCell ref="TYA24:TYD24"/>
    <mergeCell ref="TYE24:TYH24"/>
    <mergeCell ref="TWM24:TWP24"/>
    <mergeCell ref="TWQ24:TWT24"/>
    <mergeCell ref="TWU24:TWX24"/>
    <mergeCell ref="TWY24:TXB24"/>
    <mergeCell ref="TXC24:TXF24"/>
    <mergeCell ref="TXG24:TXJ24"/>
    <mergeCell ref="TVO24:TVR24"/>
    <mergeCell ref="TVS24:TVV24"/>
    <mergeCell ref="TVW24:TVZ24"/>
    <mergeCell ref="TWA24:TWD24"/>
    <mergeCell ref="TWE24:TWH24"/>
    <mergeCell ref="TWI24:TWL24"/>
    <mergeCell ref="TUQ24:TUT24"/>
    <mergeCell ref="TUU24:TUX24"/>
    <mergeCell ref="TUY24:TVB24"/>
    <mergeCell ref="TVC24:TVF24"/>
    <mergeCell ref="TVG24:TVJ24"/>
    <mergeCell ref="TVK24:TVN24"/>
    <mergeCell ref="TTS24:TTV24"/>
    <mergeCell ref="TTW24:TTZ24"/>
    <mergeCell ref="TUA24:TUD24"/>
    <mergeCell ref="TUE24:TUH24"/>
    <mergeCell ref="TUI24:TUL24"/>
    <mergeCell ref="TUM24:TUP24"/>
    <mergeCell ref="TSU24:TSX24"/>
    <mergeCell ref="TSY24:TTB24"/>
    <mergeCell ref="TTC24:TTF24"/>
    <mergeCell ref="TTG24:TTJ24"/>
    <mergeCell ref="TTK24:TTN24"/>
    <mergeCell ref="TTO24:TTR24"/>
    <mergeCell ref="TRW24:TRZ24"/>
    <mergeCell ref="TSA24:TSD24"/>
    <mergeCell ref="TSE24:TSH24"/>
    <mergeCell ref="TSI24:TSL24"/>
    <mergeCell ref="TSM24:TSP24"/>
    <mergeCell ref="TSQ24:TST24"/>
    <mergeCell ref="TQY24:TRB24"/>
    <mergeCell ref="TRC24:TRF24"/>
    <mergeCell ref="TRG24:TRJ24"/>
    <mergeCell ref="TRK24:TRN24"/>
    <mergeCell ref="TRO24:TRR24"/>
    <mergeCell ref="TRS24:TRV24"/>
    <mergeCell ref="TQA24:TQD24"/>
    <mergeCell ref="TQE24:TQH24"/>
    <mergeCell ref="TQI24:TQL24"/>
    <mergeCell ref="TQM24:TQP24"/>
    <mergeCell ref="TQQ24:TQT24"/>
    <mergeCell ref="TQU24:TQX24"/>
    <mergeCell ref="TPC24:TPF24"/>
    <mergeCell ref="TPG24:TPJ24"/>
    <mergeCell ref="TPK24:TPN24"/>
    <mergeCell ref="TPO24:TPR24"/>
    <mergeCell ref="TPS24:TPV24"/>
    <mergeCell ref="TPW24:TPZ24"/>
    <mergeCell ref="TOE24:TOH24"/>
    <mergeCell ref="TOI24:TOL24"/>
    <mergeCell ref="TOM24:TOP24"/>
    <mergeCell ref="TOQ24:TOT24"/>
    <mergeCell ref="TOU24:TOX24"/>
    <mergeCell ref="TOY24:TPB24"/>
    <mergeCell ref="TNG24:TNJ24"/>
    <mergeCell ref="TNK24:TNN24"/>
    <mergeCell ref="TNO24:TNR24"/>
    <mergeCell ref="TNS24:TNV24"/>
    <mergeCell ref="TNW24:TNZ24"/>
    <mergeCell ref="TOA24:TOD24"/>
    <mergeCell ref="TMI24:TML24"/>
    <mergeCell ref="TMM24:TMP24"/>
    <mergeCell ref="TMQ24:TMT24"/>
    <mergeCell ref="TMU24:TMX24"/>
    <mergeCell ref="TMY24:TNB24"/>
    <mergeCell ref="TNC24:TNF24"/>
    <mergeCell ref="TLK24:TLN24"/>
    <mergeCell ref="TLO24:TLR24"/>
    <mergeCell ref="TLS24:TLV24"/>
    <mergeCell ref="TLW24:TLZ24"/>
    <mergeCell ref="TMA24:TMD24"/>
    <mergeCell ref="TME24:TMH24"/>
    <mergeCell ref="TKM24:TKP24"/>
    <mergeCell ref="TKQ24:TKT24"/>
    <mergeCell ref="TKU24:TKX24"/>
    <mergeCell ref="TKY24:TLB24"/>
    <mergeCell ref="TLC24:TLF24"/>
    <mergeCell ref="TLG24:TLJ24"/>
    <mergeCell ref="TJO24:TJR24"/>
    <mergeCell ref="TJS24:TJV24"/>
    <mergeCell ref="TJW24:TJZ24"/>
    <mergeCell ref="TKA24:TKD24"/>
    <mergeCell ref="TKE24:TKH24"/>
    <mergeCell ref="TKI24:TKL24"/>
    <mergeCell ref="TIQ24:TIT24"/>
    <mergeCell ref="TIU24:TIX24"/>
    <mergeCell ref="TIY24:TJB24"/>
    <mergeCell ref="TJC24:TJF24"/>
    <mergeCell ref="TJG24:TJJ24"/>
    <mergeCell ref="TJK24:TJN24"/>
    <mergeCell ref="THS24:THV24"/>
    <mergeCell ref="THW24:THZ24"/>
    <mergeCell ref="TIA24:TID24"/>
    <mergeCell ref="TIE24:TIH24"/>
    <mergeCell ref="TII24:TIL24"/>
    <mergeCell ref="TIM24:TIP24"/>
    <mergeCell ref="TGU24:TGX24"/>
    <mergeCell ref="TGY24:THB24"/>
    <mergeCell ref="THC24:THF24"/>
    <mergeCell ref="THG24:THJ24"/>
    <mergeCell ref="THK24:THN24"/>
    <mergeCell ref="THO24:THR24"/>
    <mergeCell ref="TFW24:TFZ24"/>
    <mergeCell ref="TGA24:TGD24"/>
    <mergeCell ref="TGE24:TGH24"/>
    <mergeCell ref="TGI24:TGL24"/>
    <mergeCell ref="TGM24:TGP24"/>
    <mergeCell ref="TGQ24:TGT24"/>
    <mergeCell ref="TEY24:TFB24"/>
    <mergeCell ref="TFC24:TFF24"/>
    <mergeCell ref="TFG24:TFJ24"/>
    <mergeCell ref="TFK24:TFN24"/>
    <mergeCell ref="TFO24:TFR24"/>
    <mergeCell ref="TFS24:TFV24"/>
    <mergeCell ref="TEA24:TED24"/>
    <mergeCell ref="TEE24:TEH24"/>
    <mergeCell ref="TEI24:TEL24"/>
    <mergeCell ref="TEM24:TEP24"/>
    <mergeCell ref="TEQ24:TET24"/>
    <mergeCell ref="TEU24:TEX24"/>
    <mergeCell ref="TDC24:TDF24"/>
    <mergeCell ref="TDG24:TDJ24"/>
    <mergeCell ref="TDK24:TDN24"/>
    <mergeCell ref="TDO24:TDR24"/>
    <mergeCell ref="TDS24:TDV24"/>
    <mergeCell ref="TDW24:TDZ24"/>
    <mergeCell ref="TCE24:TCH24"/>
    <mergeCell ref="TCI24:TCL24"/>
    <mergeCell ref="TCM24:TCP24"/>
    <mergeCell ref="TCQ24:TCT24"/>
    <mergeCell ref="TCU24:TCX24"/>
    <mergeCell ref="TCY24:TDB24"/>
    <mergeCell ref="TBG24:TBJ24"/>
    <mergeCell ref="TBK24:TBN24"/>
    <mergeCell ref="TBO24:TBR24"/>
    <mergeCell ref="TBS24:TBV24"/>
    <mergeCell ref="TBW24:TBZ24"/>
    <mergeCell ref="TCA24:TCD24"/>
    <mergeCell ref="TAI24:TAL24"/>
    <mergeCell ref="TAM24:TAP24"/>
    <mergeCell ref="TAQ24:TAT24"/>
    <mergeCell ref="TAU24:TAX24"/>
    <mergeCell ref="TAY24:TBB24"/>
    <mergeCell ref="TBC24:TBF24"/>
    <mergeCell ref="SZK24:SZN24"/>
    <mergeCell ref="SZO24:SZR24"/>
    <mergeCell ref="SZS24:SZV24"/>
    <mergeCell ref="SZW24:SZZ24"/>
    <mergeCell ref="TAA24:TAD24"/>
    <mergeCell ref="TAE24:TAH24"/>
    <mergeCell ref="SYM24:SYP24"/>
    <mergeCell ref="SYQ24:SYT24"/>
    <mergeCell ref="SYU24:SYX24"/>
    <mergeCell ref="SYY24:SZB24"/>
    <mergeCell ref="SZC24:SZF24"/>
    <mergeCell ref="SZG24:SZJ24"/>
    <mergeCell ref="SXO24:SXR24"/>
    <mergeCell ref="SXS24:SXV24"/>
    <mergeCell ref="SXW24:SXZ24"/>
    <mergeCell ref="SYA24:SYD24"/>
    <mergeCell ref="SYE24:SYH24"/>
    <mergeCell ref="SYI24:SYL24"/>
    <mergeCell ref="SWQ24:SWT24"/>
    <mergeCell ref="SWU24:SWX24"/>
    <mergeCell ref="SWY24:SXB24"/>
    <mergeCell ref="SXC24:SXF24"/>
    <mergeCell ref="SXG24:SXJ24"/>
    <mergeCell ref="SXK24:SXN24"/>
    <mergeCell ref="SVS24:SVV24"/>
    <mergeCell ref="SVW24:SVZ24"/>
    <mergeCell ref="SWA24:SWD24"/>
    <mergeCell ref="SWE24:SWH24"/>
    <mergeCell ref="SWI24:SWL24"/>
    <mergeCell ref="SWM24:SWP24"/>
    <mergeCell ref="SUU24:SUX24"/>
    <mergeCell ref="SUY24:SVB24"/>
    <mergeCell ref="SVC24:SVF24"/>
    <mergeCell ref="SVG24:SVJ24"/>
    <mergeCell ref="SVK24:SVN24"/>
    <mergeCell ref="SVO24:SVR24"/>
    <mergeCell ref="STW24:STZ24"/>
    <mergeCell ref="SUA24:SUD24"/>
    <mergeCell ref="SUE24:SUH24"/>
    <mergeCell ref="SUI24:SUL24"/>
    <mergeCell ref="SUM24:SUP24"/>
    <mergeCell ref="SUQ24:SUT24"/>
    <mergeCell ref="SSY24:STB24"/>
    <mergeCell ref="STC24:STF24"/>
    <mergeCell ref="STG24:STJ24"/>
    <mergeCell ref="STK24:STN24"/>
    <mergeCell ref="STO24:STR24"/>
    <mergeCell ref="STS24:STV24"/>
    <mergeCell ref="SSA24:SSD24"/>
    <mergeCell ref="SSE24:SSH24"/>
    <mergeCell ref="SSI24:SSL24"/>
    <mergeCell ref="SSM24:SSP24"/>
    <mergeCell ref="SSQ24:SST24"/>
    <mergeCell ref="SSU24:SSX24"/>
    <mergeCell ref="SRC24:SRF24"/>
    <mergeCell ref="SRG24:SRJ24"/>
    <mergeCell ref="SRK24:SRN24"/>
    <mergeCell ref="SRO24:SRR24"/>
    <mergeCell ref="SRS24:SRV24"/>
    <mergeCell ref="SRW24:SRZ24"/>
    <mergeCell ref="SQE24:SQH24"/>
    <mergeCell ref="SQI24:SQL24"/>
    <mergeCell ref="SQM24:SQP24"/>
    <mergeCell ref="SQQ24:SQT24"/>
    <mergeCell ref="SQU24:SQX24"/>
    <mergeCell ref="SQY24:SRB24"/>
    <mergeCell ref="SPG24:SPJ24"/>
    <mergeCell ref="SPK24:SPN24"/>
    <mergeCell ref="SPO24:SPR24"/>
    <mergeCell ref="SPS24:SPV24"/>
    <mergeCell ref="SPW24:SPZ24"/>
    <mergeCell ref="SQA24:SQD24"/>
    <mergeCell ref="SOI24:SOL24"/>
    <mergeCell ref="SOM24:SOP24"/>
    <mergeCell ref="SOQ24:SOT24"/>
    <mergeCell ref="SOU24:SOX24"/>
    <mergeCell ref="SOY24:SPB24"/>
    <mergeCell ref="SPC24:SPF24"/>
    <mergeCell ref="SNK24:SNN24"/>
    <mergeCell ref="SNO24:SNR24"/>
    <mergeCell ref="SNS24:SNV24"/>
    <mergeCell ref="SNW24:SNZ24"/>
    <mergeCell ref="SOA24:SOD24"/>
    <mergeCell ref="SOE24:SOH24"/>
    <mergeCell ref="SMM24:SMP24"/>
    <mergeCell ref="SMQ24:SMT24"/>
    <mergeCell ref="SMU24:SMX24"/>
    <mergeCell ref="SMY24:SNB24"/>
    <mergeCell ref="SNC24:SNF24"/>
    <mergeCell ref="SNG24:SNJ24"/>
    <mergeCell ref="SLO24:SLR24"/>
    <mergeCell ref="SLS24:SLV24"/>
    <mergeCell ref="SLW24:SLZ24"/>
    <mergeCell ref="SMA24:SMD24"/>
    <mergeCell ref="SME24:SMH24"/>
    <mergeCell ref="SMI24:SML24"/>
    <mergeCell ref="SKQ24:SKT24"/>
    <mergeCell ref="SKU24:SKX24"/>
    <mergeCell ref="SKY24:SLB24"/>
    <mergeCell ref="SLC24:SLF24"/>
    <mergeCell ref="SLG24:SLJ24"/>
    <mergeCell ref="SLK24:SLN24"/>
    <mergeCell ref="SJS24:SJV24"/>
    <mergeCell ref="SJW24:SJZ24"/>
    <mergeCell ref="SKA24:SKD24"/>
    <mergeCell ref="SKE24:SKH24"/>
    <mergeCell ref="SKI24:SKL24"/>
    <mergeCell ref="SKM24:SKP24"/>
    <mergeCell ref="SIU24:SIX24"/>
    <mergeCell ref="SIY24:SJB24"/>
    <mergeCell ref="SJC24:SJF24"/>
    <mergeCell ref="SJG24:SJJ24"/>
    <mergeCell ref="SJK24:SJN24"/>
    <mergeCell ref="SJO24:SJR24"/>
    <mergeCell ref="SHW24:SHZ24"/>
    <mergeCell ref="SIA24:SID24"/>
    <mergeCell ref="SIE24:SIH24"/>
    <mergeCell ref="SII24:SIL24"/>
    <mergeCell ref="SIM24:SIP24"/>
    <mergeCell ref="SIQ24:SIT24"/>
    <mergeCell ref="SGY24:SHB24"/>
    <mergeCell ref="SHC24:SHF24"/>
    <mergeCell ref="SHG24:SHJ24"/>
    <mergeCell ref="SHK24:SHN24"/>
    <mergeCell ref="SHO24:SHR24"/>
    <mergeCell ref="SHS24:SHV24"/>
    <mergeCell ref="SGA24:SGD24"/>
    <mergeCell ref="SGE24:SGH24"/>
    <mergeCell ref="SGI24:SGL24"/>
    <mergeCell ref="SGM24:SGP24"/>
    <mergeCell ref="SGQ24:SGT24"/>
    <mergeCell ref="SGU24:SGX24"/>
    <mergeCell ref="SFC24:SFF24"/>
    <mergeCell ref="SFG24:SFJ24"/>
    <mergeCell ref="SFK24:SFN24"/>
    <mergeCell ref="SFO24:SFR24"/>
    <mergeCell ref="SFS24:SFV24"/>
    <mergeCell ref="SFW24:SFZ24"/>
    <mergeCell ref="SEE24:SEH24"/>
    <mergeCell ref="SEI24:SEL24"/>
    <mergeCell ref="SEM24:SEP24"/>
    <mergeCell ref="SEQ24:SET24"/>
    <mergeCell ref="SEU24:SEX24"/>
    <mergeCell ref="SEY24:SFB24"/>
    <mergeCell ref="SDG24:SDJ24"/>
    <mergeCell ref="SDK24:SDN24"/>
    <mergeCell ref="SDO24:SDR24"/>
    <mergeCell ref="SDS24:SDV24"/>
    <mergeCell ref="SDW24:SDZ24"/>
    <mergeCell ref="SEA24:SED24"/>
    <mergeCell ref="SCI24:SCL24"/>
    <mergeCell ref="SCM24:SCP24"/>
    <mergeCell ref="SCQ24:SCT24"/>
    <mergeCell ref="SCU24:SCX24"/>
    <mergeCell ref="SCY24:SDB24"/>
    <mergeCell ref="SDC24:SDF24"/>
    <mergeCell ref="SBK24:SBN24"/>
    <mergeCell ref="SBO24:SBR24"/>
    <mergeCell ref="SBS24:SBV24"/>
    <mergeCell ref="SBW24:SBZ24"/>
    <mergeCell ref="SCA24:SCD24"/>
    <mergeCell ref="SCE24:SCH24"/>
    <mergeCell ref="SAM24:SAP24"/>
    <mergeCell ref="SAQ24:SAT24"/>
    <mergeCell ref="SAU24:SAX24"/>
    <mergeCell ref="SAY24:SBB24"/>
    <mergeCell ref="SBC24:SBF24"/>
    <mergeCell ref="SBG24:SBJ24"/>
    <mergeCell ref="RZO24:RZR24"/>
    <mergeCell ref="RZS24:RZV24"/>
    <mergeCell ref="RZW24:RZZ24"/>
    <mergeCell ref="SAA24:SAD24"/>
    <mergeCell ref="SAE24:SAH24"/>
    <mergeCell ref="SAI24:SAL24"/>
    <mergeCell ref="RYQ24:RYT24"/>
    <mergeCell ref="RYU24:RYX24"/>
    <mergeCell ref="RYY24:RZB24"/>
    <mergeCell ref="RZC24:RZF24"/>
    <mergeCell ref="RZG24:RZJ24"/>
    <mergeCell ref="RZK24:RZN24"/>
    <mergeCell ref="RXS24:RXV24"/>
    <mergeCell ref="RXW24:RXZ24"/>
    <mergeCell ref="RYA24:RYD24"/>
    <mergeCell ref="RYE24:RYH24"/>
    <mergeCell ref="RYI24:RYL24"/>
    <mergeCell ref="RYM24:RYP24"/>
    <mergeCell ref="RWU24:RWX24"/>
    <mergeCell ref="RWY24:RXB24"/>
    <mergeCell ref="RXC24:RXF24"/>
    <mergeCell ref="RXG24:RXJ24"/>
    <mergeCell ref="RXK24:RXN24"/>
    <mergeCell ref="RXO24:RXR24"/>
    <mergeCell ref="RVW24:RVZ24"/>
    <mergeCell ref="RWA24:RWD24"/>
    <mergeCell ref="RWE24:RWH24"/>
    <mergeCell ref="RWI24:RWL24"/>
    <mergeCell ref="RWM24:RWP24"/>
    <mergeCell ref="RWQ24:RWT24"/>
    <mergeCell ref="RUY24:RVB24"/>
    <mergeCell ref="RVC24:RVF24"/>
    <mergeCell ref="RVG24:RVJ24"/>
    <mergeCell ref="RVK24:RVN24"/>
    <mergeCell ref="RVO24:RVR24"/>
    <mergeCell ref="RVS24:RVV24"/>
    <mergeCell ref="RUA24:RUD24"/>
    <mergeCell ref="RUE24:RUH24"/>
    <mergeCell ref="RUI24:RUL24"/>
    <mergeCell ref="RUM24:RUP24"/>
    <mergeCell ref="RUQ24:RUT24"/>
    <mergeCell ref="RUU24:RUX24"/>
    <mergeCell ref="RTC24:RTF24"/>
    <mergeCell ref="RTG24:RTJ24"/>
    <mergeCell ref="RTK24:RTN24"/>
    <mergeCell ref="RTO24:RTR24"/>
    <mergeCell ref="RTS24:RTV24"/>
    <mergeCell ref="RTW24:RTZ24"/>
    <mergeCell ref="RSE24:RSH24"/>
    <mergeCell ref="RSI24:RSL24"/>
    <mergeCell ref="RSM24:RSP24"/>
    <mergeCell ref="RSQ24:RST24"/>
    <mergeCell ref="RSU24:RSX24"/>
    <mergeCell ref="RSY24:RTB24"/>
    <mergeCell ref="RRG24:RRJ24"/>
    <mergeCell ref="RRK24:RRN24"/>
    <mergeCell ref="RRO24:RRR24"/>
    <mergeCell ref="RRS24:RRV24"/>
    <mergeCell ref="RRW24:RRZ24"/>
    <mergeCell ref="RSA24:RSD24"/>
    <mergeCell ref="RQI24:RQL24"/>
    <mergeCell ref="RQM24:RQP24"/>
    <mergeCell ref="RQQ24:RQT24"/>
    <mergeCell ref="RQU24:RQX24"/>
    <mergeCell ref="RQY24:RRB24"/>
    <mergeCell ref="RRC24:RRF24"/>
    <mergeCell ref="RPK24:RPN24"/>
    <mergeCell ref="RPO24:RPR24"/>
    <mergeCell ref="RPS24:RPV24"/>
    <mergeCell ref="RPW24:RPZ24"/>
    <mergeCell ref="RQA24:RQD24"/>
    <mergeCell ref="RQE24:RQH24"/>
    <mergeCell ref="ROM24:ROP24"/>
    <mergeCell ref="ROQ24:ROT24"/>
    <mergeCell ref="ROU24:ROX24"/>
    <mergeCell ref="ROY24:RPB24"/>
    <mergeCell ref="RPC24:RPF24"/>
    <mergeCell ref="RPG24:RPJ24"/>
    <mergeCell ref="RNO24:RNR24"/>
    <mergeCell ref="RNS24:RNV24"/>
    <mergeCell ref="RNW24:RNZ24"/>
    <mergeCell ref="ROA24:ROD24"/>
    <mergeCell ref="ROE24:ROH24"/>
    <mergeCell ref="ROI24:ROL24"/>
    <mergeCell ref="RMQ24:RMT24"/>
    <mergeCell ref="RMU24:RMX24"/>
    <mergeCell ref="RMY24:RNB24"/>
    <mergeCell ref="RNC24:RNF24"/>
    <mergeCell ref="RNG24:RNJ24"/>
    <mergeCell ref="RNK24:RNN24"/>
    <mergeCell ref="RLS24:RLV24"/>
    <mergeCell ref="RLW24:RLZ24"/>
    <mergeCell ref="RMA24:RMD24"/>
    <mergeCell ref="RME24:RMH24"/>
    <mergeCell ref="RMI24:RML24"/>
    <mergeCell ref="RMM24:RMP24"/>
    <mergeCell ref="RKU24:RKX24"/>
    <mergeCell ref="RKY24:RLB24"/>
    <mergeCell ref="RLC24:RLF24"/>
    <mergeCell ref="RLG24:RLJ24"/>
    <mergeCell ref="RLK24:RLN24"/>
    <mergeCell ref="RLO24:RLR24"/>
    <mergeCell ref="RJW24:RJZ24"/>
    <mergeCell ref="RKA24:RKD24"/>
    <mergeCell ref="RKE24:RKH24"/>
    <mergeCell ref="RKI24:RKL24"/>
    <mergeCell ref="RKM24:RKP24"/>
    <mergeCell ref="RKQ24:RKT24"/>
    <mergeCell ref="RIY24:RJB24"/>
    <mergeCell ref="RJC24:RJF24"/>
    <mergeCell ref="RJG24:RJJ24"/>
    <mergeCell ref="RJK24:RJN24"/>
    <mergeCell ref="RJO24:RJR24"/>
    <mergeCell ref="RJS24:RJV24"/>
    <mergeCell ref="RIA24:RID24"/>
    <mergeCell ref="RIE24:RIH24"/>
    <mergeCell ref="RII24:RIL24"/>
    <mergeCell ref="RIM24:RIP24"/>
    <mergeCell ref="RIQ24:RIT24"/>
    <mergeCell ref="RIU24:RIX24"/>
    <mergeCell ref="RHC24:RHF24"/>
    <mergeCell ref="RHG24:RHJ24"/>
    <mergeCell ref="RHK24:RHN24"/>
    <mergeCell ref="RHO24:RHR24"/>
    <mergeCell ref="RHS24:RHV24"/>
    <mergeCell ref="RHW24:RHZ24"/>
    <mergeCell ref="RGE24:RGH24"/>
    <mergeCell ref="RGI24:RGL24"/>
    <mergeCell ref="RGM24:RGP24"/>
    <mergeCell ref="RGQ24:RGT24"/>
    <mergeCell ref="RGU24:RGX24"/>
    <mergeCell ref="RGY24:RHB24"/>
    <mergeCell ref="RFG24:RFJ24"/>
    <mergeCell ref="RFK24:RFN24"/>
    <mergeCell ref="RFO24:RFR24"/>
    <mergeCell ref="RFS24:RFV24"/>
    <mergeCell ref="RFW24:RFZ24"/>
    <mergeCell ref="RGA24:RGD24"/>
    <mergeCell ref="REI24:REL24"/>
    <mergeCell ref="REM24:REP24"/>
    <mergeCell ref="REQ24:RET24"/>
    <mergeCell ref="REU24:REX24"/>
    <mergeCell ref="REY24:RFB24"/>
    <mergeCell ref="RFC24:RFF24"/>
    <mergeCell ref="RDK24:RDN24"/>
    <mergeCell ref="RDO24:RDR24"/>
    <mergeCell ref="RDS24:RDV24"/>
    <mergeCell ref="RDW24:RDZ24"/>
    <mergeCell ref="REA24:RED24"/>
    <mergeCell ref="REE24:REH24"/>
    <mergeCell ref="RCM24:RCP24"/>
    <mergeCell ref="RCQ24:RCT24"/>
    <mergeCell ref="RCU24:RCX24"/>
    <mergeCell ref="RCY24:RDB24"/>
    <mergeCell ref="RDC24:RDF24"/>
    <mergeCell ref="RDG24:RDJ24"/>
    <mergeCell ref="RBO24:RBR24"/>
    <mergeCell ref="RBS24:RBV24"/>
    <mergeCell ref="RBW24:RBZ24"/>
    <mergeCell ref="RCA24:RCD24"/>
    <mergeCell ref="RCE24:RCH24"/>
    <mergeCell ref="RCI24:RCL24"/>
    <mergeCell ref="RAQ24:RAT24"/>
    <mergeCell ref="RAU24:RAX24"/>
    <mergeCell ref="RAY24:RBB24"/>
    <mergeCell ref="RBC24:RBF24"/>
    <mergeCell ref="RBG24:RBJ24"/>
    <mergeCell ref="RBK24:RBN24"/>
    <mergeCell ref="QZS24:QZV24"/>
    <mergeCell ref="QZW24:QZZ24"/>
    <mergeCell ref="RAA24:RAD24"/>
    <mergeCell ref="RAE24:RAH24"/>
    <mergeCell ref="RAI24:RAL24"/>
    <mergeCell ref="RAM24:RAP24"/>
    <mergeCell ref="QYU24:QYX24"/>
    <mergeCell ref="QYY24:QZB24"/>
    <mergeCell ref="QZC24:QZF24"/>
    <mergeCell ref="QZG24:QZJ24"/>
    <mergeCell ref="QZK24:QZN24"/>
    <mergeCell ref="QZO24:QZR24"/>
    <mergeCell ref="QXW24:QXZ24"/>
    <mergeCell ref="QYA24:QYD24"/>
    <mergeCell ref="QYE24:QYH24"/>
    <mergeCell ref="QYI24:QYL24"/>
    <mergeCell ref="QYM24:QYP24"/>
    <mergeCell ref="QYQ24:QYT24"/>
    <mergeCell ref="QWY24:QXB24"/>
    <mergeCell ref="QXC24:QXF24"/>
    <mergeCell ref="QXG24:QXJ24"/>
    <mergeCell ref="QXK24:QXN24"/>
    <mergeCell ref="QXO24:QXR24"/>
    <mergeCell ref="QXS24:QXV24"/>
    <mergeCell ref="QWA24:QWD24"/>
    <mergeCell ref="QWE24:QWH24"/>
    <mergeCell ref="QWI24:QWL24"/>
    <mergeCell ref="QWM24:QWP24"/>
    <mergeCell ref="QWQ24:QWT24"/>
    <mergeCell ref="QWU24:QWX24"/>
    <mergeCell ref="QVC24:QVF24"/>
    <mergeCell ref="QVG24:QVJ24"/>
    <mergeCell ref="QVK24:QVN24"/>
    <mergeCell ref="QVO24:QVR24"/>
    <mergeCell ref="QVS24:QVV24"/>
    <mergeCell ref="QVW24:QVZ24"/>
    <mergeCell ref="QUE24:QUH24"/>
    <mergeCell ref="QUI24:QUL24"/>
    <mergeCell ref="QUM24:QUP24"/>
    <mergeCell ref="QUQ24:QUT24"/>
    <mergeCell ref="QUU24:QUX24"/>
    <mergeCell ref="QUY24:QVB24"/>
    <mergeCell ref="QTG24:QTJ24"/>
    <mergeCell ref="QTK24:QTN24"/>
    <mergeCell ref="QTO24:QTR24"/>
    <mergeCell ref="QTS24:QTV24"/>
    <mergeCell ref="QTW24:QTZ24"/>
    <mergeCell ref="QUA24:QUD24"/>
    <mergeCell ref="QSI24:QSL24"/>
    <mergeCell ref="QSM24:QSP24"/>
    <mergeCell ref="QSQ24:QST24"/>
    <mergeCell ref="QSU24:QSX24"/>
    <mergeCell ref="QSY24:QTB24"/>
    <mergeCell ref="QTC24:QTF24"/>
    <mergeCell ref="QRK24:QRN24"/>
    <mergeCell ref="QRO24:QRR24"/>
    <mergeCell ref="QRS24:QRV24"/>
    <mergeCell ref="QRW24:QRZ24"/>
    <mergeCell ref="QSA24:QSD24"/>
    <mergeCell ref="QSE24:QSH24"/>
    <mergeCell ref="QQM24:QQP24"/>
    <mergeCell ref="QQQ24:QQT24"/>
    <mergeCell ref="QQU24:QQX24"/>
    <mergeCell ref="QQY24:QRB24"/>
    <mergeCell ref="QRC24:QRF24"/>
    <mergeCell ref="QRG24:QRJ24"/>
    <mergeCell ref="QPO24:QPR24"/>
    <mergeCell ref="QPS24:QPV24"/>
    <mergeCell ref="QPW24:QPZ24"/>
    <mergeCell ref="QQA24:QQD24"/>
    <mergeCell ref="QQE24:QQH24"/>
    <mergeCell ref="QQI24:QQL24"/>
    <mergeCell ref="QOQ24:QOT24"/>
    <mergeCell ref="QOU24:QOX24"/>
    <mergeCell ref="QOY24:QPB24"/>
    <mergeCell ref="QPC24:QPF24"/>
    <mergeCell ref="QPG24:QPJ24"/>
    <mergeCell ref="QPK24:QPN24"/>
    <mergeCell ref="QNS24:QNV24"/>
    <mergeCell ref="QNW24:QNZ24"/>
    <mergeCell ref="QOA24:QOD24"/>
    <mergeCell ref="QOE24:QOH24"/>
    <mergeCell ref="QOI24:QOL24"/>
    <mergeCell ref="QOM24:QOP24"/>
    <mergeCell ref="QMU24:QMX24"/>
    <mergeCell ref="QMY24:QNB24"/>
    <mergeCell ref="QNC24:QNF24"/>
    <mergeCell ref="QNG24:QNJ24"/>
    <mergeCell ref="QNK24:QNN24"/>
    <mergeCell ref="QNO24:QNR24"/>
    <mergeCell ref="QLW24:QLZ24"/>
    <mergeCell ref="QMA24:QMD24"/>
    <mergeCell ref="QME24:QMH24"/>
    <mergeCell ref="QMI24:QML24"/>
    <mergeCell ref="QMM24:QMP24"/>
    <mergeCell ref="QMQ24:QMT24"/>
    <mergeCell ref="QKY24:QLB24"/>
    <mergeCell ref="QLC24:QLF24"/>
    <mergeCell ref="QLG24:QLJ24"/>
    <mergeCell ref="QLK24:QLN24"/>
    <mergeCell ref="QLO24:QLR24"/>
    <mergeCell ref="QLS24:QLV24"/>
    <mergeCell ref="QKA24:QKD24"/>
    <mergeCell ref="QKE24:QKH24"/>
    <mergeCell ref="QKI24:QKL24"/>
    <mergeCell ref="QKM24:QKP24"/>
    <mergeCell ref="QKQ24:QKT24"/>
    <mergeCell ref="QKU24:QKX24"/>
    <mergeCell ref="QJC24:QJF24"/>
    <mergeCell ref="QJG24:QJJ24"/>
    <mergeCell ref="QJK24:QJN24"/>
    <mergeCell ref="QJO24:QJR24"/>
    <mergeCell ref="QJS24:QJV24"/>
    <mergeCell ref="QJW24:QJZ24"/>
    <mergeCell ref="QIE24:QIH24"/>
    <mergeCell ref="QII24:QIL24"/>
    <mergeCell ref="QIM24:QIP24"/>
    <mergeCell ref="QIQ24:QIT24"/>
    <mergeCell ref="QIU24:QIX24"/>
    <mergeCell ref="QIY24:QJB24"/>
    <mergeCell ref="QHG24:QHJ24"/>
    <mergeCell ref="QHK24:QHN24"/>
    <mergeCell ref="QHO24:QHR24"/>
    <mergeCell ref="QHS24:QHV24"/>
    <mergeCell ref="QHW24:QHZ24"/>
    <mergeCell ref="QIA24:QID24"/>
    <mergeCell ref="QGI24:QGL24"/>
    <mergeCell ref="QGM24:QGP24"/>
    <mergeCell ref="QGQ24:QGT24"/>
    <mergeCell ref="QGU24:QGX24"/>
    <mergeCell ref="QGY24:QHB24"/>
    <mergeCell ref="QHC24:QHF24"/>
    <mergeCell ref="QFK24:QFN24"/>
    <mergeCell ref="QFO24:QFR24"/>
    <mergeCell ref="QFS24:QFV24"/>
    <mergeCell ref="QFW24:QFZ24"/>
    <mergeCell ref="QGA24:QGD24"/>
    <mergeCell ref="QGE24:QGH24"/>
    <mergeCell ref="QEM24:QEP24"/>
    <mergeCell ref="QEQ24:QET24"/>
    <mergeCell ref="QEU24:QEX24"/>
    <mergeCell ref="QEY24:QFB24"/>
    <mergeCell ref="QFC24:QFF24"/>
    <mergeCell ref="QFG24:QFJ24"/>
    <mergeCell ref="QDO24:QDR24"/>
    <mergeCell ref="QDS24:QDV24"/>
    <mergeCell ref="QDW24:QDZ24"/>
    <mergeCell ref="QEA24:QED24"/>
    <mergeCell ref="QEE24:QEH24"/>
    <mergeCell ref="QEI24:QEL24"/>
    <mergeCell ref="QCQ24:QCT24"/>
    <mergeCell ref="QCU24:QCX24"/>
    <mergeCell ref="QCY24:QDB24"/>
    <mergeCell ref="QDC24:QDF24"/>
    <mergeCell ref="QDG24:QDJ24"/>
    <mergeCell ref="QDK24:QDN24"/>
    <mergeCell ref="QBS24:QBV24"/>
    <mergeCell ref="QBW24:QBZ24"/>
    <mergeCell ref="QCA24:QCD24"/>
    <mergeCell ref="QCE24:QCH24"/>
    <mergeCell ref="QCI24:QCL24"/>
    <mergeCell ref="QCM24:QCP24"/>
    <mergeCell ref="QAU24:QAX24"/>
    <mergeCell ref="QAY24:QBB24"/>
    <mergeCell ref="QBC24:QBF24"/>
    <mergeCell ref="QBG24:QBJ24"/>
    <mergeCell ref="QBK24:QBN24"/>
    <mergeCell ref="QBO24:QBR24"/>
    <mergeCell ref="PZW24:PZZ24"/>
    <mergeCell ref="QAA24:QAD24"/>
    <mergeCell ref="QAE24:QAH24"/>
    <mergeCell ref="QAI24:QAL24"/>
    <mergeCell ref="QAM24:QAP24"/>
    <mergeCell ref="QAQ24:QAT24"/>
    <mergeCell ref="PYY24:PZB24"/>
    <mergeCell ref="PZC24:PZF24"/>
    <mergeCell ref="PZG24:PZJ24"/>
    <mergeCell ref="PZK24:PZN24"/>
    <mergeCell ref="PZO24:PZR24"/>
    <mergeCell ref="PZS24:PZV24"/>
    <mergeCell ref="PYA24:PYD24"/>
    <mergeCell ref="PYE24:PYH24"/>
    <mergeCell ref="PYI24:PYL24"/>
    <mergeCell ref="PYM24:PYP24"/>
    <mergeCell ref="PYQ24:PYT24"/>
    <mergeCell ref="PYU24:PYX24"/>
    <mergeCell ref="PXC24:PXF24"/>
    <mergeCell ref="PXG24:PXJ24"/>
    <mergeCell ref="PXK24:PXN24"/>
    <mergeCell ref="PXO24:PXR24"/>
    <mergeCell ref="PXS24:PXV24"/>
    <mergeCell ref="PXW24:PXZ24"/>
    <mergeCell ref="PWE24:PWH24"/>
    <mergeCell ref="PWI24:PWL24"/>
    <mergeCell ref="PWM24:PWP24"/>
    <mergeCell ref="PWQ24:PWT24"/>
    <mergeCell ref="PWU24:PWX24"/>
    <mergeCell ref="PWY24:PXB24"/>
    <mergeCell ref="PVG24:PVJ24"/>
    <mergeCell ref="PVK24:PVN24"/>
    <mergeCell ref="PVO24:PVR24"/>
    <mergeCell ref="PVS24:PVV24"/>
    <mergeCell ref="PVW24:PVZ24"/>
    <mergeCell ref="PWA24:PWD24"/>
    <mergeCell ref="PUI24:PUL24"/>
    <mergeCell ref="PUM24:PUP24"/>
    <mergeCell ref="PUQ24:PUT24"/>
    <mergeCell ref="PUU24:PUX24"/>
    <mergeCell ref="PUY24:PVB24"/>
    <mergeCell ref="PVC24:PVF24"/>
    <mergeCell ref="PTK24:PTN24"/>
    <mergeCell ref="PTO24:PTR24"/>
    <mergeCell ref="PTS24:PTV24"/>
    <mergeCell ref="PTW24:PTZ24"/>
    <mergeCell ref="PUA24:PUD24"/>
    <mergeCell ref="PUE24:PUH24"/>
    <mergeCell ref="PSM24:PSP24"/>
    <mergeCell ref="PSQ24:PST24"/>
    <mergeCell ref="PSU24:PSX24"/>
    <mergeCell ref="PSY24:PTB24"/>
    <mergeCell ref="PTC24:PTF24"/>
    <mergeCell ref="PTG24:PTJ24"/>
    <mergeCell ref="PRO24:PRR24"/>
    <mergeCell ref="PRS24:PRV24"/>
    <mergeCell ref="PRW24:PRZ24"/>
    <mergeCell ref="PSA24:PSD24"/>
    <mergeCell ref="PSE24:PSH24"/>
    <mergeCell ref="PSI24:PSL24"/>
    <mergeCell ref="PQQ24:PQT24"/>
    <mergeCell ref="PQU24:PQX24"/>
    <mergeCell ref="PQY24:PRB24"/>
    <mergeCell ref="PRC24:PRF24"/>
    <mergeCell ref="PRG24:PRJ24"/>
    <mergeCell ref="PRK24:PRN24"/>
    <mergeCell ref="PPS24:PPV24"/>
    <mergeCell ref="PPW24:PPZ24"/>
    <mergeCell ref="PQA24:PQD24"/>
    <mergeCell ref="PQE24:PQH24"/>
    <mergeCell ref="PQI24:PQL24"/>
    <mergeCell ref="PQM24:PQP24"/>
    <mergeCell ref="POU24:POX24"/>
    <mergeCell ref="POY24:PPB24"/>
    <mergeCell ref="PPC24:PPF24"/>
    <mergeCell ref="PPG24:PPJ24"/>
    <mergeCell ref="PPK24:PPN24"/>
    <mergeCell ref="PPO24:PPR24"/>
    <mergeCell ref="PNW24:PNZ24"/>
    <mergeCell ref="POA24:POD24"/>
    <mergeCell ref="POE24:POH24"/>
    <mergeCell ref="POI24:POL24"/>
    <mergeCell ref="POM24:POP24"/>
    <mergeCell ref="POQ24:POT24"/>
    <mergeCell ref="PMY24:PNB24"/>
    <mergeCell ref="PNC24:PNF24"/>
    <mergeCell ref="PNG24:PNJ24"/>
    <mergeCell ref="PNK24:PNN24"/>
    <mergeCell ref="PNO24:PNR24"/>
    <mergeCell ref="PNS24:PNV24"/>
    <mergeCell ref="PMA24:PMD24"/>
    <mergeCell ref="PME24:PMH24"/>
    <mergeCell ref="PMI24:PML24"/>
    <mergeCell ref="PMM24:PMP24"/>
    <mergeCell ref="PMQ24:PMT24"/>
    <mergeCell ref="PMU24:PMX24"/>
    <mergeCell ref="PLC24:PLF24"/>
    <mergeCell ref="PLG24:PLJ24"/>
    <mergeCell ref="PLK24:PLN24"/>
    <mergeCell ref="PLO24:PLR24"/>
    <mergeCell ref="PLS24:PLV24"/>
    <mergeCell ref="PLW24:PLZ24"/>
    <mergeCell ref="PKE24:PKH24"/>
    <mergeCell ref="PKI24:PKL24"/>
    <mergeCell ref="PKM24:PKP24"/>
    <mergeCell ref="PKQ24:PKT24"/>
    <mergeCell ref="PKU24:PKX24"/>
    <mergeCell ref="PKY24:PLB24"/>
    <mergeCell ref="PJG24:PJJ24"/>
    <mergeCell ref="PJK24:PJN24"/>
    <mergeCell ref="PJO24:PJR24"/>
    <mergeCell ref="PJS24:PJV24"/>
    <mergeCell ref="PJW24:PJZ24"/>
    <mergeCell ref="PKA24:PKD24"/>
    <mergeCell ref="PII24:PIL24"/>
    <mergeCell ref="PIM24:PIP24"/>
    <mergeCell ref="PIQ24:PIT24"/>
    <mergeCell ref="PIU24:PIX24"/>
    <mergeCell ref="PIY24:PJB24"/>
    <mergeCell ref="PJC24:PJF24"/>
    <mergeCell ref="PHK24:PHN24"/>
    <mergeCell ref="PHO24:PHR24"/>
    <mergeCell ref="PHS24:PHV24"/>
    <mergeCell ref="PHW24:PHZ24"/>
    <mergeCell ref="PIA24:PID24"/>
    <mergeCell ref="PIE24:PIH24"/>
    <mergeCell ref="PGM24:PGP24"/>
    <mergeCell ref="PGQ24:PGT24"/>
    <mergeCell ref="PGU24:PGX24"/>
    <mergeCell ref="PGY24:PHB24"/>
    <mergeCell ref="PHC24:PHF24"/>
    <mergeCell ref="PHG24:PHJ24"/>
    <mergeCell ref="PFO24:PFR24"/>
    <mergeCell ref="PFS24:PFV24"/>
    <mergeCell ref="PFW24:PFZ24"/>
    <mergeCell ref="PGA24:PGD24"/>
    <mergeCell ref="PGE24:PGH24"/>
    <mergeCell ref="PGI24:PGL24"/>
    <mergeCell ref="PEQ24:PET24"/>
    <mergeCell ref="PEU24:PEX24"/>
    <mergeCell ref="PEY24:PFB24"/>
    <mergeCell ref="PFC24:PFF24"/>
    <mergeCell ref="PFG24:PFJ24"/>
    <mergeCell ref="PFK24:PFN24"/>
    <mergeCell ref="PDS24:PDV24"/>
    <mergeCell ref="PDW24:PDZ24"/>
    <mergeCell ref="PEA24:PED24"/>
    <mergeCell ref="PEE24:PEH24"/>
    <mergeCell ref="PEI24:PEL24"/>
    <mergeCell ref="PEM24:PEP24"/>
    <mergeCell ref="PCU24:PCX24"/>
    <mergeCell ref="PCY24:PDB24"/>
    <mergeCell ref="PDC24:PDF24"/>
    <mergeCell ref="PDG24:PDJ24"/>
    <mergeCell ref="PDK24:PDN24"/>
    <mergeCell ref="PDO24:PDR24"/>
    <mergeCell ref="PBW24:PBZ24"/>
    <mergeCell ref="PCA24:PCD24"/>
    <mergeCell ref="PCE24:PCH24"/>
    <mergeCell ref="PCI24:PCL24"/>
    <mergeCell ref="PCM24:PCP24"/>
    <mergeCell ref="PCQ24:PCT24"/>
    <mergeCell ref="PAY24:PBB24"/>
    <mergeCell ref="PBC24:PBF24"/>
    <mergeCell ref="PBG24:PBJ24"/>
    <mergeCell ref="PBK24:PBN24"/>
    <mergeCell ref="PBO24:PBR24"/>
    <mergeCell ref="PBS24:PBV24"/>
    <mergeCell ref="PAA24:PAD24"/>
    <mergeCell ref="PAE24:PAH24"/>
    <mergeCell ref="PAI24:PAL24"/>
    <mergeCell ref="PAM24:PAP24"/>
    <mergeCell ref="PAQ24:PAT24"/>
    <mergeCell ref="PAU24:PAX24"/>
    <mergeCell ref="OZC24:OZF24"/>
    <mergeCell ref="OZG24:OZJ24"/>
    <mergeCell ref="OZK24:OZN24"/>
    <mergeCell ref="OZO24:OZR24"/>
    <mergeCell ref="OZS24:OZV24"/>
    <mergeCell ref="OZW24:OZZ24"/>
    <mergeCell ref="OYE24:OYH24"/>
    <mergeCell ref="OYI24:OYL24"/>
    <mergeCell ref="OYM24:OYP24"/>
    <mergeCell ref="OYQ24:OYT24"/>
    <mergeCell ref="OYU24:OYX24"/>
    <mergeCell ref="OYY24:OZB24"/>
    <mergeCell ref="OXG24:OXJ24"/>
    <mergeCell ref="OXK24:OXN24"/>
    <mergeCell ref="OXO24:OXR24"/>
    <mergeCell ref="OXS24:OXV24"/>
    <mergeCell ref="OXW24:OXZ24"/>
    <mergeCell ref="OYA24:OYD24"/>
    <mergeCell ref="OWI24:OWL24"/>
    <mergeCell ref="OWM24:OWP24"/>
    <mergeCell ref="OWQ24:OWT24"/>
    <mergeCell ref="OWU24:OWX24"/>
    <mergeCell ref="OWY24:OXB24"/>
    <mergeCell ref="OXC24:OXF24"/>
    <mergeCell ref="OVK24:OVN24"/>
    <mergeCell ref="OVO24:OVR24"/>
    <mergeCell ref="OVS24:OVV24"/>
    <mergeCell ref="OVW24:OVZ24"/>
    <mergeCell ref="OWA24:OWD24"/>
    <mergeCell ref="OWE24:OWH24"/>
    <mergeCell ref="OUM24:OUP24"/>
    <mergeCell ref="OUQ24:OUT24"/>
    <mergeCell ref="OUU24:OUX24"/>
    <mergeCell ref="OUY24:OVB24"/>
    <mergeCell ref="OVC24:OVF24"/>
    <mergeCell ref="OVG24:OVJ24"/>
    <mergeCell ref="OTO24:OTR24"/>
    <mergeCell ref="OTS24:OTV24"/>
    <mergeCell ref="OTW24:OTZ24"/>
    <mergeCell ref="OUA24:OUD24"/>
    <mergeCell ref="OUE24:OUH24"/>
    <mergeCell ref="OUI24:OUL24"/>
    <mergeCell ref="OSQ24:OST24"/>
    <mergeCell ref="OSU24:OSX24"/>
    <mergeCell ref="OSY24:OTB24"/>
    <mergeCell ref="OTC24:OTF24"/>
    <mergeCell ref="OTG24:OTJ24"/>
    <mergeCell ref="OTK24:OTN24"/>
    <mergeCell ref="ORS24:ORV24"/>
    <mergeCell ref="ORW24:ORZ24"/>
    <mergeCell ref="OSA24:OSD24"/>
    <mergeCell ref="OSE24:OSH24"/>
    <mergeCell ref="OSI24:OSL24"/>
    <mergeCell ref="OSM24:OSP24"/>
    <mergeCell ref="OQU24:OQX24"/>
    <mergeCell ref="OQY24:ORB24"/>
    <mergeCell ref="ORC24:ORF24"/>
    <mergeCell ref="ORG24:ORJ24"/>
    <mergeCell ref="ORK24:ORN24"/>
    <mergeCell ref="ORO24:ORR24"/>
    <mergeCell ref="OPW24:OPZ24"/>
    <mergeCell ref="OQA24:OQD24"/>
    <mergeCell ref="OQE24:OQH24"/>
    <mergeCell ref="OQI24:OQL24"/>
    <mergeCell ref="OQM24:OQP24"/>
    <mergeCell ref="OQQ24:OQT24"/>
    <mergeCell ref="OOY24:OPB24"/>
    <mergeCell ref="OPC24:OPF24"/>
    <mergeCell ref="OPG24:OPJ24"/>
    <mergeCell ref="OPK24:OPN24"/>
    <mergeCell ref="OPO24:OPR24"/>
    <mergeCell ref="OPS24:OPV24"/>
    <mergeCell ref="OOA24:OOD24"/>
    <mergeCell ref="OOE24:OOH24"/>
    <mergeCell ref="OOI24:OOL24"/>
    <mergeCell ref="OOM24:OOP24"/>
    <mergeCell ref="OOQ24:OOT24"/>
    <mergeCell ref="OOU24:OOX24"/>
    <mergeCell ref="ONC24:ONF24"/>
    <mergeCell ref="ONG24:ONJ24"/>
    <mergeCell ref="ONK24:ONN24"/>
    <mergeCell ref="ONO24:ONR24"/>
    <mergeCell ref="ONS24:ONV24"/>
    <mergeCell ref="ONW24:ONZ24"/>
    <mergeCell ref="OME24:OMH24"/>
    <mergeCell ref="OMI24:OML24"/>
    <mergeCell ref="OMM24:OMP24"/>
    <mergeCell ref="OMQ24:OMT24"/>
    <mergeCell ref="OMU24:OMX24"/>
    <mergeCell ref="OMY24:ONB24"/>
    <mergeCell ref="OLG24:OLJ24"/>
    <mergeCell ref="OLK24:OLN24"/>
    <mergeCell ref="OLO24:OLR24"/>
    <mergeCell ref="OLS24:OLV24"/>
    <mergeCell ref="OLW24:OLZ24"/>
    <mergeCell ref="OMA24:OMD24"/>
    <mergeCell ref="OKI24:OKL24"/>
    <mergeCell ref="OKM24:OKP24"/>
    <mergeCell ref="OKQ24:OKT24"/>
    <mergeCell ref="OKU24:OKX24"/>
    <mergeCell ref="OKY24:OLB24"/>
    <mergeCell ref="OLC24:OLF24"/>
    <mergeCell ref="OJK24:OJN24"/>
    <mergeCell ref="OJO24:OJR24"/>
    <mergeCell ref="OJS24:OJV24"/>
    <mergeCell ref="OJW24:OJZ24"/>
    <mergeCell ref="OKA24:OKD24"/>
    <mergeCell ref="OKE24:OKH24"/>
    <mergeCell ref="OIM24:OIP24"/>
    <mergeCell ref="OIQ24:OIT24"/>
    <mergeCell ref="OIU24:OIX24"/>
    <mergeCell ref="OIY24:OJB24"/>
    <mergeCell ref="OJC24:OJF24"/>
    <mergeCell ref="OJG24:OJJ24"/>
    <mergeCell ref="OHO24:OHR24"/>
    <mergeCell ref="OHS24:OHV24"/>
    <mergeCell ref="OHW24:OHZ24"/>
    <mergeCell ref="OIA24:OID24"/>
    <mergeCell ref="OIE24:OIH24"/>
    <mergeCell ref="OII24:OIL24"/>
    <mergeCell ref="OGQ24:OGT24"/>
    <mergeCell ref="OGU24:OGX24"/>
    <mergeCell ref="OGY24:OHB24"/>
    <mergeCell ref="OHC24:OHF24"/>
    <mergeCell ref="OHG24:OHJ24"/>
    <mergeCell ref="OHK24:OHN24"/>
    <mergeCell ref="OFS24:OFV24"/>
    <mergeCell ref="OFW24:OFZ24"/>
    <mergeCell ref="OGA24:OGD24"/>
    <mergeCell ref="OGE24:OGH24"/>
    <mergeCell ref="OGI24:OGL24"/>
    <mergeCell ref="OGM24:OGP24"/>
    <mergeCell ref="OEU24:OEX24"/>
    <mergeCell ref="OEY24:OFB24"/>
    <mergeCell ref="OFC24:OFF24"/>
    <mergeCell ref="OFG24:OFJ24"/>
    <mergeCell ref="OFK24:OFN24"/>
    <mergeCell ref="OFO24:OFR24"/>
    <mergeCell ref="ODW24:ODZ24"/>
    <mergeCell ref="OEA24:OED24"/>
    <mergeCell ref="OEE24:OEH24"/>
    <mergeCell ref="OEI24:OEL24"/>
    <mergeCell ref="OEM24:OEP24"/>
    <mergeCell ref="OEQ24:OET24"/>
    <mergeCell ref="OCY24:ODB24"/>
    <mergeCell ref="ODC24:ODF24"/>
    <mergeCell ref="ODG24:ODJ24"/>
    <mergeCell ref="ODK24:ODN24"/>
    <mergeCell ref="ODO24:ODR24"/>
    <mergeCell ref="ODS24:ODV24"/>
    <mergeCell ref="OCA24:OCD24"/>
    <mergeCell ref="OCE24:OCH24"/>
    <mergeCell ref="OCI24:OCL24"/>
    <mergeCell ref="OCM24:OCP24"/>
    <mergeCell ref="OCQ24:OCT24"/>
    <mergeCell ref="OCU24:OCX24"/>
    <mergeCell ref="OBC24:OBF24"/>
    <mergeCell ref="OBG24:OBJ24"/>
    <mergeCell ref="OBK24:OBN24"/>
    <mergeCell ref="OBO24:OBR24"/>
    <mergeCell ref="OBS24:OBV24"/>
    <mergeCell ref="OBW24:OBZ24"/>
    <mergeCell ref="OAE24:OAH24"/>
    <mergeCell ref="OAI24:OAL24"/>
    <mergeCell ref="OAM24:OAP24"/>
    <mergeCell ref="OAQ24:OAT24"/>
    <mergeCell ref="OAU24:OAX24"/>
    <mergeCell ref="OAY24:OBB24"/>
    <mergeCell ref="NZG24:NZJ24"/>
    <mergeCell ref="NZK24:NZN24"/>
    <mergeCell ref="NZO24:NZR24"/>
    <mergeCell ref="NZS24:NZV24"/>
    <mergeCell ref="NZW24:NZZ24"/>
    <mergeCell ref="OAA24:OAD24"/>
    <mergeCell ref="NYI24:NYL24"/>
    <mergeCell ref="NYM24:NYP24"/>
    <mergeCell ref="NYQ24:NYT24"/>
    <mergeCell ref="NYU24:NYX24"/>
    <mergeCell ref="NYY24:NZB24"/>
    <mergeCell ref="NZC24:NZF24"/>
    <mergeCell ref="NXK24:NXN24"/>
    <mergeCell ref="NXO24:NXR24"/>
    <mergeCell ref="NXS24:NXV24"/>
    <mergeCell ref="NXW24:NXZ24"/>
    <mergeCell ref="NYA24:NYD24"/>
    <mergeCell ref="NYE24:NYH24"/>
    <mergeCell ref="NWM24:NWP24"/>
    <mergeCell ref="NWQ24:NWT24"/>
    <mergeCell ref="NWU24:NWX24"/>
    <mergeCell ref="NWY24:NXB24"/>
    <mergeCell ref="NXC24:NXF24"/>
    <mergeCell ref="NXG24:NXJ24"/>
    <mergeCell ref="NVO24:NVR24"/>
    <mergeCell ref="NVS24:NVV24"/>
    <mergeCell ref="NVW24:NVZ24"/>
    <mergeCell ref="NWA24:NWD24"/>
    <mergeCell ref="NWE24:NWH24"/>
    <mergeCell ref="NWI24:NWL24"/>
    <mergeCell ref="NUQ24:NUT24"/>
    <mergeCell ref="NUU24:NUX24"/>
    <mergeCell ref="NUY24:NVB24"/>
    <mergeCell ref="NVC24:NVF24"/>
    <mergeCell ref="NVG24:NVJ24"/>
    <mergeCell ref="NVK24:NVN24"/>
    <mergeCell ref="NTS24:NTV24"/>
    <mergeCell ref="NTW24:NTZ24"/>
    <mergeCell ref="NUA24:NUD24"/>
    <mergeCell ref="NUE24:NUH24"/>
    <mergeCell ref="NUI24:NUL24"/>
    <mergeCell ref="NUM24:NUP24"/>
    <mergeCell ref="NSU24:NSX24"/>
    <mergeCell ref="NSY24:NTB24"/>
    <mergeCell ref="NTC24:NTF24"/>
    <mergeCell ref="NTG24:NTJ24"/>
    <mergeCell ref="NTK24:NTN24"/>
    <mergeCell ref="NTO24:NTR24"/>
    <mergeCell ref="NRW24:NRZ24"/>
    <mergeCell ref="NSA24:NSD24"/>
    <mergeCell ref="NSE24:NSH24"/>
    <mergeCell ref="NSI24:NSL24"/>
    <mergeCell ref="NSM24:NSP24"/>
    <mergeCell ref="NSQ24:NST24"/>
    <mergeCell ref="NQY24:NRB24"/>
    <mergeCell ref="NRC24:NRF24"/>
    <mergeCell ref="NRG24:NRJ24"/>
    <mergeCell ref="NRK24:NRN24"/>
    <mergeCell ref="NRO24:NRR24"/>
    <mergeCell ref="NRS24:NRV24"/>
    <mergeCell ref="NQA24:NQD24"/>
    <mergeCell ref="NQE24:NQH24"/>
    <mergeCell ref="NQI24:NQL24"/>
    <mergeCell ref="NQM24:NQP24"/>
    <mergeCell ref="NQQ24:NQT24"/>
    <mergeCell ref="NQU24:NQX24"/>
    <mergeCell ref="NPC24:NPF24"/>
    <mergeCell ref="NPG24:NPJ24"/>
    <mergeCell ref="NPK24:NPN24"/>
    <mergeCell ref="NPO24:NPR24"/>
    <mergeCell ref="NPS24:NPV24"/>
    <mergeCell ref="NPW24:NPZ24"/>
    <mergeCell ref="NOE24:NOH24"/>
    <mergeCell ref="NOI24:NOL24"/>
    <mergeCell ref="NOM24:NOP24"/>
    <mergeCell ref="NOQ24:NOT24"/>
    <mergeCell ref="NOU24:NOX24"/>
    <mergeCell ref="NOY24:NPB24"/>
    <mergeCell ref="NNG24:NNJ24"/>
    <mergeCell ref="NNK24:NNN24"/>
    <mergeCell ref="NNO24:NNR24"/>
    <mergeCell ref="NNS24:NNV24"/>
    <mergeCell ref="NNW24:NNZ24"/>
    <mergeCell ref="NOA24:NOD24"/>
    <mergeCell ref="NMI24:NML24"/>
    <mergeCell ref="NMM24:NMP24"/>
    <mergeCell ref="NMQ24:NMT24"/>
    <mergeCell ref="NMU24:NMX24"/>
    <mergeCell ref="NMY24:NNB24"/>
    <mergeCell ref="NNC24:NNF24"/>
    <mergeCell ref="NLK24:NLN24"/>
    <mergeCell ref="NLO24:NLR24"/>
    <mergeCell ref="NLS24:NLV24"/>
    <mergeCell ref="NLW24:NLZ24"/>
    <mergeCell ref="NMA24:NMD24"/>
    <mergeCell ref="NME24:NMH24"/>
    <mergeCell ref="NKM24:NKP24"/>
    <mergeCell ref="NKQ24:NKT24"/>
    <mergeCell ref="NKU24:NKX24"/>
    <mergeCell ref="NKY24:NLB24"/>
    <mergeCell ref="NLC24:NLF24"/>
    <mergeCell ref="NLG24:NLJ24"/>
    <mergeCell ref="NJO24:NJR24"/>
    <mergeCell ref="NJS24:NJV24"/>
    <mergeCell ref="NJW24:NJZ24"/>
    <mergeCell ref="NKA24:NKD24"/>
    <mergeCell ref="NKE24:NKH24"/>
    <mergeCell ref="NKI24:NKL24"/>
    <mergeCell ref="NIQ24:NIT24"/>
    <mergeCell ref="NIU24:NIX24"/>
    <mergeCell ref="NIY24:NJB24"/>
    <mergeCell ref="NJC24:NJF24"/>
    <mergeCell ref="NJG24:NJJ24"/>
    <mergeCell ref="NJK24:NJN24"/>
    <mergeCell ref="NHS24:NHV24"/>
    <mergeCell ref="NHW24:NHZ24"/>
    <mergeCell ref="NIA24:NID24"/>
    <mergeCell ref="NIE24:NIH24"/>
    <mergeCell ref="NII24:NIL24"/>
    <mergeCell ref="NIM24:NIP24"/>
    <mergeCell ref="NGU24:NGX24"/>
    <mergeCell ref="NGY24:NHB24"/>
    <mergeCell ref="NHC24:NHF24"/>
    <mergeCell ref="NHG24:NHJ24"/>
    <mergeCell ref="NHK24:NHN24"/>
    <mergeCell ref="NHO24:NHR24"/>
    <mergeCell ref="NFW24:NFZ24"/>
    <mergeCell ref="NGA24:NGD24"/>
    <mergeCell ref="NGE24:NGH24"/>
    <mergeCell ref="NGI24:NGL24"/>
    <mergeCell ref="NGM24:NGP24"/>
    <mergeCell ref="NGQ24:NGT24"/>
    <mergeCell ref="NEY24:NFB24"/>
    <mergeCell ref="NFC24:NFF24"/>
    <mergeCell ref="NFG24:NFJ24"/>
    <mergeCell ref="NFK24:NFN24"/>
    <mergeCell ref="NFO24:NFR24"/>
    <mergeCell ref="NFS24:NFV24"/>
    <mergeCell ref="NEA24:NED24"/>
    <mergeCell ref="NEE24:NEH24"/>
    <mergeCell ref="NEI24:NEL24"/>
    <mergeCell ref="NEM24:NEP24"/>
    <mergeCell ref="NEQ24:NET24"/>
    <mergeCell ref="NEU24:NEX24"/>
    <mergeCell ref="NDC24:NDF24"/>
    <mergeCell ref="NDG24:NDJ24"/>
    <mergeCell ref="NDK24:NDN24"/>
    <mergeCell ref="NDO24:NDR24"/>
    <mergeCell ref="NDS24:NDV24"/>
    <mergeCell ref="NDW24:NDZ24"/>
    <mergeCell ref="NCE24:NCH24"/>
    <mergeCell ref="NCI24:NCL24"/>
    <mergeCell ref="NCM24:NCP24"/>
    <mergeCell ref="NCQ24:NCT24"/>
    <mergeCell ref="NCU24:NCX24"/>
    <mergeCell ref="NCY24:NDB24"/>
    <mergeCell ref="NBG24:NBJ24"/>
    <mergeCell ref="NBK24:NBN24"/>
    <mergeCell ref="NBO24:NBR24"/>
    <mergeCell ref="NBS24:NBV24"/>
    <mergeCell ref="NBW24:NBZ24"/>
    <mergeCell ref="NCA24:NCD24"/>
    <mergeCell ref="NAI24:NAL24"/>
    <mergeCell ref="NAM24:NAP24"/>
    <mergeCell ref="NAQ24:NAT24"/>
    <mergeCell ref="NAU24:NAX24"/>
    <mergeCell ref="NAY24:NBB24"/>
    <mergeCell ref="NBC24:NBF24"/>
    <mergeCell ref="MZK24:MZN24"/>
    <mergeCell ref="MZO24:MZR24"/>
    <mergeCell ref="MZS24:MZV24"/>
    <mergeCell ref="MZW24:MZZ24"/>
    <mergeCell ref="NAA24:NAD24"/>
    <mergeCell ref="NAE24:NAH24"/>
    <mergeCell ref="MYM24:MYP24"/>
    <mergeCell ref="MYQ24:MYT24"/>
    <mergeCell ref="MYU24:MYX24"/>
    <mergeCell ref="MYY24:MZB24"/>
    <mergeCell ref="MZC24:MZF24"/>
    <mergeCell ref="MZG24:MZJ24"/>
    <mergeCell ref="MXO24:MXR24"/>
    <mergeCell ref="MXS24:MXV24"/>
    <mergeCell ref="MXW24:MXZ24"/>
    <mergeCell ref="MYA24:MYD24"/>
    <mergeCell ref="MYE24:MYH24"/>
    <mergeCell ref="MYI24:MYL24"/>
    <mergeCell ref="MWQ24:MWT24"/>
    <mergeCell ref="MWU24:MWX24"/>
    <mergeCell ref="MWY24:MXB24"/>
    <mergeCell ref="MXC24:MXF24"/>
    <mergeCell ref="MXG24:MXJ24"/>
    <mergeCell ref="MXK24:MXN24"/>
    <mergeCell ref="MVS24:MVV24"/>
    <mergeCell ref="MVW24:MVZ24"/>
    <mergeCell ref="MWA24:MWD24"/>
    <mergeCell ref="MWE24:MWH24"/>
    <mergeCell ref="MWI24:MWL24"/>
    <mergeCell ref="MWM24:MWP24"/>
    <mergeCell ref="MUU24:MUX24"/>
    <mergeCell ref="MUY24:MVB24"/>
    <mergeCell ref="MVC24:MVF24"/>
    <mergeCell ref="MVG24:MVJ24"/>
    <mergeCell ref="MVK24:MVN24"/>
    <mergeCell ref="MVO24:MVR24"/>
    <mergeCell ref="MTW24:MTZ24"/>
    <mergeCell ref="MUA24:MUD24"/>
    <mergeCell ref="MUE24:MUH24"/>
    <mergeCell ref="MUI24:MUL24"/>
    <mergeCell ref="MUM24:MUP24"/>
    <mergeCell ref="MUQ24:MUT24"/>
    <mergeCell ref="MSY24:MTB24"/>
    <mergeCell ref="MTC24:MTF24"/>
    <mergeCell ref="MTG24:MTJ24"/>
    <mergeCell ref="MTK24:MTN24"/>
    <mergeCell ref="MTO24:MTR24"/>
    <mergeCell ref="MTS24:MTV24"/>
    <mergeCell ref="MSA24:MSD24"/>
    <mergeCell ref="MSE24:MSH24"/>
    <mergeCell ref="MSI24:MSL24"/>
    <mergeCell ref="MSM24:MSP24"/>
    <mergeCell ref="MSQ24:MST24"/>
    <mergeCell ref="MSU24:MSX24"/>
    <mergeCell ref="MRC24:MRF24"/>
    <mergeCell ref="MRG24:MRJ24"/>
    <mergeCell ref="MRK24:MRN24"/>
    <mergeCell ref="MRO24:MRR24"/>
    <mergeCell ref="MRS24:MRV24"/>
    <mergeCell ref="MRW24:MRZ24"/>
    <mergeCell ref="MQE24:MQH24"/>
    <mergeCell ref="MQI24:MQL24"/>
    <mergeCell ref="MQM24:MQP24"/>
    <mergeCell ref="MQQ24:MQT24"/>
    <mergeCell ref="MQU24:MQX24"/>
    <mergeCell ref="MQY24:MRB24"/>
    <mergeCell ref="MPG24:MPJ24"/>
    <mergeCell ref="MPK24:MPN24"/>
    <mergeCell ref="MPO24:MPR24"/>
    <mergeCell ref="MPS24:MPV24"/>
    <mergeCell ref="MPW24:MPZ24"/>
    <mergeCell ref="MQA24:MQD24"/>
    <mergeCell ref="MOI24:MOL24"/>
    <mergeCell ref="MOM24:MOP24"/>
    <mergeCell ref="MOQ24:MOT24"/>
    <mergeCell ref="MOU24:MOX24"/>
    <mergeCell ref="MOY24:MPB24"/>
    <mergeCell ref="MPC24:MPF24"/>
    <mergeCell ref="MNK24:MNN24"/>
    <mergeCell ref="MNO24:MNR24"/>
    <mergeCell ref="MNS24:MNV24"/>
    <mergeCell ref="MNW24:MNZ24"/>
    <mergeCell ref="MOA24:MOD24"/>
    <mergeCell ref="MOE24:MOH24"/>
    <mergeCell ref="MMM24:MMP24"/>
    <mergeCell ref="MMQ24:MMT24"/>
    <mergeCell ref="MMU24:MMX24"/>
    <mergeCell ref="MMY24:MNB24"/>
    <mergeCell ref="MNC24:MNF24"/>
    <mergeCell ref="MNG24:MNJ24"/>
    <mergeCell ref="MLO24:MLR24"/>
    <mergeCell ref="MLS24:MLV24"/>
    <mergeCell ref="MLW24:MLZ24"/>
    <mergeCell ref="MMA24:MMD24"/>
    <mergeCell ref="MME24:MMH24"/>
    <mergeCell ref="MMI24:MML24"/>
    <mergeCell ref="MKQ24:MKT24"/>
    <mergeCell ref="MKU24:MKX24"/>
    <mergeCell ref="MKY24:MLB24"/>
    <mergeCell ref="MLC24:MLF24"/>
    <mergeCell ref="MLG24:MLJ24"/>
    <mergeCell ref="MLK24:MLN24"/>
    <mergeCell ref="MJS24:MJV24"/>
    <mergeCell ref="MJW24:MJZ24"/>
    <mergeCell ref="MKA24:MKD24"/>
    <mergeCell ref="MKE24:MKH24"/>
    <mergeCell ref="MKI24:MKL24"/>
    <mergeCell ref="MKM24:MKP24"/>
    <mergeCell ref="MIU24:MIX24"/>
    <mergeCell ref="MIY24:MJB24"/>
    <mergeCell ref="MJC24:MJF24"/>
    <mergeCell ref="MJG24:MJJ24"/>
    <mergeCell ref="MJK24:MJN24"/>
    <mergeCell ref="MJO24:MJR24"/>
    <mergeCell ref="MHW24:MHZ24"/>
    <mergeCell ref="MIA24:MID24"/>
    <mergeCell ref="MIE24:MIH24"/>
    <mergeCell ref="MII24:MIL24"/>
    <mergeCell ref="MIM24:MIP24"/>
    <mergeCell ref="MIQ24:MIT24"/>
    <mergeCell ref="MGY24:MHB24"/>
    <mergeCell ref="MHC24:MHF24"/>
    <mergeCell ref="MHG24:MHJ24"/>
    <mergeCell ref="MHK24:MHN24"/>
    <mergeCell ref="MHO24:MHR24"/>
    <mergeCell ref="MHS24:MHV24"/>
    <mergeCell ref="MGA24:MGD24"/>
    <mergeCell ref="MGE24:MGH24"/>
    <mergeCell ref="MGI24:MGL24"/>
    <mergeCell ref="MGM24:MGP24"/>
    <mergeCell ref="MGQ24:MGT24"/>
    <mergeCell ref="MGU24:MGX24"/>
    <mergeCell ref="MFC24:MFF24"/>
    <mergeCell ref="MFG24:MFJ24"/>
    <mergeCell ref="MFK24:MFN24"/>
    <mergeCell ref="MFO24:MFR24"/>
    <mergeCell ref="MFS24:MFV24"/>
    <mergeCell ref="MFW24:MFZ24"/>
    <mergeCell ref="MEE24:MEH24"/>
    <mergeCell ref="MEI24:MEL24"/>
    <mergeCell ref="MEM24:MEP24"/>
    <mergeCell ref="MEQ24:MET24"/>
    <mergeCell ref="MEU24:MEX24"/>
    <mergeCell ref="MEY24:MFB24"/>
    <mergeCell ref="MDG24:MDJ24"/>
    <mergeCell ref="MDK24:MDN24"/>
    <mergeCell ref="MDO24:MDR24"/>
    <mergeCell ref="MDS24:MDV24"/>
    <mergeCell ref="MDW24:MDZ24"/>
    <mergeCell ref="MEA24:MED24"/>
    <mergeCell ref="MCI24:MCL24"/>
    <mergeCell ref="MCM24:MCP24"/>
    <mergeCell ref="MCQ24:MCT24"/>
    <mergeCell ref="MCU24:MCX24"/>
    <mergeCell ref="MCY24:MDB24"/>
    <mergeCell ref="MDC24:MDF24"/>
    <mergeCell ref="MBK24:MBN24"/>
    <mergeCell ref="MBO24:MBR24"/>
    <mergeCell ref="MBS24:MBV24"/>
    <mergeCell ref="MBW24:MBZ24"/>
    <mergeCell ref="MCA24:MCD24"/>
    <mergeCell ref="MCE24:MCH24"/>
    <mergeCell ref="MAM24:MAP24"/>
    <mergeCell ref="MAQ24:MAT24"/>
    <mergeCell ref="MAU24:MAX24"/>
    <mergeCell ref="MAY24:MBB24"/>
    <mergeCell ref="MBC24:MBF24"/>
    <mergeCell ref="MBG24:MBJ24"/>
    <mergeCell ref="LZO24:LZR24"/>
    <mergeCell ref="LZS24:LZV24"/>
    <mergeCell ref="LZW24:LZZ24"/>
    <mergeCell ref="MAA24:MAD24"/>
    <mergeCell ref="MAE24:MAH24"/>
    <mergeCell ref="MAI24:MAL24"/>
    <mergeCell ref="LYQ24:LYT24"/>
    <mergeCell ref="LYU24:LYX24"/>
    <mergeCell ref="LYY24:LZB24"/>
    <mergeCell ref="LZC24:LZF24"/>
    <mergeCell ref="LZG24:LZJ24"/>
    <mergeCell ref="LZK24:LZN24"/>
    <mergeCell ref="LXS24:LXV24"/>
    <mergeCell ref="LXW24:LXZ24"/>
    <mergeCell ref="LYA24:LYD24"/>
    <mergeCell ref="LYE24:LYH24"/>
    <mergeCell ref="LYI24:LYL24"/>
    <mergeCell ref="LYM24:LYP24"/>
    <mergeCell ref="LWU24:LWX24"/>
    <mergeCell ref="LWY24:LXB24"/>
    <mergeCell ref="LXC24:LXF24"/>
    <mergeCell ref="LXG24:LXJ24"/>
    <mergeCell ref="LXK24:LXN24"/>
    <mergeCell ref="LXO24:LXR24"/>
    <mergeCell ref="LVW24:LVZ24"/>
    <mergeCell ref="LWA24:LWD24"/>
    <mergeCell ref="LWE24:LWH24"/>
    <mergeCell ref="LWI24:LWL24"/>
    <mergeCell ref="LWM24:LWP24"/>
    <mergeCell ref="LWQ24:LWT24"/>
    <mergeCell ref="LUY24:LVB24"/>
    <mergeCell ref="LVC24:LVF24"/>
    <mergeCell ref="LVG24:LVJ24"/>
    <mergeCell ref="LVK24:LVN24"/>
    <mergeCell ref="LVO24:LVR24"/>
    <mergeCell ref="LVS24:LVV24"/>
    <mergeCell ref="LUA24:LUD24"/>
    <mergeCell ref="LUE24:LUH24"/>
    <mergeCell ref="LUI24:LUL24"/>
    <mergeCell ref="LUM24:LUP24"/>
    <mergeCell ref="LUQ24:LUT24"/>
    <mergeCell ref="LUU24:LUX24"/>
    <mergeCell ref="LTC24:LTF24"/>
    <mergeCell ref="LTG24:LTJ24"/>
    <mergeCell ref="LTK24:LTN24"/>
    <mergeCell ref="LTO24:LTR24"/>
    <mergeCell ref="LTS24:LTV24"/>
    <mergeCell ref="LTW24:LTZ24"/>
    <mergeCell ref="LSE24:LSH24"/>
    <mergeCell ref="LSI24:LSL24"/>
    <mergeCell ref="LSM24:LSP24"/>
    <mergeCell ref="LSQ24:LST24"/>
    <mergeCell ref="LSU24:LSX24"/>
    <mergeCell ref="LSY24:LTB24"/>
    <mergeCell ref="LRG24:LRJ24"/>
    <mergeCell ref="LRK24:LRN24"/>
    <mergeCell ref="LRO24:LRR24"/>
    <mergeCell ref="LRS24:LRV24"/>
    <mergeCell ref="LRW24:LRZ24"/>
    <mergeCell ref="LSA24:LSD24"/>
    <mergeCell ref="LQI24:LQL24"/>
    <mergeCell ref="LQM24:LQP24"/>
    <mergeCell ref="LQQ24:LQT24"/>
    <mergeCell ref="LQU24:LQX24"/>
    <mergeCell ref="LQY24:LRB24"/>
    <mergeCell ref="LRC24:LRF24"/>
    <mergeCell ref="LPK24:LPN24"/>
    <mergeCell ref="LPO24:LPR24"/>
    <mergeCell ref="LPS24:LPV24"/>
    <mergeCell ref="LPW24:LPZ24"/>
    <mergeCell ref="LQA24:LQD24"/>
    <mergeCell ref="LQE24:LQH24"/>
    <mergeCell ref="LOM24:LOP24"/>
    <mergeCell ref="LOQ24:LOT24"/>
    <mergeCell ref="LOU24:LOX24"/>
    <mergeCell ref="LOY24:LPB24"/>
    <mergeCell ref="LPC24:LPF24"/>
    <mergeCell ref="LPG24:LPJ24"/>
    <mergeCell ref="LNO24:LNR24"/>
    <mergeCell ref="LNS24:LNV24"/>
    <mergeCell ref="LNW24:LNZ24"/>
    <mergeCell ref="LOA24:LOD24"/>
    <mergeCell ref="LOE24:LOH24"/>
    <mergeCell ref="LOI24:LOL24"/>
    <mergeCell ref="LMQ24:LMT24"/>
    <mergeCell ref="LMU24:LMX24"/>
    <mergeCell ref="LMY24:LNB24"/>
    <mergeCell ref="LNC24:LNF24"/>
    <mergeCell ref="LNG24:LNJ24"/>
    <mergeCell ref="LNK24:LNN24"/>
    <mergeCell ref="LLS24:LLV24"/>
    <mergeCell ref="LLW24:LLZ24"/>
    <mergeCell ref="LMA24:LMD24"/>
    <mergeCell ref="LME24:LMH24"/>
    <mergeCell ref="LMI24:LML24"/>
    <mergeCell ref="LMM24:LMP24"/>
    <mergeCell ref="LKU24:LKX24"/>
    <mergeCell ref="LKY24:LLB24"/>
    <mergeCell ref="LLC24:LLF24"/>
    <mergeCell ref="LLG24:LLJ24"/>
    <mergeCell ref="LLK24:LLN24"/>
    <mergeCell ref="LLO24:LLR24"/>
    <mergeCell ref="LJW24:LJZ24"/>
    <mergeCell ref="LKA24:LKD24"/>
    <mergeCell ref="LKE24:LKH24"/>
    <mergeCell ref="LKI24:LKL24"/>
    <mergeCell ref="LKM24:LKP24"/>
    <mergeCell ref="LKQ24:LKT24"/>
    <mergeCell ref="LIY24:LJB24"/>
    <mergeCell ref="LJC24:LJF24"/>
    <mergeCell ref="LJG24:LJJ24"/>
    <mergeCell ref="LJK24:LJN24"/>
    <mergeCell ref="LJO24:LJR24"/>
    <mergeCell ref="LJS24:LJV24"/>
    <mergeCell ref="LIA24:LID24"/>
    <mergeCell ref="LIE24:LIH24"/>
    <mergeCell ref="LII24:LIL24"/>
    <mergeCell ref="LIM24:LIP24"/>
    <mergeCell ref="LIQ24:LIT24"/>
    <mergeCell ref="LIU24:LIX24"/>
    <mergeCell ref="LHC24:LHF24"/>
    <mergeCell ref="LHG24:LHJ24"/>
    <mergeCell ref="LHK24:LHN24"/>
    <mergeCell ref="LHO24:LHR24"/>
    <mergeCell ref="LHS24:LHV24"/>
    <mergeCell ref="LHW24:LHZ24"/>
    <mergeCell ref="LGE24:LGH24"/>
    <mergeCell ref="LGI24:LGL24"/>
    <mergeCell ref="LGM24:LGP24"/>
    <mergeCell ref="LGQ24:LGT24"/>
    <mergeCell ref="LGU24:LGX24"/>
    <mergeCell ref="LGY24:LHB24"/>
    <mergeCell ref="LFG24:LFJ24"/>
    <mergeCell ref="LFK24:LFN24"/>
    <mergeCell ref="LFO24:LFR24"/>
    <mergeCell ref="LFS24:LFV24"/>
    <mergeCell ref="LFW24:LFZ24"/>
    <mergeCell ref="LGA24:LGD24"/>
    <mergeCell ref="LEI24:LEL24"/>
    <mergeCell ref="LEM24:LEP24"/>
    <mergeCell ref="LEQ24:LET24"/>
    <mergeCell ref="LEU24:LEX24"/>
    <mergeCell ref="LEY24:LFB24"/>
    <mergeCell ref="LFC24:LFF24"/>
    <mergeCell ref="LDK24:LDN24"/>
    <mergeCell ref="LDO24:LDR24"/>
    <mergeCell ref="LDS24:LDV24"/>
    <mergeCell ref="LDW24:LDZ24"/>
    <mergeCell ref="LEA24:LED24"/>
    <mergeCell ref="LEE24:LEH24"/>
    <mergeCell ref="LCM24:LCP24"/>
    <mergeCell ref="LCQ24:LCT24"/>
    <mergeCell ref="LCU24:LCX24"/>
    <mergeCell ref="LCY24:LDB24"/>
    <mergeCell ref="LDC24:LDF24"/>
    <mergeCell ref="LDG24:LDJ24"/>
    <mergeCell ref="LBO24:LBR24"/>
    <mergeCell ref="LBS24:LBV24"/>
    <mergeCell ref="LBW24:LBZ24"/>
    <mergeCell ref="LCA24:LCD24"/>
    <mergeCell ref="LCE24:LCH24"/>
    <mergeCell ref="LCI24:LCL24"/>
    <mergeCell ref="LAQ24:LAT24"/>
    <mergeCell ref="LAU24:LAX24"/>
    <mergeCell ref="LAY24:LBB24"/>
    <mergeCell ref="LBC24:LBF24"/>
    <mergeCell ref="LBG24:LBJ24"/>
    <mergeCell ref="LBK24:LBN24"/>
    <mergeCell ref="KZS24:KZV24"/>
    <mergeCell ref="KZW24:KZZ24"/>
    <mergeCell ref="LAA24:LAD24"/>
    <mergeCell ref="LAE24:LAH24"/>
    <mergeCell ref="LAI24:LAL24"/>
    <mergeCell ref="LAM24:LAP24"/>
    <mergeCell ref="KYU24:KYX24"/>
    <mergeCell ref="KYY24:KZB24"/>
    <mergeCell ref="KZC24:KZF24"/>
    <mergeCell ref="KZG24:KZJ24"/>
    <mergeCell ref="KZK24:KZN24"/>
    <mergeCell ref="KZO24:KZR24"/>
    <mergeCell ref="KXW24:KXZ24"/>
    <mergeCell ref="KYA24:KYD24"/>
    <mergeCell ref="KYE24:KYH24"/>
    <mergeCell ref="KYI24:KYL24"/>
    <mergeCell ref="KYM24:KYP24"/>
    <mergeCell ref="KYQ24:KYT24"/>
    <mergeCell ref="KWY24:KXB24"/>
    <mergeCell ref="KXC24:KXF24"/>
    <mergeCell ref="KXG24:KXJ24"/>
    <mergeCell ref="KXK24:KXN24"/>
    <mergeCell ref="KXO24:KXR24"/>
    <mergeCell ref="KXS24:KXV24"/>
    <mergeCell ref="KWA24:KWD24"/>
    <mergeCell ref="KWE24:KWH24"/>
    <mergeCell ref="KWI24:KWL24"/>
    <mergeCell ref="KWM24:KWP24"/>
    <mergeCell ref="KWQ24:KWT24"/>
    <mergeCell ref="KWU24:KWX24"/>
    <mergeCell ref="KVC24:KVF24"/>
    <mergeCell ref="KVG24:KVJ24"/>
    <mergeCell ref="KVK24:KVN24"/>
    <mergeCell ref="KVO24:KVR24"/>
    <mergeCell ref="KVS24:KVV24"/>
    <mergeCell ref="KVW24:KVZ24"/>
    <mergeCell ref="KUE24:KUH24"/>
    <mergeCell ref="KUI24:KUL24"/>
    <mergeCell ref="KUM24:KUP24"/>
    <mergeCell ref="KUQ24:KUT24"/>
    <mergeCell ref="KUU24:KUX24"/>
    <mergeCell ref="KUY24:KVB24"/>
    <mergeCell ref="KTG24:KTJ24"/>
    <mergeCell ref="KTK24:KTN24"/>
    <mergeCell ref="KTO24:KTR24"/>
    <mergeCell ref="KTS24:KTV24"/>
    <mergeCell ref="KTW24:KTZ24"/>
    <mergeCell ref="KUA24:KUD24"/>
    <mergeCell ref="KSI24:KSL24"/>
    <mergeCell ref="KSM24:KSP24"/>
    <mergeCell ref="KSQ24:KST24"/>
    <mergeCell ref="KSU24:KSX24"/>
    <mergeCell ref="KSY24:KTB24"/>
    <mergeCell ref="KTC24:KTF24"/>
    <mergeCell ref="KRK24:KRN24"/>
    <mergeCell ref="KRO24:KRR24"/>
    <mergeCell ref="KRS24:KRV24"/>
    <mergeCell ref="KRW24:KRZ24"/>
    <mergeCell ref="KSA24:KSD24"/>
    <mergeCell ref="KSE24:KSH24"/>
    <mergeCell ref="KQM24:KQP24"/>
    <mergeCell ref="KQQ24:KQT24"/>
    <mergeCell ref="KQU24:KQX24"/>
    <mergeCell ref="KQY24:KRB24"/>
    <mergeCell ref="KRC24:KRF24"/>
    <mergeCell ref="KRG24:KRJ24"/>
    <mergeCell ref="KPO24:KPR24"/>
    <mergeCell ref="KPS24:KPV24"/>
    <mergeCell ref="KPW24:KPZ24"/>
    <mergeCell ref="KQA24:KQD24"/>
    <mergeCell ref="KQE24:KQH24"/>
    <mergeCell ref="KQI24:KQL24"/>
    <mergeCell ref="KOQ24:KOT24"/>
    <mergeCell ref="KOU24:KOX24"/>
    <mergeCell ref="KOY24:KPB24"/>
    <mergeCell ref="KPC24:KPF24"/>
    <mergeCell ref="KPG24:KPJ24"/>
    <mergeCell ref="KPK24:KPN24"/>
    <mergeCell ref="KNS24:KNV24"/>
    <mergeCell ref="KNW24:KNZ24"/>
    <mergeCell ref="KOA24:KOD24"/>
    <mergeCell ref="KOE24:KOH24"/>
    <mergeCell ref="KOI24:KOL24"/>
    <mergeCell ref="KOM24:KOP24"/>
    <mergeCell ref="KMU24:KMX24"/>
    <mergeCell ref="KMY24:KNB24"/>
    <mergeCell ref="KNC24:KNF24"/>
    <mergeCell ref="KNG24:KNJ24"/>
    <mergeCell ref="KNK24:KNN24"/>
    <mergeCell ref="KNO24:KNR24"/>
    <mergeCell ref="KLW24:KLZ24"/>
    <mergeCell ref="KMA24:KMD24"/>
    <mergeCell ref="KME24:KMH24"/>
    <mergeCell ref="KMI24:KML24"/>
    <mergeCell ref="KMM24:KMP24"/>
    <mergeCell ref="KMQ24:KMT24"/>
    <mergeCell ref="KKY24:KLB24"/>
    <mergeCell ref="KLC24:KLF24"/>
    <mergeCell ref="KLG24:KLJ24"/>
    <mergeCell ref="KLK24:KLN24"/>
    <mergeCell ref="KLO24:KLR24"/>
    <mergeCell ref="KLS24:KLV24"/>
    <mergeCell ref="KKA24:KKD24"/>
    <mergeCell ref="KKE24:KKH24"/>
    <mergeCell ref="KKI24:KKL24"/>
    <mergeCell ref="KKM24:KKP24"/>
    <mergeCell ref="KKQ24:KKT24"/>
    <mergeCell ref="KKU24:KKX24"/>
    <mergeCell ref="KJC24:KJF24"/>
    <mergeCell ref="KJG24:KJJ24"/>
    <mergeCell ref="KJK24:KJN24"/>
    <mergeCell ref="KJO24:KJR24"/>
    <mergeCell ref="KJS24:KJV24"/>
    <mergeCell ref="KJW24:KJZ24"/>
    <mergeCell ref="KIE24:KIH24"/>
    <mergeCell ref="KII24:KIL24"/>
    <mergeCell ref="KIM24:KIP24"/>
    <mergeCell ref="KIQ24:KIT24"/>
    <mergeCell ref="KIU24:KIX24"/>
    <mergeCell ref="KIY24:KJB24"/>
    <mergeCell ref="KHG24:KHJ24"/>
    <mergeCell ref="KHK24:KHN24"/>
    <mergeCell ref="KHO24:KHR24"/>
    <mergeCell ref="KHS24:KHV24"/>
    <mergeCell ref="KHW24:KHZ24"/>
    <mergeCell ref="KIA24:KID24"/>
    <mergeCell ref="KGI24:KGL24"/>
    <mergeCell ref="KGM24:KGP24"/>
    <mergeCell ref="KGQ24:KGT24"/>
    <mergeCell ref="KGU24:KGX24"/>
    <mergeCell ref="KGY24:KHB24"/>
    <mergeCell ref="KHC24:KHF24"/>
    <mergeCell ref="KFK24:KFN24"/>
    <mergeCell ref="KFO24:KFR24"/>
    <mergeCell ref="KFS24:KFV24"/>
    <mergeCell ref="KFW24:KFZ24"/>
    <mergeCell ref="KGA24:KGD24"/>
    <mergeCell ref="KGE24:KGH24"/>
    <mergeCell ref="KEM24:KEP24"/>
    <mergeCell ref="KEQ24:KET24"/>
    <mergeCell ref="KEU24:KEX24"/>
    <mergeCell ref="KEY24:KFB24"/>
    <mergeCell ref="KFC24:KFF24"/>
    <mergeCell ref="KFG24:KFJ24"/>
    <mergeCell ref="KDO24:KDR24"/>
    <mergeCell ref="KDS24:KDV24"/>
    <mergeCell ref="KDW24:KDZ24"/>
    <mergeCell ref="KEA24:KED24"/>
    <mergeCell ref="KEE24:KEH24"/>
    <mergeCell ref="KEI24:KEL24"/>
    <mergeCell ref="KCQ24:KCT24"/>
    <mergeCell ref="KCU24:KCX24"/>
    <mergeCell ref="KCY24:KDB24"/>
    <mergeCell ref="KDC24:KDF24"/>
    <mergeCell ref="KDG24:KDJ24"/>
    <mergeCell ref="KDK24:KDN24"/>
    <mergeCell ref="KBS24:KBV24"/>
    <mergeCell ref="KBW24:KBZ24"/>
    <mergeCell ref="KCA24:KCD24"/>
    <mergeCell ref="KCE24:KCH24"/>
    <mergeCell ref="KCI24:KCL24"/>
    <mergeCell ref="KCM24:KCP24"/>
    <mergeCell ref="KAU24:KAX24"/>
    <mergeCell ref="KAY24:KBB24"/>
    <mergeCell ref="KBC24:KBF24"/>
    <mergeCell ref="KBG24:KBJ24"/>
    <mergeCell ref="KBK24:KBN24"/>
    <mergeCell ref="KBO24:KBR24"/>
    <mergeCell ref="JZW24:JZZ24"/>
    <mergeCell ref="KAA24:KAD24"/>
    <mergeCell ref="KAE24:KAH24"/>
    <mergeCell ref="KAI24:KAL24"/>
    <mergeCell ref="KAM24:KAP24"/>
    <mergeCell ref="KAQ24:KAT24"/>
    <mergeCell ref="JYY24:JZB24"/>
    <mergeCell ref="JZC24:JZF24"/>
    <mergeCell ref="JZG24:JZJ24"/>
    <mergeCell ref="JZK24:JZN24"/>
    <mergeCell ref="JZO24:JZR24"/>
    <mergeCell ref="JZS24:JZV24"/>
    <mergeCell ref="JYA24:JYD24"/>
    <mergeCell ref="JYE24:JYH24"/>
    <mergeCell ref="JYI24:JYL24"/>
    <mergeCell ref="JYM24:JYP24"/>
    <mergeCell ref="JYQ24:JYT24"/>
    <mergeCell ref="JYU24:JYX24"/>
    <mergeCell ref="JXC24:JXF24"/>
    <mergeCell ref="JXG24:JXJ24"/>
    <mergeCell ref="JXK24:JXN24"/>
    <mergeCell ref="JXO24:JXR24"/>
    <mergeCell ref="JXS24:JXV24"/>
    <mergeCell ref="JXW24:JXZ24"/>
    <mergeCell ref="JWE24:JWH24"/>
    <mergeCell ref="JWI24:JWL24"/>
    <mergeCell ref="JWM24:JWP24"/>
    <mergeCell ref="JWQ24:JWT24"/>
    <mergeCell ref="JWU24:JWX24"/>
    <mergeCell ref="JWY24:JXB24"/>
    <mergeCell ref="JVG24:JVJ24"/>
    <mergeCell ref="JVK24:JVN24"/>
    <mergeCell ref="JVO24:JVR24"/>
    <mergeCell ref="JVS24:JVV24"/>
    <mergeCell ref="JVW24:JVZ24"/>
    <mergeCell ref="JWA24:JWD24"/>
    <mergeCell ref="JUI24:JUL24"/>
    <mergeCell ref="JUM24:JUP24"/>
    <mergeCell ref="JUQ24:JUT24"/>
    <mergeCell ref="JUU24:JUX24"/>
    <mergeCell ref="JUY24:JVB24"/>
    <mergeCell ref="JVC24:JVF24"/>
    <mergeCell ref="JTK24:JTN24"/>
    <mergeCell ref="JTO24:JTR24"/>
    <mergeCell ref="JTS24:JTV24"/>
    <mergeCell ref="JTW24:JTZ24"/>
    <mergeCell ref="JUA24:JUD24"/>
    <mergeCell ref="JUE24:JUH24"/>
    <mergeCell ref="JSM24:JSP24"/>
    <mergeCell ref="JSQ24:JST24"/>
    <mergeCell ref="JSU24:JSX24"/>
    <mergeCell ref="JSY24:JTB24"/>
    <mergeCell ref="JTC24:JTF24"/>
    <mergeCell ref="JTG24:JTJ24"/>
    <mergeCell ref="JRO24:JRR24"/>
    <mergeCell ref="JRS24:JRV24"/>
    <mergeCell ref="JRW24:JRZ24"/>
    <mergeCell ref="JSA24:JSD24"/>
    <mergeCell ref="JSE24:JSH24"/>
    <mergeCell ref="JSI24:JSL24"/>
    <mergeCell ref="JQQ24:JQT24"/>
    <mergeCell ref="JQU24:JQX24"/>
    <mergeCell ref="JQY24:JRB24"/>
    <mergeCell ref="JRC24:JRF24"/>
    <mergeCell ref="JRG24:JRJ24"/>
    <mergeCell ref="JRK24:JRN24"/>
    <mergeCell ref="JPS24:JPV24"/>
    <mergeCell ref="JPW24:JPZ24"/>
    <mergeCell ref="JQA24:JQD24"/>
    <mergeCell ref="JQE24:JQH24"/>
    <mergeCell ref="JQI24:JQL24"/>
    <mergeCell ref="JQM24:JQP24"/>
    <mergeCell ref="JOU24:JOX24"/>
    <mergeCell ref="JOY24:JPB24"/>
    <mergeCell ref="JPC24:JPF24"/>
    <mergeCell ref="JPG24:JPJ24"/>
    <mergeCell ref="JPK24:JPN24"/>
    <mergeCell ref="JPO24:JPR24"/>
    <mergeCell ref="JNW24:JNZ24"/>
    <mergeCell ref="JOA24:JOD24"/>
    <mergeCell ref="JOE24:JOH24"/>
    <mergeCell ref="JOI24:JOL24"/>
    <mergeCell ref="JOM24:JOP24"/>
    <mergeCell ref="JOQ24:JOT24"/>
    <mergeCell ref="JMY24:JNB24"/>
    <mergeCell ref="JNC24:JNF24"/>
    <mergeCell ref="JNG24:JNJ24"/>
    <mergeCell ref="JNK24:JNN24"/>
    <mergeCell ref="JNO24:JNR24"/>
    <mergeCell ref="JNS24:JNV24"/>
    <mergeCell ref="JMA24:JMD24"/>
    <mergeCell ref="JME24:JMH24"/>
    <mergeCell ref="JMI24:JML24"/>
    <mergeCell ref="JMM24:JMP24"/>
    <mergeCell ref="JMQ24:JMT24"/>
    <mergeCell ref="JMU24:JMX24"/>
    <mergeCell ref="JLC24:JLF24"/>
    <mergeCell ref="JLG24:JLJ24"/>
    <mergeCell ref="JLK24:JLN24"/>
    <mergeCell ref="JLO24:JLR24"/>
    <mergeCell ref="JLS24:JLV24"/>
    <mergeCell ref="JLW24:JLZ24"/>
    <mergeCell ref="JKE24:JKH24"/>
    <mergeCell ref="JKI24:JKL24"/>
    <mergeCell ref="JKM24:JKP24"/>
    <mergeCell ref="JKQ24:JKT24"/>
    <mergeCell ref="JKU24:JKX24"/>
    <mergeCell ref="JKY24:JLB24"/>
    <mergeCell ref="JJG24:JJJ24"/>
    <mergeCell ref="JJK24:JJN24"/>
    <mergeCell ref="JJO24:JJR24"/>
    <mergeCell ref="JJS24:JJV24"/>
    <mergeCell ref="JJW24:JJZ24"/>
    <mergeCell ref="JKA24:JKD24"/>
    <mergeCell ref="JII24:JIL24"/>
    <mergeCell ref="JIM24:JIP24"/>
    <mergeCell ref="JIQ24:JIT24"/>
    <mergeCell ref="JIU24:JIX24"/>
    <mergeCell ref="JIY24:JJB24"/>
    <mergeCell ref="JJC24:JJF24"/>
    <mergeCell ref="JHK24:JHN24"/>
    <mergeCell ref="JHO24:JHR24"/>
    <mergeCell ref="JHS24:JHV24"/>
    <mergeCell ref="JHW24:JHZ24"/>
    <mergeCell ref="JIA24:JID24"/>
    <mergeCell ref="JIE24:JIH24"/>
    <mergeCell ref="JGM24:JGP24"/>
    <mergeCell ref="JGQ24:JGT24"/>
    <mergeCell ref="JGU24:JGX24"/>
    <mergeCell ref="JGY24:JHB24"/>
    <mergeCell ref="JHC24:JHF24"/>
    <mergeCell ref="JHG24:JHJ24"/>
    <mergeCell ref="JFO24:JFR24"/>
    <mergeCell ref="JFS24:JFV24"/>
    <mergeCell ref="JFW24:JFZ24"/>
    <mergeCell ref="JGA24:JGD24"/>
    <mergeCell ref="JGE24:JGH24"/>
    <mergeCell ref="JGI24:JGL24"/>
    <mergeCell ref="JEQ24:JET24"/>
    <mergeCell ref="JEU24:JEX24"/>
    <mergeCell ref="JEY24:JFB24"/>
    <mergeCell ref="JFC24:JFF24"/>
    <mergeCell ref="JFG24:JFJ24"/>
    <mergeCell ref="JFK24:JFN24"/>
    <mergeCell ref="JDS24:JDV24"/>
    <mergeCell ref="JDW24:JDZ24"/>
    <mergeCell ref="JEA24:JED24"/>
    <mergeCell ref="JEE24:JEH24"/>
    <mergeCell ref="JEI24:JEL24"/>
    <mergeCell ref="JEM24:JEP24"/>
    <mergeCell ref="JCU24:JCX24"/>
    <mergeCell ref="JCY24:JDB24"/>
    <mergeCell ref="JDC24:JDF24"/>
    <mergeCell ref="JDG24:JDJ24"/>
    <mergeCell ref="JDK24:JDN24"/>
    <mergeCell ref="JDO24:JDR24"/>
    <mergeCell ref="JBW24:JBZ24"/>
    <mergeCell ref="JCA24:JCD24"/>
    <mergeCell ref="JCE24:JCH24"/>
    <mergeCell ref="JCI24:JCL24"/>
    <mergeCell ref="JCM24:JCP24"/>
    <mergeCell ref="JCQ24:JCT24"/>
    <mergeCell ref="JAY24:JBB24"/>
    <mergeCell ref="JBC24:JBF24"/>
    <mergeCell ref="JBG24:JBJ24"/>
    <mergeCell ref="JBK24:JBN24"/>
    <mergeCell ref="JBO24:JBR24"/>
    <mergeCell ref="JBS24:JBV24"/>
    <mergeCell ref="JAA24:JAD24"/>
    <mergeCell ref="JAE24:JAH24"/>
    <mergeCell ref="JAI24:JAL24"/>
    <mergeCell ref="JAM24:JAP24"/>
    <mergeCell ref="JAQ24:JAT24"/>
    <mergeCell ref="JAU24:JAX24"/>
    <mergeCell ref="IZC24:IZF24"/>
    <mergeCell ref="IZG24:IZJ24"/>
    <mergeCell ref="IZK24:IZN24"/>
    <mergeCell ref="IZO24:IZR24"/>
    <mergeCell ref="IZS24:IZV24"/>
    <mergeCell ref="IZW24:IZZ24"/>
    <mergeCell ref="IYE24:IYH24"/>
    <mergeCell ref="IYI24:IYL24"/>
    <mergeCell ref="IYM24:IYP24"/>
    <mergeCell ref="IYQ24:IYT24"/>
    <mergeCell ref="IYU24:IYX24"/>
    <mergeCell ref="IYY24:IZB24"/>
    <mergeCell ref="IXG24:IXJ24"/>
    <mergeCell ref="IXK24:IXN24"/>
    <mergeCell ref="IXO24:IXR24"/>
    <mergeCell ref="IXS24:IXV24"/>
    <mergeCell ref="IXW24:IXZ24"/>
    <mergeCell ref="IYA24:IYD24"/>
    <mergeCell ref="IWI24:IWL24"/>
    <mergeCell ref="IWM24:IWP24"/>
    <mergeCell ref="IWQ24:IWT24"/>
    <mergeCell ref="IWU24:IWX24"/>
    <mergeCell ref="IWY24:IXB24"/>
    <mergeCell ref="IXC24:IXF24"/>
    <mergeCell ref="IVK24:IVN24"/>
    <mergeCell ref="IVO24:IVR24"/>
    <mergeCell ref="IVS24:IVV24"/>
    <mergeCell ref="IVW24:IVZ24"/>
    <mergeCell ref="IWA24:IWD24"/>
    <mergeCell ref="IWE24:IWH24"/>
    <mergeCell ref="IUM24:IUP24"/>
    <mergeCell ref="IUQ24:IUT24"/>
    <mergeCell ref="IUU24:IUX24"/>
    <mergeCell ref="IUY24:IVB24"/>
    <mergeCell ref="IVC24:IVF24"/>
    <mergeCell ref="IVG24:IVJ24"/>
    <mergeCell ref="ITO24:ITR24"/>
    <mergeCell ref="ITS24:ITV24"/>
    <mergeCell ref="ITW24:ITZ24"/>
    <mergeCell ref="IUA24:IUD24"/>
    <mergeCell ref="IUE24:IUH24"/>
    <mergeCell ref="IUI24:IUL24"/>
    <mergeCell ref="ISQ24:IST24"/>
    <mergeCell ref="ISU24:ISX24"/>
    <mergeCell ref="ISY24:ITB24"/>
    <mergeCell ref="ITC24:ITF24"/>
    <mergeCell ref="ITG24:ITJ24"/>
    <mergeCell ref="ITK24:ITN24"/>
    <mergeCell ref="IRS24:IRV24"/>
    <mergeCell ref="IRW24:IRZ24"/>
    <mergeCell ref="ISA24:ISD24"/>
    <mergeCell ref="ISE24:ISH24"/>
    <mergeCell ref="ISI24:ISL24"/>
    <mergeCell ref="ISM24:ISP24"/>
    <mergeCell ref="IQU24:IQX24"/>
    <mergeCell ref="IQY24:IRB24"/>
    <mergeCell ref="IRC24:IRF24"/>
    <mergeCell ref="IRG24:IRJ24"/>
    <mergeCell ref="IRK24:IRN24"/>
    <mergeCell ref="IRO24:IRR24"/>
    <mergeCell ref="IPW24:IPZ24"/>
    <mergeCell ref="IQA24:IQD24"/>
    <mergeCell ref="IQE24:IQH24"/>
    <mergeCell ref="IQI24:IQL24"/>
    <mergeCell ref="IQM24:IQP24"/>
    <mergeCell ref="IQQ24:IQT24"/>
    <mergeCell ref="IOY24:IPB24"/>
    <mergeCell ref="IPC24:IPF24"/>
    <mergeCell ref="IPG24:IPJ24"/>
    <mergeCell ref="IPK24:IPN24"/>
    <mergeCell ref="IPO24:IPR24"/>
    <mergeCell ref="IPS24:IPV24"/>
    <mergeCell ref="IOA24:IOD24"/>
    <mergeCell ref="IOE24:IOH24"/>
    <mergeCell ref="IOI24:IOL24"/>
    <mergeCell ref="IOM24:IOP24"/>
    <mergeCell ref="IOQ24:IOT24"/>
    <mergeCell ref="IOU24:IOX24"/>
    <mergeCell ref="INC24:INF24"/>
    <mergeCell ref="ING24:INJ24"/>
    <mergeCell ref="INK24:INN24"/>
    <mergeCell ref="INO24:INR24"/>
    <mergeCell ref="INS24:INV24"/>
    <mergeCell ref="INW24:INZ24"/>
    <mergeCell ref="IME24:IMH24"/>
    <mergeCell ref="IMI24:IML24"/>
    <mergeCell ref="IMM24:IMP24"/>
    <mergeCell ref="IMQ24:IMT24"/>
    <mergeCell ref="IMU24:IMX24"/>
    <mergeCell ref="IMY24:INB24"/>
    <mergeCell ref="ILG24:ILJ24"/>
    <mergeCell ref="ILK24:ILN24"/>
    <mergeCell ref="ILO24:ILR24"/>
    <mergeCell ref="ILS24:ILV24"/>
    <mergeCell ref="ILW24:ILZ24"/>
    <mergeCell ref="IMA24:IMD24"/>
    <mergeCell ref="IKI24:IKL24"/>
    <mergeCell ref="IKM24:IKP24"/>
    <mergeCell ref="IKQ24:IKT24"/>
    <mergeCell ref="IKU24:IKX24"/>
    <mergeCell ref="IKY24:ILB24"/>
    <mergeCell ref="ILC24:ILF24"/>
    <mergeCell ref="IJK24:IJN24"/>
    <mergeCell ref="IJO24:IJR24"/>
    <mergeCell ref="IJS24:IJV24"/>
    <mergeCell ref="IJW24:IJZ24"/>
    <mergeCell ref="IKA24:IKD24"/>
    <mergeCell ref="IKE24:IKH24"/>
    <mergeCell ref="IIM24:IIP24"/>
    <mergeCell ref="IIQ24:IIT24"/>
    <mergeCell ref="IIU24:IIX24"/>
    <mergeCell ref="IIY24:IJB24"/>
    <mergeCell ref="IJC24:IJF24"/>
    <mergeCell ref="IJG24:IJJ24"/>
    <mergeCell ref="IHO24:IHR24"/>
    <mergeCell ref="IHS24:IHV24"/>
    <mergeCell ref="IHW24:IHZ24"/>
    <mergeCell ref="IIA24:IID24"/>
    <mergeCell ref="IIE24:IIH24"/>
    <mergeCell ref="III24:IIL24"/>
    <mergeCell ref="IGQ24:IGT24"/>
    <mergeCell ref="IGU24:IGX24"/>
    <mergeCell ref="IGY24:IHB24"/>
    <mergeCell ref="IHC24:IHF24"/>
    <mergeCell ref="IHG24:IHJ24"/>
    <mergeCell ref="IHK24:IHN24"/>
    <mergeCell ref="IFS24:IFV24"/>
    <mergeCell ref="IFW24:IFZ24"/>
    <mergeCell ref="IGA24:IGD24"/>
    <mergeCell ref="IGE24:IGH24"/>
    <mergeCell ref="IGI24:IGL24"/>
    <mergeCell ref="IGM24:IGP24"/>
    <mergeCell ref="IEU24:IEX24"/>
    <mergeCell ref="IEY24:IFB24"/>
    <mergeCell ref="IFC24:IFF24"/>
    <mergeCell ref="IFG24:IFJ24"/>
    <mergeCell ref="IFK24:IFN24"/>
    <mergeCell ref="IFO24:IFR24"/>
    <mergeCell ref="IDW24:IDZ24"/>
    <mergeCell ref="IEA24:IED24"/>
    <mergeCell ref="IEE24:IEH24"/>
    <mergeCell ref="IEI24:IEL24"/>
    <mergeCell ref="IEM24:IEP24"/>
    <mergeCell ref="IEQ24:IET24"/>
    <mergeCell ref="ICY24:IDB24"/>
    <mergeCell ref="IDC24:IDF24"/>
    <mergeCell ref="IDG24:IDJ24"/>
    <mergeCell ref="IDK24:IDN24"/>
    <mergeCell ref="IDO24:IDR24"/>
    <mergeCell ref="IDS24:IDV24"/>
    <mergeCell ref="ICA24:ICD24"/>
    <mergeCell ref="ICE24:ICH24"/>
    <mergeCell ref="ICI24:ICL24"/>
    <mergeCell ref="ICM24:ICP24"/>
    <mergeCell ref="ICQ24:ICT24"/>
    <mergeCell ref="ICU24:ICX24"/>
    <mergeCell ref="IBC24:IBF24"/>
    <mergeCell ref="IBG24:IBJ24"/>
    <mergeCell ref="IBK24:IBN24"/>
    <mergeCell ref="IBO24:IBR24"/>
    <mergeCell ref="IBS24:IBV24"/>
    <mergeCell ref="IBW24:IBZ24"/>
    <mergeCell ref="IAE24:IAH24"/>
    <mergeCell ref="IAI24:IAL24"/>
    <mergeCell ref="IAM24:IAP24"/>
    <mergeCell ref="IAQ24:IAT24"/>
    <mergeCell ref="IAU24:IAX24"/>
    <mergeCell ref="IAY24:IBB24"/>
    <mergeCell ref="HZG24:HZJ24"/>
    <mergeCell ref="HZK24:HZN24"/>
    <mergeCell ref="HZO24:HZR24"/>
    <mergeCell ref="HZS24:HZV24"/>
    <mergeCell ref="HZW24:HZZ24"/>
    <mergeCell ref="IAA24:IAD24"/>
    <mergeCell ref="HYI24:HYL24"/>
    <mergeCell ref="HYM24:HYP24"/>
    <mergeCell ref="HYQ24:HYT24"/>
    <mergeCell ref="HYU24:HYX24"/>
    <mergeCell ref="HYY24:HZB24"/>
    <mergeCell ref="HZC24:HZF24"/>
    <mergeCell ref="HXK24:HXN24"/>
    <mergeCell ref="HXO24:HXR24"/>
    <mergeCell ref="HXS24:HXV24"/>
    <mergeCell ref="HXW24:HXZ24"/>
    <mergeCell ref="HYA24:HYD24"/>
    <mergeCell ref="HYE24:HYH24"/>
    <mergeCell ref="HWM24:HWP24"/>
    <mergeCell ref="HWQ24:HWT24"/>
    <mergeCell ref="HWU24:HWX24"/>
    <mergeCell ref="HWY24:HXB24"/>
    <mergeCell ref="HXC24:HXF24"/>
    <mergeCell ref="HXG24:HXJ24"/>
    <mergeCell ref="HVO24:HVR24"/>
    <mergeCell ref="HVS24:HVV24"/>
    <mergeCell ref="HVW24:HVZ24"/>
    <mergeCell ref="HWA24:HWD24"/>
    <mergeCell ref="HWE24:HWH24"/>
    <mergeCell ref="HWI24:HWL24"/>
    <mergeCell ref="HUQ24:HUT24"/>
    <mergeCell ref="HUU24:HUX24"/>
    <mergeCell ref="HUY24:HVB24"/>
    <mergeCell ref="HVC24:HVF24"/>
    <mergeCell ref="HVG24:HVJ24"/>
    <mergeCell ref="HVK24:HVN24"/>
    <mergeCell ref="HTS24:HTV24"/>
    <mergeCell ref="HTW24:HTZ24"/>
    <mergeCell ref="HUA24:HUD24"/>
    <mergeCell ref="HUE24:HUH24"/>
    <mergeCell ref="HUI24:HUL24"/>
    <mergeCell ref="HUM24:HUP24"/>
    <mergeCell ref="HSU24:HSX24"/>
    <mergeCell ref="HSY24:HTB24"/>
    <mergeCell ref="HTC24:HTF24"/>
    <mergeCell ref="HTG24:HTJ24"/>
    <mergeCell ref="HTK24:HTN24"/>
    <mergeCell ref="HTO24:HTR24"/>
    <mergeCell ref="HRW24:HRZ24"/>
    <mergeCell ref="HSA24:HSD24"/>
    <mergeCell ref="HSE24:HSH24"/>
    <mergeCell ref="HSI24:HSL24"/>
    <mergeCell ref="HSM24:HSP24"/>
    <mergeCell ref="HSQ24:HST24"/>
    <mergeCell ref="HQY24:HRB24"/>
    <mergeCell ref="HRC24:HRF24"/>
    <mergeCell ref="HRG24:HRJ24"/>
    <mergeCell ref="HRK24:HRN24"/>
    <mergeCell ref="HRO24:HRR24"/>
    <mergeCell ref="HRS24:HRV24"/>
    <mergeCell ref="HQA24:HQD24"/>
    <mergeCell ref="HQE24:HQH24"/>
    <mergeCell ref="HQI24:HQL24"/>
    <mergeCell ref="HQM24:HQP24"/>
    <mergeCell ref="HQQ24:HQT24"/>
    <mergeCell ref="HQU24:HQX24"/>
    <mergeCell ref="HPC24:HPF24"/>
    <mergeCell ref="HPG24:HPJ24"/>
    <mergeCell ref="HPK24:HPN24"/>
    <mergeCell ref="HPO24:HPR24"/>
    <mergeCell ref="HPS24:HPV24"/>
    <mergeCell ref="HPW24:HPZ24"/>
    <mergeCell ref="HOE24:HOH24"/>
    <mergeCell ref="HOI24:HOL24"/>
    <mergeCell ref="HOM24:HOP24"/>
    <mergeCell ref="HOQ24:HOT24"/>
    <mergeCell ref="HOU24:HOX24"/>
    <mergeCell ref="HOY24:HPB24"/>
    <mergeCell ref="HNG24:HNJ24"/>
    <mergeCell ref="HNK24:HNN24"/>
    <mergeCell ref="HNO24:HNR24"/>
    <mergeCell ref="HNS24:HNV24"/>
    <mergeCell ref="HNW24:HNZ24"/>
    <mergeCell ref="HOA24:HOD24"/>
    <mergeCell ref="HMI24:HML24"/>
    <mergeCell ref="HMM24:HMP24"/>
    <mergeCell ref="HMQ24:HMT24"/>
    <mergeCell ref="HMU24:HMX24"/>
    <mergeCell ref="HMY24:HNB24"/>
    <mergeCell ref="HNC24:HNF24"/>
    <mergeCell ref="HLK24:HLN24"/>
    <mergeCell ref="HLO24:HLR24"/>
    <mergeCell ref="HLS24:HLV24"/>
    <mergeCell ref="HLW24:HLZ24"/>
    <mergeCell ref="HMA24:HMD24"/>
    <mergeCell ref="HME24:HMH24"/>
    <mergeCell ref="HKM24:HKP24"/>
    <mergeCell ref="HKQ24:HKT24"/>
    <mergeCell ref="HKU24:HKX24"/>
    <mergeCell ref="HKY24:HLB24"/>
    <mergeCell ref="HLC24:HLF24"/>
    <mergeCell ref="HLG24:HLJ24"/>
    <mergeCell ref="HJO24:HJR24"/>
    <mergeCell ref="HJS24:HJV24"/>
    <mergeCell ref="HJW24:HJZ24"/>
    <mergeCell ref="HKA24:HKD24"/>
    <mergeCell ref="HKE24:HKH24"/>
    <mergeCell ref="HKI24:HKL24"/>
    <mergeCell ref="HIQ24:HIT24"/>
    <mergeCell ref="HIU24:HIX24"/>
    <mergeCell ref="HIY24:HJB24"/>
    <mergeCell ref="HJC24:HJF24"/>
    <mergeCell ref="HJG24:HJJ24"/>
    <mergeCell ref="HJK24:HJN24"/>
    <mergeCell ref="HHS24:HHV24"/>
    <mergeCell ref="HHW24:HHZ24"/>
    <mergeCell ref="HIA24:HID24"/>
    <mergeCell ref="HIE24:HIH24"/>
    <mergeCell ref="HII24:HIL24"/>
    <mergeCell ref="HIM24:HIP24"/>
    <mergeCell ref="HGU24:HGX24"/>
    <mergeCell ref="HGY24:HHB24"/>
    <mergeCell ref="HHC24:HHF24"/>
    <mergeCell ref="HHG24:HHJ24"/>
    <mergeCell ref="HHK24:HHN24"/>
    <mergeCell ref="HHO24:HHR24"/>
    <mergeCell ref="HFW24:HFZ24"/>
    <mergeCell ref="HGA24:HGD24"/>
    <mergeCell ref="HGE24:HGH24"/>
    <mergeCell ref="HGI24:HGL24"/>
    <mergeCell ref="HGM24:HGP24"/>
    <mergeCell ref="HGQ24:HGT24"/>
    <mergeCell ref="HEY24:HFB24"/>
    <mergeCell ref="HFC24:HFF24"/>
    <mergeCell ref="HFG24:HFJ24"/>
    <mergeCell ref="HFK24:HFN24"/>
    <mergeCell ref="HFO24:HFR24"/>
    <mergeCell ref="HFS24:HFV24"/>
    <mergeCell ref="HEA24:HED24"/>
    <mergeCell ref="HEE24:HEH24"/>
    <mergeCell ref="HEI24:HEL24"/>
    <mergeCell ref="HEM24:HEP24"/>
    <mergeCell ref="HEQ24:HET24"/>
    <mergeCell ref="HEU24:HEX24"/>
    <mergeCell ref="HDC24:HDF24"/>
    <mergeCell ref="HDG24:HDJ24"/>
    <mergeCell ref="HDK24:HDN24"/>
    <mergeCell ref="HDO24:HDR24"/>
    <mergeCell ref="HDS24:HDV24"/>
    <mergeCell ref="HDW24:HDZ24"/>
    <mergeCell ref="HCE24:HCH24"/>
    <mergeCell ref="HCI24:HCL24"/>
    <mergeCell ref="HCM24:HCP24"/>
    <mergeCell ref="HCQ24:HCT24"/>
    <mergeCell ref="HCU24:HCX24"/>
    <mergeCell ref="HCY24:HDB24"/>
    <mergeCell ref="HBG24:HBJ24"/>
    <mergeCell ref="HBK24:HBN24"/>
    <mergeCell ref="HBO24:HBR24"/>
    <mergeCell ref="HBS24:HBV24"/>
    <mergeCell ref="HBW24:HBZ24"/>
    <mergeCell ref="HCA24:HCD24"/>
    <mergeCell ref="HAI24:HAL24"/>
    <mergeCell ref="HAM24:HAP24"/>
    <mergeCell ref="HAQ24:HAT24"/>
    <mergeCell ref="HAU24:HAX24"/>
    <mergeCell ref="HAY24:HBB24"/>
    <mergeCell ref="HBC24:HBF24"/>
    <mergeCell ref="GZK24:GZN24"/>
    <mergeCell ref="GZO24:GZR24"/>
    <mergeCell ref="GZS24:GZV24"/>
    <mergeCell ref="GZW24:GZZ24"/>
    <mergeCell ref="HAA24:HAD24"/>
    <mergeCell ref="HAE24:HAH24"/>
    <mergeCell ref="GYM24:GYP24"/>
    <mergeCell ref="GYQ24:GYT24"/>
    <mergeCell ref="GYU24:GYX24"/>
    <mergeCell ref="GYY24:GZB24"/>
    <mergeCell ref="GZC24:GZF24"/>
    <mergeCell ref="GZG24:GZJ24"/>
    <mergeCell ref="GXO24:GXR24"/>
    <mergeCell ref="GXS24:GXV24"/>
    <mergeCell ref="GXW24:GXZ24"/>
    <mergeCell ref="GYA24:GYD24"/>
    <mergeCell ref="GYE24:GYH24"/>
    <mergeCell ref="GYI24:GYL24"/>
    <mergeCell ref="GWQ24:GWT24"/>
    <mergeCell ref="GWU24:GWX24"/>
    <mergeCell ref="GWY24:GXB24"/>
    <mergeCell ref="GXC24:GXF24"/>
    <mergeCell ref="GXG24:GXJ24"/>
    <mergeCell ref="GXK24:GXN24"/>
    <mergeCell ref="GVS24:GVV24"/>
    <mergeCell ref="GVW24:GVZ24"/>
    <mergeCell ref="GWA24:GWD24"/>
    <mergeCell ref="GWE24:GWH24"/>
    <mergeCell ref="GWI24:GWL24"/>
    <mergeCell ref="GWM24:GWP24"/>
    <mergeCell ref="GUU24:GUX24"/>
    <mergeCell ref="GUY24:GVB24"/>
    <mergeCell ref="GVC24:GVF24"/>
    <mergeCell ref="GVG24:GVJ24"/>
    <mergeCell ref="GVK24:GVN24"/>
    <mergeCell ref="GVO24:GVR24"/>
    <mergeCell ref="GTW24:GTZ24"/>
    <mergeCell ref="GUA24:GUD24"/>
    <mergeCell ref="GUE24:GUH24"/>
    <mergeCell ref="GUI24:GUL24"/>
    <mergeCell ref="GUM24:GUP24"/>
    <mergeCell ref="GUQ24:GUT24"/>
    <mergeCell ref="GSY24:GTB24"/>
    <mergeCell ref="GTC24:GTF24"/>
    <mergeCell ref="GTG24:GTJ24"/>
    <mergeCell ref="GTK24:GTN24"/>
    <mergeCell ref="GTO24:GTR24"/>
    <mergeCell ref="GTS24:GTV24"/>
    <mergeCell ref="GSA24:GSD24"/>
    <mergeCell ref="GSE24:GSH24"/>
    <mergeCell ref="GSI24:GSL24"/>
    <mergeCell ref="GSM24:GSP24"/>
    <mergeCell ref="GSQ24:GST24"/>
    <mergeCell ref="GSU24:GSX24"/>
    <mergeCell ref="GRC24:GRF24"/>
    <mergeCell ref="GRG24:GRJ24"/>
    <mergeCell ref="GRK24:GRN24"/>
    <mergeCell ref="GRO24:GRR24"/>
    <mergeCell ref="GRS24:GRV24"/>
    <mergeCell ref="GRW24:GRZ24"/>
    <mergeCell ref="GQE24:GQH24"/>
    <mergeCell ref="GQI24:GQL24"/>
    <mergeCell ref="GQM24:GQP24"/>
    <mergeCell ref="GQQ24:GQT24"/>
    <mergeCell ref="GQU24:GQX24"/>
    <mergeCell ref="GQY24:GRB24"/>
    <mergeCell ref="GPG24:GPJ24"/>
    <mergeCell ref="GPK24:GPN24"/>
    <mergeCell ref="GPO24:GPR24"/>
    <mergeCell ref="GPS24:GPV24"/>
    <mergeCell ref="GPW24:GPZ24"/>
    <mergeCell ref="GQA24:GQD24"/>
    <mergeCell ref="GOI24:GOL24"/>
    <mergeCell ref="GOM24:GOP24"/>
    <mergeCell ref="GOQ24:GOT24"/>
    <mergeCell ref="GOU24:GOX24"/>
    <mergeCell ref="GOY24:GPB24"/>
    <mergeCell ref="GPC24:GPF24"/>
    <mergeCell ref="GNK24:GNN24"/>
    <mergeCell ref="GNO24:GNR24"/>
    <mergeCell ref="GNS24:GNV24"/>
    <mergeCell ref="GNW24:GNZ24"/>
    <mergeCell ref="GOA24:GOD24"/>
    <mergeCell ref="GOE24:GOH24"/>
    <mergeCell ref="GMM24:GMP24"/>
    <mergeCell ref="GMQ24:GMT24"/>
    <mergeCell ref="GMU24:GMX24"/>
    <mergeCell ref="GMY24:GNB24"/>
    <mergeCell ref="GNC24:GNF24"/>
    <mergeCell ref="GNG24:GNJ24"/>
    <mergeCell ref="GLO24:GLR24"/>
    <mergeCell ref="GLS24:GLV24"/>
    <mergeCell ref="GLW24:GLZ24"/>
    <mergeCell ref="GMA24:GMD24"/>
    <mergeCell ref="GME24:GMH24"/>
    <mergeCell ref="GMI24:GML24"/>
    <mergeCell ref="GKQ24:GKT24"/>
    <mergeCell ref="GKU24:GKX24"/>
    <mergeCell ref="GKY24:GLB24"/>
    <mergeCell ref="GLC24:GLF24"/>
    <mergeCell ref="GLG24:GLJ24"/>
    <mergeCell ref="GLK24:GLN24"/>
    <mergeCell ref="GJS24:GJV24"/>
    <mergeCell ref="GJW24:GJZ24"/>
    <mergeCell ref="GKA24:GKD24"/>
    <mergeCell ref="GKE24:GKH24"/>
    <mergeCell ref="GKI24:GKL24"/>
    <mergeCell ref="GKM24:GKP24"/>
    <mergeCell ref="GIU24:GIX24"/>
    <mergeCell ref="GIY24:GJB24"/>
    <mergeCell ref="GJC24:GJF24"/>
    <mergeCell ref="GJG24:GJJ24"/>
    <mergeCell ref="GJK24:GJN24"/>
    <mergeCell ref="GJO24:GJR24"/>
    <mergeCell ref="GHW24:GHZ24"/>
    <mergeCell ref="GIA24:GID24"/>
    <mergeCell ref="GIE24:GIH24"/>
    <mergeCell ref="GII24:GIL24"/>
    <mergeCell ref="GIM24:GIP24"/>
    <mergeCell ref="GIQ24:GIT24"/>
    <mergeCell ref="GGY24:GHB24"/>
    <mergeCell ref="GHC24:GHF24"/>
    <mergeCell ref="GHG24:GHJ24"/>
    <mergeCell ref="GHK24:GHN24"/>
    <mergeCell ref="GHO24:GHR24"/>
    <mergeCell ref="GHS24:GHV24"/>
    <mergeCell ref="GGA24:GGD24"/>
    <mergeCell ref="GGE24:GGH24"/>
    <mergeCell ref="GGI24:GGL24"/>
    <mergeCell ref="GGM24:GGP24"/>
    <mergeCell ref="GGQ24:GGT24"/>
    <mergeCell ref="GGU24:GGX24"/>
    <mergeCell ref="GFC24:GFF24"/>
    <mergeCell ref="GFG24:GFJ24"/>
    <mergeCell ref="GFK24:GFN24"/>
    <mergeCell ref="GFO24:GFR24"/>
    <mergeCell ref="GFS24:GFV24"/>
    <mergeCell ref="GFW24:GFZ24"/>
    <mergeCell ref="GEE24:GEH24"/>
    <mergeCell ref="GEI24:GEL24"/>
    <mergeCell ref="GEM24:GEP24"/>
    <mergeCell ref="GEQ24:GET24"/>
    <mergeCell ref="GEU24:GEX24"/>
    <mergeCell ref="GEY24:GFB24"/>
    <mergeCell ref="GDG24:GDJ24"/>
    <mergeCell ref="GDK24:GDN24"/>
    <mergeCell ref="GDO24:GDR24"/>
    <mergeCell ref="GDS24:GDV24"/>
    <mergeCell ref="GDW24:GDZ24"/>
    <mergeCell ref="GEA24:GED24"/>
    <mergeCell ref="GCI24:GCL24"/>
    <mergeCell ref="GCM24:GCP24"/>
    <mergeCell ref="GCQ24:GCT24"/>
    <mergeCell ref="GCU24:GCX24"/>
    <mergeCell ref="GCY24:GDB24"/>
    <mergeCell ref="GDC24:GDF24"/>
    <mergeCell ref="GBK24:GBN24"/>
    <mergeCell ref="GBO24:GBR24"/>
    <mergeCell ref="GBS24:GBV24"/>
    <mergeCell ref="GBW24:GBZ24"/>
    <mergeCell ref="GCA24:GCD24"/>
    <mergeCell ref="GCE24:GCH24"/>
    <mergeCell ref="GAM24:GAP24"/>
    <mergeCell ref="GAQ24:GAT24"/>
    <mergeCell ref="GAU24:GAX24"/>
    <mergeCell ref="GAY24:GBB24"/>
    <mergeCell ref="GBC24:GBF24"/>
    <mergeCell ref="GBG24:GBJ24"/>
    <mergeCell ref="FZO24:FZR24"/>
    <mergeCell ref="FZS24:FZV24"/>
    <mergeCell ref="FZW24:FZZ24"/>
    <mergeCell ref="GAA24:GAD24"/>
    <mergeCell ref="GAE24:GAH24"/>
    <mergeCell ref="GAI24:GAL24"/>
    <mergeCell ref="FYQ24:FYT24"/>
    <mergeCell ref="FYU24:FYX24"/>
    <mergeCell ref="FYY24:FZB24"/>
    <mergeCell ref="FZC24:FZF24"/>
    <mergeCell ref="FZG24:FZJ24"/>
    <mergeCell ref="FZK24:FZN24"/>
    <mergeCell ref="FXS24:FXV24"/>
    <mergeCell ref="FXW24:FXZ24"/>
    <mergeCell ref="FYA24:FYD24"/>
    <mergeCell ref="FYE24:FYH24"/>
    <mergeCell ref="FYI24:FYL24"/>
    <mergeCell ref="FYM24:FYP24"/>
    <mergeCell ref="FWU24:FWX24"/>
    <mergeCell ref="FWY24:FXB24"/>
    <mergeCell ref="FXC24:FXF24"/>
    <mergeCell ref="FXG24:FXJ24"/>
    <mergeCell ref="FXK24:FXN24"/>
    <mergeCell ref="FXO24:FXR24"/>
    <mergeCell ref="FVW24:FVZ24"/>
    <mergeCell ref="FWA24:FWD24"/>
    <mergeCell ref="FWE24:FWH24"/>
    <mergeCell ref="FWI24:FWL24"/>
    <mergeCell ref="FWM24:FWP24"/>
    <mergeCell ref="FWQ24:FWT24"/>
    <mergeCell ref="FUY24:FVB24"/>
    <mergeCell ref="FVC24:FVF24"/>
    <mergeCell ref="FVG24:FVJ24"/>
    <mergeCell ref="FVK24:FVN24"/>
    <mergeCell ref="FVO24:FVR24"/>
    <mergeCell ref="FVS24:FVV24"/>
    <mergeCell ref="FUA24:FUD24"/>
    <mergeCell ref="FUE24:FUH24"/>
    <mergeCell ref="FUI24:FUL24"/>
    <mergeCell ref="FUM24:FUP24"/>
    <mergeCell ref="FUQ24:FUT24"/>
    <mergeCell ref="FUU24:FUX24"/>
    <mergeCell ref="FTC24:FTF24"/>
    <mergeCell ref="FTG24:FTJ24"/>
    <mergeCell ref="FTK24:FTN24"/>
    <mergeCell ref="FTO24:FTR24"/>
    <mergeCell ref="FTS24:FTV24"/>
    <mergeCell ref="FTW24:FTZ24"/>
    <mergeCell ref="FSE24:FSH24"/>
    <mergeCell ref="FSI24:FSL24"/>
    <mergeCell ref="FSM24:FSP24"/>
    <mergeCell ref="FSQ24:FST24"/>
    <mergeCell ref="FSU24:FSX24"/>
    <mergeCell ref="FSY24:FTB24"/>
    <mergeCell ref="FRG24:FRJ24"/>
    <mergeCell ref="FRK24:FRN24"/>
    <mergeCell ref="FRO24:FRR24"/>
    <mergeCell ref="FRS24:FRV24"/>
    <mergeCell ref="FRW24:FRZ24"/>
    <mergeCell ref="FSA24:FSD24"/>
    <mergeCell ref="FQI24:FQL24"/>
    <mergeCell ref="FQM24:FQP24"/>
    <mergeCell ref="FQQ24:FQT24"/>
    <mergeCell ref="FQU24:FQX24"/>
    <mergeCell ref="FQY24:FRB24"/>
    <mergeCell ref="FRC24:FRF24"/>
    <mergeCell ref="FPK24:FPN24"/>
    <mergeCell ref="FPO24:FPR24"/>
    <mergeCell ref="FPS24:FPV24"/>
    <mergeCell ref="FPW24:FPZ24"/>
    <mergeCell ref="FQA24:FQD24"/>
    <mergeCell ref="FQE24:FQH24"/>
    <mergeCell ref="FOM24:FOP24"/>
    <mergeCell ref="FOQ24:FOT24"/>
    <mergeCell ref="FOU24:FOX24"/>
    <mergeCell ref="FOY24:FPB24"/>
    <mergeCell ref="FPC24:FPF24"/>
    <mergeCell ref="FPG24:FPJ24"/>
    <mergeCell ref="FNO24:FNR24"/>
    <mergeCell ref="FNS24:FNV24"/>
    <mergeCell ref="FNW24:FNZ24"/>
    <mergeCell ref="FOA24:FOD24"/>
    <mergeCell ref="FOE24:FOH24"/>
    <mergeCell ref="FOI24:FOL24"/>
    <mergeCell ref="FMQ24:FMT24"/>
    <mergeCell ref="FMU24:FMX24"/>
    <mergeCell ref="FMY24:FNB24"/>
    <mergeCell ref="FNC24:FNF24"/>
    <mergeCell ref="FNG24:FNJ24"/>
    <mergeCell ref="FNK24:FNN24"/>
    <mergeCell ref="FLS24:FLV24"/>
    <mergeCell ref="FLW24:FLZ24"/>
    <mergeCell ref="FMA24:FMD24"/>
    <mergeCell ref="FME24:FMH24"/>
    <mergeCell ref="FMI24:FML24"/>
    <mergeCell ref="FMM24:FMP24"/>
    <mergeCell ref="FKU24:FKX24"/>
    <mergeCell ref="FKY24:FLB24"/>
    <mergeCell ref="FLC24:FLF24"/>
    <mergeCell ref="FLG24:FLJ24"/>
    <mergeCell ref="FLK24:FLN24"/>
    <mergeCell ref="FLO24:FLR24"/>
    <mergeCell ref="FJW24:FJZ24"/>
    <mergeCell ref="FKA24:FKD24"/>
    <mergeCell ref="FKE24:FKH24"/>
    <mergeCell ref="FKI24:FKL24"/>
    <mergeCell ref="FKM24:FKP24"/>
    <mergeCell ref="FKQ24:FKT24"/>
    <mergeCell ref="FIY24:FJB24"/>
    <mergeCell ref="FJC24:FJF24"/>
    <mergeCell ref="FJG24:FJJ24"/>
    <mergeCell ref="FJK24:FJN24"/>
    <mergeCell ref="FJO24:FJR24"/>
    <mergeCell ref="FJS24:FJV24"/>
    <mergeCell ref="FIA24:FID24"/>
    <mergeCell ref="FIE24:FIH24"/>
    <mergeCell ref="FII24:FIL24"/>
    <mergeCell ref="FIM24:FIP24"/>
    <mergeCell ref="FIQ24:FIT24"/>
    <mergeCell ref="FIU24:FIX24"/>
    <mergeCell ref="FHC24:FHF24"/>
    <mergeCell ref="FHG24:FHJ24"/>
    <mergeCell ref="FHK24:FHN24"/>
    <mergeCell ref="FHO24:FHR24"/>
    <mergeCell ref="FHS24:FHV24"/>
    <mergeCell ref="FHW24:FHZ24"/>
    <mergeCell ref="FGE24:FGH24"/>
    <mergeCell ref="FGI24:FGL24"/>
    <mergeCell ref="FGM24:FGP24"/>
    <mergeCell ref="FGQ24:FGT24"/>
    <mergeCell ref="FGU24:FGX24"/>
    <mergeCell ref="FGY24:FHB24"/>
    <mergeCell ref="FFG24:FFJ24"/>
    <mergeCell ref="FFK24:FFN24"/>
    <mergeCell ref="FFO24:FFR24"/>
    <mergeCell ref="FFS24:FFV24"/>
    <mergeCell ref="FFW24:FFZ24"/>
    <mergeCell ref="FGA24:FGD24"/>
    <mergeCell ref="FEI24:FEL24"/>
    <mergeCell ref="FEM24:FEP24"/>
    <mergeCell ref="FEQ24:FET24"/>
    <mergeCell ref="FEU24:FEX24"/>
    <mergeCell ref="FEY24:FFB24"/>
    <mergeCell ref="FFC24:FFF24"/>
    <mergeCell ref="FDK24:FDN24"/>
    <mergeCell ref="FDO24:FDR24"/>
    <mergeCell ref="FDS24:FDV24"/>
    <mergeCell ref="FDW24:FDZ24"/>
    <mergeCell ref="FEA24:FED24"/>
    <mergeCell ref="FEE24:FEH24"/>
    <mergeCell ref="FCM24:FCP24"/>
    <mergeCell ref="FCQ24:FCT24"/>
    <mergeCell ref="FCU24:FCX24"/>
    <mergeCell ref="FCY24:FDB24"/>
    <mergeCell ref="FDC24:FDF24"/>
    <mergeCell ref="FDG24:FDJ24"/>
    <mergeCell ref="FBO24:FBR24"/>
    <mergeCell ref="FBS24:FBV24"/>
    <mergeCell ref="FBW24:FBZ24"/>
    <mergeCell ref="FCA24:FCD24"/>
    <mergeCell ref="FCE24:FCH24"/>
    <mergeCell ref="FCI24:FCL24"/>
    <mergeCell ref="FAQ24:FAT24"/>
    <mergeCell ref="FAU24:FAX24"/>
    <mergeCell ref="FAY24:FBB24"/>
    <mergeCell ref="FBC24:FBF24"/>
    <mergeCell ref="FBG24:FBJ24"/>
    <mergeCell ref="FBK24:FBN24"/>
    <mergeCell ref="EZS24:EZV24"/>
    <mergeCell ref="EZW24:EZZ24"/>
    <mergeCell ref="FAA24:FAD24"/>
    <mergeCell ref="FAE24:FAH24"/>
    <mergeCell ref="FAI24:FAL24"/>
    <mergeCell ref="FAM24:FAP24"/>
    <mergeCell ref="EYU24:EYX24"/>
    <mergeCell ref="EYY24:EZB24"/>
    <mergeCell ref="EZC24:EZF24"/>
    <mergeCell ref="EZG24:EZJ24"/>
    <mergeCell ref="EZK24:EZN24"/>
    <mergeCell ref="EZO24:EZR24"/>
    <mergeCell ref="EXW24:EXZ24"/>
    <mergeCell ref="EYA24:EYD24"/>
    <mergeCell ref="EYE24:EYH24"/>
    <mergeCell ref="EYI24:EYL24"/>
    <mergeCell ref="EYM24:EYP24"/>
    <mergeCell ref="EYQ24:EYT24"/>
    <mergeCell ref="EWY24:EXB24"/>
    <mergeCell ref="EXC24:EXF24"/>
    <mergeCell ref="EXG24:EXJ24"/>
    <mergeCell ref="EXK24:EXN24"/>
    <mergeCell ref="EXO24:EXR24"/>
    <mergeCell ref="EXS24:EXV24"/>
    <mergeCell ref="EWA24:EWD24"/>
    <mergeCell ref="EWE24:EWH24"/>
    <mergeCell ref="EWI24:EWL24"/>
    <mergeCell ref="EWM24:EWP24"/>
    <mergeCell ref="EWQ24:EWT24"/>
    <mergeCell ref="EWU24:EWX24"/>
    <mergeCell ref="EVC24:EVF24"/>
    <mergeCell ref="EVG24:EVJ24"/>
    <mergeCell ref="EVK24:EVN24"/>
    <mergeCell ref="EVO24:EVR24"/>
    <mergeCell ref="EVS24:EVV24"/>
    <mergeCell ref="EVW24:EVZ24"/>
    <mergeCell ref="EUE24:EUH24"/>
    <mergeCell ref="EUI24:EUL24"/>
    <mergeCell ref="EUM24:EUP24"/>
    <mergeCell ref="EUQ24:EUT24"/>
    <mergeCell ref="EUU24:EUX24"/>
    <mergeCell ref="EUY24:EVB24"/>
    <mergeCell ref="ETG24:ETJ24"/>
    <mergeCell ref="ETK24:ETN24"/>
    <mergeCell ref="ETO24:ETR24"/>
    <mergeCell ref="ETS24:ETV24"/>
    <mergeCell ref="ETW24:ETZ24"/>
    <mergeCell ref="EUA24:EUD24"/>
    <mergeCell ref="ESI24:ESL24"/>
    <mergeCell ref="ESM24:ESP24"/>
    <mergeCell ref="ESQ24:EST24"/>
    <mergeCell ref="ESU24:ESX24"/>
    <mergeCell ref="ESY24:ETB24"/>
    <mergeCell ref="ETC24:ETF24"/>
    <mergeCell ref="ERK24:ERN24"/>
    <mergeCell ref="ERO24:ERR24"/>
    <mergeCell ref="ERS24:ERV24"/>
    <mergeCell ref="ERW24:ERZ24"/>
    <mergeCell ref="ESA24:ESD24"/>
    <mergeCell ref="ESE24:ESH24"/>
    <mergeCell ref="EQM24:EQP24"/>
    <mergeCell ref="EQQ24:EQT24"/>
    <mergeCell ref="EQU24:EQX24"/>
    <mergeCell ref="EQY24:ERB24"/>
    <mergeCell ref="ERC24:ERF24"/>
    <mergeCell ref="ERG24:ERJ24"/>
    <mergeCell ref="EPO24:EPR24"/>
    <mergeCell ref="EPS24:EPV24"/>
    <mergeCell ref="EPW24:EPZ24"/>
    <mergeCell ref="EQA24:EQD24"/>
    <mergeCell ref="EQE24:EQH24"/>
    <mergeCell ref="EQI24:EQL24"/>
    <mergeCell ref="EOQ24:EOT24"/>
    <mergeCell ref="EOU24:EOX24"/>
    <mergeCell ref="EOY24:EPB24"/>
    <mergeCell ref="EPC24:EPF24"/>
    <mergeCell ref="EPG24:EPJ24"/>
    <mergeCell ref="EPK24:EPN24"/>
    <mergeCell ref="ENS24:ENV24"/>
    <mergeCell ref="ENW24:ENZ24"/>
    <mergeCell ref="EOA24:EOD24"/>
    <mergeCell ref="EOE24:EOH24"/>
    <mergeCell ref="EOI24:EOL24"/>
    <mergeCell ref="EOM24:EOP24"/>
    <mergeCell ref="EMU24:EMX24"/>
    <mergeCell ref="EMY24:ENB24"/>
    <mergeCell ref="ENC24:ENF24"/>
    <mergeCell ref="ENG24:ENJ24"/>
    <mergeCell ref="ENK24:ENN24"/>
    <mergeCell ref="ENO24:ENR24"/>
    <mergeCell ref="ELW24:ELZ24"/>
    <mergeCell ref="EMA24:EMD24"/>
    <mergeCell ref="EME24:EMH24"/>
    <mergeCell ref="EMI24:EML24"/>
    <mergeCell ref="EMM24:EMP24"/>
    <mergeCell ref="EMQ24:EMT24"/>
    <mergeCell ref="EKY24:ELB24"/>
    <mergeCell ref="ELC24:ELF24"/>
    <mergeCell ref="ELG24:ELJ24"/>
    <mergeCell ref="ELK24:ELN24"/>
    <mergeCell ref="ELO24:ELR24"/>
    <mergeCell ref="ELS24:ELV24"/>
    <mergeCell ref="EKA24:EKD24"/>
    <mergeCell ref="EKE24:EKH24"/>
    <mergeCell ref="EKI24:EKL24"/>
    <mergeCell ref="EKM24:EKP24"/>
    <mergeCell ref="EKQ24:EKT24"/>
    <mergeCell ref="EKU24:EKX24"/>
    <mergeCell ref="EJC24:EJF24"/>
    <mergeCell ref="EJG24:EJJ24"/>
    <mergeCell ref="EJK24:EJN24"/>
    <mergeCell ref="EJO24:EJR24"/>
    <mergeCell ref="EJS24:EJV24"/>
    <mergeCell ref="EJW24:EJZ24"/>
    <mergeCell ref="EIE24:EIH24"/>
    <mergeCell ref="EII24:EIL24"/>
    <mergeCell ref="EIM24:EIP24"/>
    <mergeCell ref="EIQ24:EIT24"/>
    <mergeCell ref="EIU24:EIX24"/>
    <mergeCell ref="EIY24:EJB24"/>
    <mergeCell ref="EHG24:EHJ24"/>
    <mergeCell ref="EHK24:EHN24"/>
    <mergeCell ref="EHO24:EHR24"/>
    <mergeCell ref="EHS24:EHV24"/>
    <mergeCell ref="EHW24:EHZ24"/>
    <mergeCell ref="EIA24:EID24"/>
    <mergeCell ref="EGI24:EGL24"/>
    <mergeCell ref="EGM24:EGP24"/>
    <mergeCell ref="EGQ24:EGT24"/>
    <mergeCell ref="EGU24:EGX24"/>
    <mergeCell ref="EGY24:EHB24"/>
    <mergeCell ref="EHC24:EHF24"/>
    <mergeCell ref="EFK24:EFN24"/>
    <mergeCell ref="EFO24:EFR24"/>
    <mergeCell ref="EFS24:EFV24"/>
    <mergeCell ref="EFW24:EFZ24"/>
    <mergeCell ref="EGA24:EGD24"/>
    <mergeCell ref="EGE24:EGH24"/>
    <mergeCell ref="EEM24:EEP24"/>
    <mergeCell ref="EEQ24:EET24"/>
    <mergeCell ref="EEU24:EEX24"/>
    <mergeCell ref="EEY24:EFB24"/>
    <mergeCell ref="EFC24:EFF24"/>
    <mergeCell ref="EFG24:EFJ24"/>
    <mergeCell ref="EDO24:EDR24"/>
    <mergeCell ref="EDS24:EDV24"/>
    <mergeCell ref="EDW24:EDZ24"/>
    <mergeCell ref="EEA24:EED24"/>
    <mergeCell ref="EEE24:EEH24"/>
    <mergeCell ref="EEI24:EEL24"/>
    <mergeCell ref="ECQ24:ECT24"/>
    <mergeCell ref="ECU24:ECX24"/>
    <mergeCell ref="ECY24:EDB24"/>
    <mergeCell ref="EDC24:EDF24"/>
    <mergeCell ref="EDG24:EDJ24"/>
    <mergeCell ref="EDK24:EDN24"/>
    <mergeCell ref="EBS24:EBV24"/>
    <mergeCell ref="EBW24:EBZ24"/>
    <mergeCell ref="ECA24:ECD24"/>
    <mergeCell ref="ECE24:ECH24"/>
    <mergeCell ref="ECI24:ECL24"/>
    <mergeCell ref="ECM24:ECP24"/>
    <mergeCell ref="EAU24:EAX24"/>
    <mergeCell ref="EAY24:EBB24"/>
    <mergeCell ref="EBC24:EBF24"/>
    <mergeCell ref="EBG24:EBJ24"/>
    <mergeCell ref="EBK24:EBN24"/>
    <mergeCell ref="EBO24:EBR24"/>
    <mergeCell ref="DZW24:DZZ24"/>
    <mergeCell ref="EAA24:EAD24"/>
    <mergeCell ref="EAE24:EAH24"/>
    <mergeCell ref="EAI24:EAL24"/>
    <mergeCell ref="EAM24:EAP24"/>
    <mergeCell ref="EAQ24:EAT24"/>
    <mergeCell ref="DYY24:DZB24"/>
    <mergeCell ref="DZC24:DZF24"/>
    <mergeCell ref="DZG24:DZJ24"/>
    <mergeCell ref="DZK24:DZN24"/>
    <mergeCell ref="DZO24:DZR24"/>
    <mergeCell ref="DZS24:DZV24"/>
    <mergeCell ref="DYA24:DYD24"/>
    <mergeCell ref="DYE24:DYH24"/>
    <mergeCell ref="DYI24:DYL24"/>
    <mergeCell ref="DYM24:DYP24"/>
    <mergeCell ref="DYQ24:DYT24"/>
    <mergeCell ref="DYU24:DYX24"/>
    <mergeCell ref="DXC24:DXF24"/>
    <mergeCell ref="DXG24:DXJ24"/>
    <mergeCell ref="DXK24:DXN24"/>
    <mergeCell ref="DXO24:DXR24"/>
    <mergeCell ref="DXS24:DXV24"/>
    <mergeCell ref="DXW24:DXZ24"/>
    <mergeCell ref="DWE24:DWH24"/>
    <mergeCell ref="DWI24:DWL24"/>
    <mergeCell ref="DWM24:DWP24"/>
    <mergeCell ref="DWQ24:DWT24"/>
    <mergeCell ref="DWU24:DWX24"/>
    <mergeCell ref="DWY24:DXB24"/>
    <mergeCell ref="DVG24:DVJ24"/>
    <mergeCell ref="DVK24:DVN24"/>
    <mergeCell ref="DVO24:DVR24"/>
    <mergeCell ref="DVS24:DVV24"/>
    <mergeCell ref="DVW24:DVZ24"/>
    <mergeCell ref="DWA24:DWD24"/>
    <mergeCell ref="DUI24:DUL24"/>
    <mergeCell ref="DUM24:DUP24"/>
    <mergeCell ref="DUQ24:DUT24"/>
    <mergeCell ref="DUU24:DUX24"/>
    <mergeCell ref="DUY24:DVB24"/>
    <mergeCell ref="DVC24:DVF24"/>
    <mergeCell ref="DTK24:DTN24"/>
    <mergeCell ref="DTO24:DTR24"/>
    <mergeCell ref="DTS24:DTV24"/>
    <mergeCell ref="DTW24:DTZ24"/>
    <mergeCell ref="DUA24:DUD24"/>
    <mergeCell ref="DUE24:DUH24"/>
    <mergeCell ref="DSM24:DSP24"/>
    <mergeCell ref="DSQ24:DST24"/>
    <mergeCell ref="DSU24:DSX24"/>
    <mergeCell ref="DSY24:DTB24"/>
    <mergeCell ref="DTC24:DTF24"/>
    <mergeCell ref="DTG24:DTJ24"/>
    <mergeCell ref="DRO24:DRR24"/>
    <mergeCell ref="DRS24:DRV24"/>
    <mergeCell ref="DRW24:DRZ24"/>
    <mergeCell ref="DSA24:DSD24"/>
    <mergeCell ref="DSE24:DSH24"/>
    <mergeCell ref="DSI24:DSL24"/>
    <mergeCell ref="DQQ24:DQT24"/>
    <mergeCell ref="DQU24:DQX24"/>
    <mergeCell ref="DQY24:DRB24"/>
    <mergeCell ref="DRC24:DRF24"/>
    <mergeCell ref="DRG24:DRJ24"/>
    <mergeCell ref="DRK24:DRN24"/>
    <mergeCell ref="DPS24:DPV24"/>
    <mergeCell ref="DPW24:DPZ24"/>
    <mergeCell ref="DQA24:DQD24"/>
    <mergeCell ref="DQE24:DQH24"/>
    <mergeCell ref="DQI24:DQL24"/>
    <mergeCell ref="DQM24:DQP24"/>
    <mergeCell ref="DOU24:DOX24"/>
    <mergeCell ref="DOY24:DPB24"/>
    <mergeCell ref="DPC24:DPF24"/>
    <mergeCell ref="DPG24:DPJ24"/>
    <mergeCell ref="DPK24:DPN24"/>
    <mergeCell ref="DPO24:DPR24"/>
    <mergeCell ref="DNW24:DNZ24"/>
    <mergeCell ref="DOA24:DOD24"/>
    <mergeCell ref="DOE24:DOH24"/>
    <mergeCell ref="DOI24:DOL24"/>
    <mergeCell ref="DOM24:DOP24"/>
    <mergeCell ref="DOQ24:DOT24"/>
    <mergeCell ref="DMY24:DNB24"/>
    <mergeCell ref="DNC24:DNF24"/>
    <mergeCell ref="DNG24:DNJ24"/>
    <mergeCell ref="DNK24:DNN24"/>
    <mergeCell ref="DNO24:DNR24"/>
    <mergeCell ref="DNS24:DNV24"/>
    <mergeCell ref="DMA24:DMD24"/>
    <mergeCell ref="DME24:DMH24"/>
    <mergeCell ref="DMI24:DML24"/>
    <mergeCell ref="DMM24:DMP24"/>
    <mergeCell ref="DMQ24:DMT24"/>
    <mergeCell ref="DMU24:DMX24"/>
    <mergeCell ref="DLC24:DLF24"/>
    <mergeCell ref="DLG24:DLJ24"/>
    <mergeCell ref="DLK24:DLN24"/>
    <mergeCell ref="DLO24:DLR24"/>
    <mergeCell ref="DLS24:DLV24"/>
    <mergeCell ref="DLW24:DLZ24"/>
    <mergeCell ref="DKE24:DKH24"/>
    <mergeCell ref="DKI24:DKL24"/>
    <mergeCell ref="DKM24:DKP24"/>
    <mergeCell ref="DKQ24:DKT24"/>
    <mergeCell ref="DKU24:DKX24"/>
    <mergeCell ref="DKY24:DLB24"/>
    <mergeCell ref="DJG24:DJJ24"/>
    <mergeCell ref="DJK24:DJN24"/>
    <mergeCell ref="DJO24:DJR24"/>
    <mergeCell ref="DJS24:DJV24"/>
    <mergeCell ref="DJW24:DJZ24"/>
    <mergeCell ref="DKA24:DKD24"/>
    <mergeCell ref="DII24:DIL24"/>
    <mergeCell ref="DIM24:DIP24"/>
    <mergeCell ref="DIQ24:DIT24"/>
    <mergeCell ref="DIU24:DIX24"/>
    <mergeCell ref="DIY24:DJB24"/>
    <mergeCell ref="DJC24:DJF24"/>
    <mergeCell ref="DHK24:DHN24"/>
    <mergeCell ref="DHO24:DHR24"/>
    <mergeCell ref="DHS24:DHV24"/>
    <mergeCell ref="DHW24:DHZ24"/>
    <mergeCell ref="DIA24:DID24"/>
    <mergeCell ref="DIE24:DIH24"/>
    <mergeCell ref="DGM24:DGP24"/>
    <mergeCell ref="DGQ24:DGT24"/>
    <mergeCell ref="DGU24:DGX24"/>
    <mergeCell ref="DGY24:DHB24"/>
    <mergeCell ref="DHC24:DHF24"/>
    <mergeCell ref="DHG24:DHJ24"/>
    <mergeCell ref="DFO24:DFR24"/>
    <mergeCell ref="DFS24:DFV24"/>
    <mergeCell ref="DFW24:DFZ24"/>
    <mergeCell ref="DGA24:DGD24"/>
    <mergeCell ref="DGE24:DGH24"/>
    <mergeCell ref="DGI24:DGL24"/>
    <mergeCell ref="DEQ24:DET24"/>
    <mergeCell ref="DEU24:DEX24"/>
    <mergeCell ref="DEY24:DFB24"/>
    <mergeCell ref="DFC24:DFF24"/>
    <mergeCell ref="DFG24:DFJ24"/>
    <mergeCell ref="DFK24:DFN24"/>
    <mergeCell ref="DDS24:DDV24"/>
    <mergeCell ref="DDW24:DDZ24"/>
    <mergeCell ref="DEA24:DED24"/>
    <mergeCell ref="DEE24:DEH24"/>
    <mergeCell ref="DEI24:DEL24"/>
    <mergeCell ref="DEM24:DEP24"/>
    <mergeCell ref="DCU24:DCX24"/>
    <mergeCell ref="DCY24:DDB24"/>
    <mergeCell ref="DDC24:DDF24"/>
    <mergeCell ref="DDG24:DDJ24"/>
    <mergeCell ref="DDK24:DDN24"/>
    <mergeCell ref="DDO24:DDR24"/>
    <mergeCell ref="DBW24:DBZ24"/>
    <mergeCell ref="DCA24:DCD24"/>
    <mergeCell ref="DCE24:DCH24"/>
    <mergeCell ref="DCI24:DCL24"/>
    <mergeCell ref="DCM24:DCP24"/>
    <mergeCell ref="DCQ24:DCT24"/>
    <mergeCell ref="DAY24:DBB24"/>
    <mergeCell ref="DBC24:DBF24"/>
    <mergeCell ref="DBG24:DBJ24"/>
    <mergeCell ref="DBK24:DBN24"/>
    <mergeCell ref="DBO24:DBR24"/>
    <mergeCell ref="DBS24:DBV24"/>
    <mergeCell ref="DAA24:DAD24"/>
    <mergeCell ref="DAE24:DAH24"/>
    <mergeCell ref="DAI24:DAL24"/>
    <mergeCell ref="DAM24:DAP24"/>
    <mergeCell ref="DAQ24:DAT24"/>
    <mergeCell ref="DAU24:DAX24"/>
    <mergeCell ref="CZC24:CZF24"/>
    <mergeCell ref="CZG24:CZJ24"/>
    <mergeCell ref="CZK24:CZN24"/>
    <mergeCell ref="CZO24:CZR24"/>
    <mergeCell ref="CZS24:CZV24"/>
    <mergeCell ref="CZW24:CZZ24"/>
    <mergeCell ref="CYE24:CYH24"/>
    <mergeCell ref="CYI24:CYL24"/>
    <mergeCell ref="CYM24:CYP24"/>
    <mergeCell ref="CYQ24:CYT24"/>
    <mergeCell ref="CYU24:CYX24"/>
    <mergeCell ref="CYY24:CZB24"/>
    <mergeCell ref="CXG24:CXJ24"/>
    <mergeCell ref="CXK24:CXN24"/>
    <mergeCell ref="CXO24:CXR24"/>
    <mergeCell ref="CXS24:CXV24"/>
    <mergeCell ref="CXW24:CXZ24"/>
    <mergeCell ref="CYA24:CYD24"/>
    <mergeCell ref="CWI24:CWL24"/>
    <mergeCell ref="CWM24:CWP24"/>
    <mergeCell ref="CWQ24:CWT24"/>
    <mergeCell ref="CWU24:CWX24"/>
    <mergeCell ref="CWY24:CXB24"/>
    <mergeCell ref="CXC24:CXF24"/>
    <mergeCell ref="CVK24:CVN24"/>
    <mergeCell ref="CVO24:CVR24"/>
    <mergeCell ref="CVS24:CVV24"/>
    <mergeCell ref="CVW24:CVZ24"/>
    <mergeCell ref="CWA24:CWD24"/>
    <mergeCell ref="CWE24:CWH24"/>
    <mergeCell ref="CUM24:CUP24"/>
    <mergeCell ref="CUQ24:CUT24"/>
    <mergeCell ref="CUU24:CUX24"/>
    <mergeCell ref="CUY24:CVB24"/>
    <mergeCell ref="CVC24:CVF24"/>
    <mergeCell ref="CVG24:CVJ24"/>
    <mergeCell ref="CTO24:CTR24"/>
    <mergeCell ref="CTS24:CTV24"/>
    <mergeCell ref="CTW24:CTZ24"/>
    <mergeCell ref="CUA24:CUD24"/>
    <mergeCell ref="CUE24:CUH24"/>
    <mergeCell ref="CUI24:CUL24"/>
    <mergeCell ref="CSQ24:CST24"/>
    <mergeCell ref="CSU24:CSX24"/>
    <mergeCell ref="CSY24:CTB24"/>
    <mergeCell ref="CTC24:CTF24"/>
    <mergeCell ref="CTG24:CTJ24"/>
    <mergeCell ref="CTK24:CTN24"/>
    <mergeCell ref="CRS24:CRV24"/>
    <mergeCell ref="CRW24:CRZ24"/>
    <mergeCell ref="CSA24:CSD24"/>
    <mergeCell ref="CSE24:CSH24"/>
    <mergeCell ref="CSI24:CSL24"/>
    <mergeCell ref="CSM24:CSP24"/>
    <mergeCell ref="CQU24:CQX24"/>
    <mergeCell ref="CQY24:CRB24"/>
    <mergeCell ref="CRC24:CRF24"/>
    <mergeCell ref="CRG24:CRJ24"/>
    <mergeCell ref="CRK24:CRN24"/>
    <mergeCell ref="CRO24:CRR24"/>
    <mergeCell ref="CPW24:CPZ24"/>
    <mergeCell ref="CQA24:CQD24"/>
    <mergeCell ref="CQE24:CQH24"/>
    <mergeCell ref="CQI24:CQL24"/>
    <mergeCell ref="CQM24:CQP24"/>
    <mergeCell ref="CQQ24:CQT24"/>
    <mergeCell ref="COY24:CPB24"/>
    <mergeCell ref="CPC24:CPF24"/>
    <mergeCell ref="CPG24:CPJ24"/>
    <mergeCell ref="CPK24:CPN24"/>
    <mergeCell ref="CPO24:CPR24"/>
    <mergeCell ref="CPS24:CPV24"/>
    <mergeCell ref="COA24:COD24"/>
    <mergeCell ref="COE24:COH24"/>
    <mergeCell ref="COI24:COL24"/>
    <mergeCell ref="COM24:COP24"/>
    <mergeCell ref="COQ24:COT24"/>
    <mergeCell ref="COU24:COX24"/>
    <mergeCell ref="CNC24:CNF24"/>
    <mergeCell ref="CNG24:CNJ24"/>
    <mergeCell ref="CNK24:CNN24"/>
    <mergeCell ref="CNO24:CNR24"/>
    <mergeCell ref="CNS24:CNV24"/>
    <mergeCell ref="CNW24:CNZ24"/>
    <mergeCell ref="CME24:CMH24"/>
    <mergeCell ref="CMI24:CML24"/>
    <mergeCell ref="CMM24:CMP24"/>
    <mergeCell ref="CMQ24:CMT24"/>
    <mergeCell ref="CMU24:CMX24"/>
    <mergeCell ref="CMY24:CNB24"/>
    <mergeCell ref="CLG24:CLJ24"/>
    <mergeCell ref="CLK24:CLN24"/>
    <mergeCell ref="CLO24:CLR24"/>
    <mergeCell ref="CLS24:CLV24"/>
    <mergeCell ref="CLW24:CLZ24"/>
    <mergeCell ref="CMA24:CMD24"/>
    <mergeCell ref="CKI24:CKL24"/>
    <mergeCell ref="CKM24:CKP24"/>
    <mergeCell ref="CKQ24:CKT24"/>
    <mergeCell ref="CKU24:CKX24"/>
    <mergeCell ref="CKY24:CLB24"/>
    <mergeCell ref="CLC24:CLF24"/>
    <mergeCell ref="CJK24:CJN24"/>
    <mergeCell ref="CJO24:CJR24"/>
    <mergeCell ref="CJS24:CJV24"/>
    <mergeCell ref="CJW24:CJZ24"/>
    <mergeCell ref="CKA24:CKD24"/>
    <mergeCell ref="CKE24:CKH24"/>
    <mergeCell ref="CIM24:CIP24"/>
    <mergeCell ref="CIQ24:CIT24"/>
    <mergeCell ref="CIU24:CIX24"/>
    <mergeCell ref="CIY24:CJB24"/>
    <mergeCell ref="CJC24:CJF24"/>
    <mergeCell ref="CJG24:CJJ24"/>
    <mergeCell ref="CHO24:CHR24"/>
    <mergeCell ref="CHS24:CHV24"/>
    <mergeCell ref="CHW24:CHZ24"/>
    <mergeCell ref="CIA24:CID24"/>
    <mergeCell ref="CIE24:CIH24"/>
    <mergeCell ref="CII24:CIL24"/>
    <mergeCell ref="CGQ24:CGT24"/>
    <mergeCell ref="CGU24:CGX24"/>
    <mergeCell ref="CGY24:CHB24"/>
    <mergeCell ref="CHC24:CHF24"/>
    <mergeCell ref="CHG24:CHJ24"/>
    <mergeCell ref="CHK24:CHN24"/>
    <mergeCell ref="CFS24:CFV24"/>
    <mergeCell ref="CFW24:CFZ24"/>
    <mergeCell ref="CGA24:CGD24"/>
    <mergeCell ref="CGE24:CGH24"/>
    <mergeCell ref="CGI24:CGL24"/>
    <mergeCell ref="CGM24:CGP24"/>
    <mergeCell ref="CEU24:CEX24"/>
    <mergeCell ref="CEY24:CFB24"/>
    <mergeCell ref="CFC24:CFF24"/>
    <mergeCell ref="CFG24:CFJ24"/>
    <mergeCell ref="CFK24:CFN24"/>
    <mergeCell ref="CFO24:CFR24"/>
    <mergeCell ref="CDW24:CDZ24"/>
    <mergeCell ref="CEA24:CED24"/>
    <mergeCell ref="CEE24:CEH24"/>
    <mergeCell ref="CEI24:CEL24"/>
    <mergeCell ref="CEM24:CEP24"/>
    <mergeCell ref="CEQ24:CET24"/>
    <mergeCell ref="CCY24:CDB24"/>
    <mergeCell ref="CDC24:CDF24"/>
    <mergeCell ref="CDG24:CDJ24"/>
    <mergeCell ref="CDK24:CDN24"/>
    <mergeCell ref="CDO24:CDR24"/>
    <mergeCell ref="CDS24:CDV24"/>
    <mergeCell ref="CCA24:CCD24"/>
    <mergeCell ref="CCE24:CCH24"/>
    <mergeCell ref="CCI24:CCL24"/>
    <mergeCell ref="CCM24:CCP24"/>
    <mergeCell ref="CCQ24:CCT24"/>
    <mergeCell ref="CCU24:CCX24"/>
    <mergeCell ref="CBC24:CBF24"/>
    <mergeCell ref="CBG24:CBJ24"/>
    <mergeCell ref="CBK24:CBN24"/>
    <mergeCell ref="CBO24:CBR24"/>
    <mergeCell ref="CBS24:CBV24"/>
    <mergeCell ref="CBW24:CBZ24"/>
    <mergeCell ref="CAE24:CAH24"/>
    <mergeCell ref="CAI24:CAL24"/>
    <mergeCell ref="CAM24:CAP24"/>
    <mergeCell ref="CAQ24:CAT24"/>
    <mergeCell ref="CAU24:CAX24"/>
    <mergeCell ref="CAY24:CBB24"/>
    <mergeCell ref="BZG24:BZJ24"/>
    <mergeCell ref="BZK24:BZN24"/>
    <mergeCell ref="BZO24:BZR24"/>
    <mergeCell ref="BZS24:BZV24"/>
    <mergeCell ref="BZW24:BZZ24"/>
    <mergeCell ref="CAA24:CAD24"/>
    <mergeCell ref="BYI24:BYL24"/>
    <mergeCell ref="BYM24:BYP24"/>
    <mergeCell ref="BYQ24:BYT24"/>
    <mergeCell ref="BYU24:BYX24"/>
    <mergeCell ref="BYY24:BZB24"/>
    <mergeCell ref="BZC24:BZF24"/>
    <mergeCell ref="BXK24:BXN24"/>
    <mergeCell ref="BXO24:BXR24"/>
    <mergeCell ref="BXS24:BXV24"/>
    <mergeCell ref="BXW24:BXZ24"/>
    <mergeCell ref="BYA24:BYD24"/>
    <mergeCell ref="BYE24:BYH24"/>
    <mergeCell ref="BWM24:BWP24"/>
    <mergeCell ref="BWQ24:BWT24"/>
    <mergeCell ref="BWU24:BWX24"/>
    <mergeCell ref="BWY24:BXB24"/>
    <mergeCell ref="BXC24:BXF24"/>
    <mergeCell ref="BXG24:BXJ24"/>
    <mergeCell ref="BVO24:BVR24"/>
    <mergeCell ref="BVS24:BVV24"/>
    <mergeCell ref="BVW24:BVZ24"/>
    <mergeCell ref="BWA24:BWD24"/>
    <mergeCell ref="BWE24:BWH24"/>
    <mergeCell ref="BWI24:BWL24"/>
    <mergeCell ref="BUQ24:BUT24"/>
    <mergeCell ref="BUU24:BUX24"/>
    <mergeCell ref="BUY24:BVB24"/>
    <mergeCell ref="BVC24:BVF24"/>
    <mergeCell ref="BVG24:BVJ24"/>
    <mergeCell ref="BVK24:BVN24"/>
    <mergeCell ref="BTS24:BTV24"/>
    <mergeCell ref="BTW24:BTZ24"/>
    <mergeCell ref="BUA24:BUD24"/>
    <mergeCell ref="BUE24:BUH24"/>
    <mergeCell ref="BUI24:BUL24"/>
    <mergeCell ref="BUM24:BUP24"/>
    <mergeCell ref="BSU24:BSX24"/>
    <mergeCell ref="BSY24:BTB24"/>
    <mergeCell ref="BTC24:BTF24"/>
    <mergeCell ref="BTG24:BTJ24"/>
    <mergeCell ref="BTK24:BTN24"/>
    <mergeCell ref="BTO24:BTR24"/>
    <mergeCell ref="BRW24:BRZ24"/>
    <mergeCell ref="BSA24:BSD24"/>
    <mergeCell ref="BSE24:BSH24"/>
    <mergeCell ref="BSI24:BSL24"/>
    <mergeCell ref="BSM24:BSP24"/>
    <mergeCell ref="BSQ24:BST24"/>
    <mergeCell ref="BQY24:BRB24"/>
    <mergeCell ref="BRC24:BRF24"/>
    <mergeCell ref="BRG24:BRJ24"/>
    <mergeCell ref="BRK24:BRN24"/>
    <mergeCell ref="BRO24:BRR24"/>
    <mergeCell ref="BRS24:BRV24"/>
    <mergeCell ref="BQA24:BQD24"/>
    <mergeCell ref="BQE24:BQH24"/>
    <mergeCell ref="BQI24:BQL24"/>
    <mergeCell ref="BQM24:BQP24"/>
    <mergeCell ref="BQQ24:BQT24"/>
    <mergeCell ref="BQU24:BQX24"/>
    <mergeCell ref="BPC24:BPF24"/>
    <mergeCell ref="BPG24:BPJ24"/>
    <mergeCell ref="BPK24:BPN24"/>
    <mergeCell ref="BPO24:BPR24"/>
    <mergeCell ref="BPS24:BPV24"/>
    <mergeCell ref="BPW24:BPZ24"/>
    <mergeCell ref="BOE24:BOH24"/>
    <mergeCell ref="BOI24:BOL24"/>
    <mergeCell ref="BOM24:BOP24"/>
    <mergeCell ref="BOQ24:BOT24"/>
    <mergeCell ref="BOU24:BOX24"/>
    <mergeCell ref="BOY24:BPB24"/>
    <mergeCell ref="BNG24:BNJ24"/>
    <mergeCell ref="BNK24:BNN24"/>
    <mergeCell ref="BNO24:BNR24"/>
    <mergeCell ref="BNS24:BNV24"/>
    <mergeCell ref="BNW24:BNZ24"/>
    <mergeCell ref="BOA24:BOD24"/>
    <mergeCell ref="BMI24:BML24"/>
    <mergeCell ref="BMM24:BMP24"/>
    <mergeCell ref="BMQ24:BMT24"/>
    <mergeCell ref="BMU24:BMX24"/>
    <mergeCell ref="BMY24:BNB24"/>
    <mergeCell ref="BNC24:BNF24"/>
    <mergeCell ref="BLK24:BLN24"/>
    <mergeCell ref="BLO24:BLR24"/>
    <mergeCell ref="BLS24:BLV24"/>
    <mergeCell ref="BLW24:BLZ24"/>
    <mergeCell ref="BMA24:BMD24"/>
    <mergeCell ref="BME24:BMH24"/>
    <mergeCell ref="BKM24:BKP24"/>
    <mergeCell ref="BKQ24:BKT24"/>
    <mergeCell ref="BKU24:BKX24"/>
    <mergeCell ref="BKY24:BLB24"/>
    <mergeCell ref="BLC24:BLF24"/>
    <mergeCell ref="BLG24:BLJ24"/>
    <mergeCell ref="BJO24:BJR24"/>
    <mergeCell ref="BJS24:BJV24"/>
    <mergeCell ref="BJW24:BJZ24"/>
    <mergeCell ref="BKA24:BKD24"/>
    <mergeCell ref="BKE24:BKH24"/>
    <mergeCell ref="BKI24:BKL24"/>
    <mergeCell ref="BIQ24:BIT24"/>
    <mergeCell ref="BIU24:BIX24"/>
    <mergeCell ref="BIY24:BJB24"/>
    <mergeCell ref="BJC24:BJF24"/>
    <mergeCell ref="BJG24:BJJ24"/>
    <mergeCell ref="BJK24:BJN24"/>
    <mergeCell ref="BHS24:BHV24"/>
    <mergeCell ref="BHW24:BHZ24"/>
    <mergeCell ref="BIA24:BID24"/>
    <mergeCell ref="BIE24:BIH24"/>
    <mergeCell ref="BII24:BIL24"/>
    <mergeCell ref="BIM24:BIP24"/>
    <mergeCell ref="BGU24:BGX24"/>
    <mergeCell ref="BGY24:BHB24"/>
    <mergeCell ref="BHC24:BHF24"/>
    <mergeCell ref="BHG24:BHJ24"/>
    <mergeCell ref="BHK24:BHN24"/>
    <mergeCell ref="BHO24:BHR24"/>
    <mergeCell ref="BFW24:BFZ24"/>
    <mergeCell ref="BGA24:BGD24"/>
    <mergeCell ref="BGE24:BGH24"/>
    <mergeCell ref="BGI24:BGL24"/>
    <mergeCell ref="BGM24:BGP24"/>
    <mergeCell ref="BGQ24:BGT24"/>
    <mergeCell ref="BEY24:BFB24"/>
    <mergeCell ref="BFC24:BFF24"/>
    <mergeCell ref="BFG24:BFJ24"/>
    <mergeCell ref="BFK24:BFN24"/>
    <mergeCell ref="BFO24:BFR24"/>
    <mergeCell ref="BFS24:BFV24"/>
    <mergeCell ref="BEA24:BED24"/>
    <mergeCell ref="BEE24:BEH24"/>
    <mergeCell ref="BEI24:BEL24"/>
    <mergeCell ref="BEM24:BEP24"/>
    <mergeCell ref="BEQ24:BET24"/>
    <mergeCell ref="BEU24:BEX24"/>
    <mergeCell ref="BDC24:BDF24"/>
    <mergeCell ref="BDG24:BDJ24"/>
    <mergeCell ref="BDK24:BDN24"/>
    <mergeCell ref="BDO24:BDR24"/>
    <mergeCell ref="BDS24:BDV24"/>
    <mergeCell ref="BDW24:BDZ24"/>
    <mergeCell ref="BCE24:BCH24"/>
    <mergeCell ref="BCI24:BCL24"/>
    <mergeCell ref="BCM24:BCP24"/>
    <mergeCell ref="BCQ24:BCT24"/>
    <mergeCell ref="BCU24:BCX24"/>
    <mergeCell ref="BCY24:BDB24"/>
    <mergeCell ref="BBG24:BBJ24"/>
    <mergeCell ref="BBK24:BBN24"/>
    <mergeCell ref="BBO24:BBR24"/>
    <mergeCell ref="BBS24:BBV24"/>
    <mergeCell ref="BBW24:BBZ24"/>
    <mergeCell ref="BCA24:BCD24"/>
    <mergeCell ref="BAI24:BAL24"/>
    <mergeCell ref="BAM24:BAP24"/>
    <mergeCell ref="BAQ24:BAT24"/>
    <mergeCell ref="BAU24:BAX24"/>
    <mergeCell ref="BAY24:BBB24"/>
    <mergeCell ref="BBC24:BBF24"/>
    <mergeCell ref="AZK24:AZN24"/>
    <mergeCell ref="AZO24:AZR24"/>
    <mergeCell ref="AZS24:AZV24"/>
    <mergeCell ref="AZW24:AZZ24"/>
    <mergeCell ref="BAA24:BAD24"/>
    <mergeCell ref="BAE24:BAH24"/>
    <mergeCell ref="AYM24:AYP24"/>
    <mergeCell ref="AYQ24:AYT24"/>
    <mergeCell ref="AYU24:AYX24"/>
    <mergeCell ref="AYY24:AZB24"/>
    <mergeCell ref="AZC24:AZF24"/>
    <mergeCell ref="AZG24:AZJ24"/>
    <mergeCell ref="AXO24:AXR24"/>
    <mergeCell ref="AXS24:AXV24"/>
    <mergeCell ref="AXW24:AXZ24"/>
    <mergeCell ref="AYA24:AYD24"/>
    <mergeCell ref="AYE24:AYH24"/>
    <mergeCell ref="AYI24:AYL24"/>
    <mergeCell ref="AWQ24:AWT24"/>
    <mergeCell ref="AWU24:AWX24"/>
    <mergeCell ref="AWY24:AXB24"/>
    <mergeCell ref="AXC24:AXF24"/>
    <mergeCell ref="AXG24:AXJ24"/>
    <mergeCell ref="AXK24:AXN24"/>
    <mergeCell ref="AVS24:AVV24"/>
    <mergeCell ref="AVW24:AVZ24"/>
    <mergeCell ref="AWA24:AWD24"/>
    <mergeCell ref="AWE24:AWH24"/>
    <mergeCell ref="AWI24:AWL24"/>
    <mergeCell ref="AWM24:AWP24"/>
    <mergeCell ref="AUU24:AUX24"/>
    <mergeCell ref="AUY24:AVB24"/>
    <mergeCell ref="AVC24:AVF24"/>
    <mergeCell ref="AVG24:AVJ24"/>
    <mergeCell ref="AVK24:AVN24"/>
    <mergeCell ref="AVO24:AVR24"/>
    <mergeCell ref="ATW24:ATZ24"/>
    <mergeCell ref="AUA24:AUD24"/>
    <mergeCell ref="AUE24:AUH24"/>
    <mergeCell ref="AUI24:AUL24"/>
    <mergeCell ref="AUM24:AUP24"/>
    <mergeCell ref="AUQ24:AUT24"/>
    <mergeCell ref="ASY24:ATB24"/>
    <mergeCell ref="ATC24:ATF24"/>
    <mergeCell ref="ATG24:ATJ24"/>
    <mergeCell ref="ATK24:ATN24"/>
    <mergeCell ref="ATO24:ATR24"/>
    <mergeCell ref="ATS24:ATV24"/>
    <mergeCell ref="ASA24:ASD24"/>
    <mergeCell ref="ASE24:ASH24"/>
    <mergeCell ref="ASI24:ASL24"/>
    <mergeCell ref="ASM24:ASP24"/>
    <mergeCell ref="ASQ24:AST24"/>
    <mergeCell ref="ASU24:ASX24"/>
    <mergeCell ref="ARC24:ARF24"/>
    <mergeCell ref="ARG24:ARJ24"/>
    <mergeCell ref="ARK24:ARN24"/>
    <mergeCell ref="ARO24:ARR24"/>
    <mergeCell ref="ARS24:ARV24"/>
    <mergeCell ref="ARW24:ARZ24"/>
    <mergeCell ref="AQE24:AQH24"/>
    <mergeCell ref="AQI24:AQL24"/>
    <mergeCell ref="AQM24:AQP24"/>
    <mergeCell ref="AQQ24:AQT24"/>
    <mergeCell ref="AQU24:AQX24"/>
    <mergeCell ref="AQY24:ARB24"/>
    <mergeCell ref="APG24:APJ24"/>
    <mergeCell ref="APK24:APN24"/>
    <mergeCell ref="APO24:APR24"/>
    <mergeCell ref="APS24:APV24"/>
    <mergeCell ref="APW24:APZ24"/>
    <mergeCell ref="AQA24:AQD24"/>
    <mergeCell ref="AOI24:AOL24"/>
    <mergeCell ref="AOM24:AOP24"/>
    <mergeCell ref="AOQ24:AOT24"/>
    <mergeCell ref="AOU24:AOX24"/>
    <mergeCell ref="AOY24:APB24"/>
    <mergeCell ref="APC24:APF24"/>
    <mergeCell ref="ANK24:ANN24"/>
    <mergeCell ref="ANO24:ANR24"/>
    <mergeCell ref="ANS24:ANV24"/>
    <mergeCell ref="ANW24:ANZ24"/>
    <mergeCell ref="AOA24:AOD24"/>
    <mergeCell ref="AOE24:AOH24"/>
    <mergeCell ref="AMM24:AMP24"/>
    <mergeCell ref="AMQ24:AMT24"/>
    <mergeCell ref="AMU24:AMX24"/>
    <mergeCell ref="AMY24:ANB24"/>
    <mergeCell ref="ANC24:ANF24"/>
    <mergeCell ref="ANG24:ANJ24"/>
    <mergeCell ref="ALO24:ALR24"/>
    <mergeCell ref="ALS24:ALV24"/>
    <mergeCell ref="ALW24:ALZ24"/>
    <mergeCell ref="AMA24:AMD24"/>
    <mergeCell ref="AME24:AMH24"/>
    <mergeCell ref="AMI24:AML24"/>
    <mergeCell ref="AKQ24:AKT24"/>
    <mergeCell ref="AKU24:AKX24"/>
    <mergeCell ref="AKY24:ALB24"/>
    <mergeCell ref="ALC24:ALF24"/>
    <mergeCell ref="ALG24:ALJ24"/>
    <mergeCell ref="ALK24:ALN24"/>
    <mergeCell ref="AJS24:AJV24"/>
    <mergeCell ref="AJW24:AJZ24"/>
    <mergeCell ref="AKA24:AKD24"/>
    <mergeCell ref="AKE24:AKH24"/>
    <mergeCell ref="AKI24:AKL24"/>
    <mergeCell ref="AKM24:AKP24"/>
    <mergeCell ref="AIU24:AIX24"/>
    <mergeCell ref="AIY24:AJB24"/>
    <mergeCell ref="AJC24:AJF24"/>
    <mergeCell ref="AJG24:AJJ24"/>
    <mergeCell ref="AJK24:AJN24"/>
    <mergeCell ref="AJO24:AJR24"/>
    <mergeCell ref="AHW24:AHZ24"/>
    <mergeCell ref="AIA24:AID24"/>
    <mergeCell ref="AIE24:AIH24"/>
    <mergeCell ref="AII24:AIL24"/>
    <mergeCell ref="AIM24:AIP24"/>
    <mergeCell ref="AIQ24:AIT24"/>
    <mergeCell ref="AGY24:AHB24"/>
    <mergeCell ref="AHC24:AHF24"/>
    <mergeCell ref="AHG24:AHJ24"/>
    <mergeCell ref="AHK24:AHN24"/>
    <mergeCell ref="AHO24:AHR24"/>
    <mergeCell ref="AHS24:AHV24"/>
    <mergeCell ref="AGA24:AGD24"/>
    <mergeCell ref="AGE24:AGH24"/>
    <mergeCell ref="AGI24:AGL24"/>
    <mergeCell ref="AGM24:AGP24"/>
    <mergeCell ref="AGQ24:AGT24"/>
    <mergeCell ref="AGU24:AGX24"/>
    <mergeCell ref="AFC24:AFF24"/>
    <mergeCell ref="AFG24:AFJ24"/>
    <mergeCell ref="AFK24:AFN24"/>
    <mergeCell ref="AFO24:AFR24"/>
    <mergeCell ref="AFS24:AFV24"/>
    <mergeCell ref="AFW24:AFZ24"/>
    <mergeCell ref="AEE24:AEH24"/>
    <mergeCell ref="AEI24:AEL24"/>
    <mergeCell ref="AEM24:AEP24"/>
    <mergeCell ref="AEQ24:AET24"/>
    <mergeCell ref="AEU24:AEX24"/>
    <mergeCell ref="AEY24:AFB24"/>
    <mergeCell ref="ADG24:ADJ24"/>
    <mergeCell ref="ADK24:ADN24"/>
    <mergeCell ref="ADO24:ADR24"/>
    <mergeCell ref="ADS24:ADV24"/>
    <mergeCell ref="ADW24:ADZ24"/>
    <mergeCell ref="AEA24:AED24"/>
    <mergeCell ref="ACI24:ACL24"/>
    <mergeCell ref="ACM24:ACP24"/>
    <mergeCell ref="ACQ24:ACT24"/>
    <mergeCell ref="ACU24:ACX24"/>
    <mergeCell ref="ACY24:ADB24"/>
    <mergeCell ref="ADC24:ADF24"/>
    <mergeCell ref="ABK24:ABN24"/>
    <mergeCell ref="ABO24:ABR24"/>
    <mergeCell ref="ABS24:ABV24"/>
    <mergeCell ref="ABW24:ABZ24"/>
    <mergeCell ref="ACA24:ACD24"/>
    <mergeCell ref="ACE24:ACH24"/>
    <mergeCell ref="AAM24:AAP24"/>
    <mergeCell ref="AAQ24:AAT24"/>
    <mergeCell ref="AAU24:AAX24"/>
    <mergeCell ref="AAY24:ABB24"/>
    <mergeCell ref="ABC24:ABF24"/>
    <mergeCell ref="ABG24:ABJ24"/>
    <mergeCell ref="ZO24:ZR24"/>
    <mergeCell ref="ZS24:ZV24"/>
    <mergeCell ref="ZW24:ZZ24"/>
    <mergeCell ref="AAA24:AAD24"/>
    <mergeCell ref="AAE24:AAH24"/>
    <mergeCell ref="AAI24:AAL24"/>
    <mergeCell ref="YQ24:YT24"/>
    <mergeCell ref="YU24:YX24"/>
    <mergeCell ref="YY24:ZB24"/>
    <mergeCell ref="ZC24:ZF24"/>
    <mergeCell ref="ZG24:ZJ24"/>
    <mergeCell ref="ZK24:ZN24"/>
    <mergeCell ref="XS24:XV24"/>
    <mergeCell ref="XW24:XZ24"/>
    <mergeCell ref="YA24:YD24"/>
    <mergeCell ref="YE24:YH24"/>
    <mergeCell ref="YI24:YL24"/>
    <mergeCell ref="YM24:YP24"/>
    <mergeCell ref="WU24:WX24"/>
    <mergeCell ref="WY24:XB24"/>
    <mergeCell ref="XC24:XF24"/>
    <mergeCell ref="XG24:XJ24"/>
    <mergeCell ref="XK24:XN24"/>
    <mergeCell ref="XO24:XR24"/>
    <mergeCell ref="VW24:VZ24"/>
    <mergeCell ref="WA24:WD24"/>
    <mergeCell ref="WE24:WH24"/>
    <mergeCell ref="WI24:WL24"/>
    <mergeCell ref="WM24:WP24"/>
    <mergeCell ref="WQ24:WT24"/>
    <mergeCell ref="UY24:VB24"/>
    <mergeCell ref="VC24:VF24"/>
    <mergeCell ref="VG24:VJ24"/>
    <mergeCell ref="VK24:VN24"/>
    <mergeCell ref="VO24:VR24"/>
    <mergeCell ref="VS24:VV24"/>
    <mergeCell ref="UA24:UD24"/>
    <mergeCell ref="UE24:UH24"/>
    <mergeCell ref="UI24:UL24"/>
    <mergeCell ref="UM24:UP24"/>
    <mergeCell ref="UQ24:UT24"/>
    <mergeCell ref="UU24:UX24"/>
    <mergeCell ref="TC24:TF24"/>
    <mergeCell ref="TG24:TJ24"/>
    <mergeCell ref="TK24:TN24"/>
    <mergeCell ref="TO24:TR24"/>
    <mergeCell ref="TS24:TV24"/>
    <mergeCell ref="TW24:TZ24"/>
    <mergeCell ref="SE24:SH24"/>
    <mergeCell ref="SI24:SL24"/>
    <mergeCell ref="SM24:SP24"/>
    <mergeCell ref="SQ24:ST24"/>
    <mergeCell ref="SU24:SX24"/>
    <mergeCell ref="SY24:TB24"/>
    <mergeCell ref="RG24:RJ24"/>
    <mergeCell ref="RK24:RN24"/>
    <mergeCell ref="RO24:RR24"/>
    <mergeCell ref="RS24:RV24"/>
    <mergeCell ref="RW24:RZ24"/>
    <mergeCell ref="SA24:SD24"/>
    <mergeCell ref="QI24:QL24"/>
    <mergeCell ref="QM24:QP24"/>
    <mergeCell ref="QQ24:QT24"/>
    <mergeCell ref="QU24:QX24"/>
    <mergeCell ref="QY24:RB24"/>
    <mergeCell ref="RC24:RF24"/>
    <mergeCell ref="PK24:PN24"/>
    <mergeCell ref="PO24:PR24"/>
    <mergeCell ref="PS24:PV24"/>
    <mergeCell ref="PW24:PZ24"/>
    <mergeCell ref="QA24:QD24"/>
    <mergeCell ref="QE24:QH24"/>
    <mergeCell ref="OM24:OP24"/>
    <mergeCell ref="OQ24:OT24"/>
    <mergeCell ref="OU24:OX24"/>
    <mergeCell ref="OY24:PB24"/>
    <mergeCell ref="PC24:PF24"/>
    <mergeCell ref="PG24:PJ24"/>
    <mergeCell ref="NO24:NR24"/>
    <mergeCell ref="NS24:NV24"/>
    <mergeCell ref="NW24:NZ24"/>
    <mergeCell ref="OA24:OD24"/>
    <mergeCell ref="OE24:OH24"/>
    <mergeCell ref="OI24:OL24"/>
    <mergeCell ref="MQ24:MT24"/>
    <mergeCell ref="MU24:MX24"/>
    <mergeCell ref="MY24:NB24"/>
    <mergeCell ref="NC24:NF24"/>
    <mergeCell ref="NG24:NJ24"/>
    <mergeCell ref="NK24:NN24"/>
    <mergeCell ref="LS24:LV24"/>
    <mergeCell ref="LW24:LZ24"/>
    <mergeCell ref="MA24:MD24"/>
    <mergeCell ref="ME24:MH24"/>
    <mergeCell ref="MI24:ML24"/>
    <mergeCell ref="MM24:MP24"/>
    <mergeCell ref="KU24:KX24"/>
    <mergeCell ref="KY24:LB24"/>
    <mergeCell ref="LC24:LF24"/>
    <mergeCell ref="LG24:LJ24"/>
    <mergeCell ref="LK24:LN24"/>
    <mergeCell ref="LO24:LR24"/>
    <mergeCell ref="JW24:JZ24"/>
    <mergeCell ref="KA24:KD24"/>
    <mergeCell ref="KE24:KH24"/>
    <mergeCell ref="KI24:KL24"/>
    <mergeCell ref="KM24:KP24"/>
    <mergeCell ref="KQ24:KT24"/>
    <mergeCell ref="IY24:JB24"/>
    <mergeCell ref="JC24:JF24"/>
    <mergeCell ref="JG24:JJ24"/>
    <mergeCell ref="JK24:JN24"/>
    <mergeCell ref="JO24:JR24"/>
    <mergeCell ref="JS24:JV24"/>
    <mergeCell ref="IA24:ID24"/>
    <mergeCell ref="IE24:IH24"/>
    <mergeCell ref="II24:IL24"/>
    <mergeCell ref="IM24:IP24"/>
    <mergeCell ref="IQ24:IT24"/>
    <mergeCell ref="IU24:IX24"/>
    <mergeCell ref="HC24:HF24"/>
    <mergeCell ref="HG24:HJ24"/>
    <mergeCell ref="HK24:HN24"/>
    <mergeCell ref="HO24:HR24"/>
    <mergeCell ref="HS24:HV24"/>
    <mergeCell ref="HW24:HZ24"/>
    <mergeCell ref="GE24:GH24"/>
    <mergeCell ref="GI24:GL24"/>
    <mergeCell ref="GM24:GP24"/>
    <mergeCell ref="GQ24:GT24"/>
    <mergeCell ref="GU24:GX24"/>
    <mergeCell ref="GY24:HB24"/>
    <mergeCell ref="FG24:FJ24"/>
    <mergeCell ref="FK24:FN24"/>
    <mergeCell ref="FO24:FR24"/>
    <mergeCell ref="FS24:FV24"/>
    <mergeCell ref="FW24:FZ24"/>
    <mergeCell ref="GA24:GD24"/>
    <mergeCell ref="EI24:EL24"/>
    <mergeCell ref="EM24:EP24"/>
    <mergeCell ref="EQ24:ET24"/>
    <mergeCell ref="EU24:EX24"/>
    <mergeCell ref="EY24:FB24"/>
    <mergeCell ref="FC24:FF24"/>
    <mergeCell ref="DK24:DN24"/>
    <mergeCell ref="DO24:DR24"/>
    <mergeCell ref="DS24:DV24"/>
    <mergeCell ref="DW24:DZ24"/>
    <mergeCell ref="EA24:ED24"/>
    <mergeCell ref="EE24:EH24"/>
    <mergeCell ref="CM24:CP24"/>
    <mergeCell ref="CQ24:CT24"/>
    <mergeCell ref="CU24:CX24"/>
    <mergeCell ref="CY24:DB24"/>
    <mergeCell ref="DC24:DF24"/>
    <mergeCell ref="DG24:DJ24"/>
    <mergeCell ref="BO24:BR24"/>
    <mergeCell ref="BS24:BV24"/>
    <mergeCell ref="BW24:BZ24"/>
    <mergeCell ref="CA24:CD24"/>
    <mergeCell ref="CE24:CH24"/>
    <mergeCell ref="CI24:CL24"/>
    <mergeCell ref="A346:D346"/>
    <mergeCell ref="A85:D85"/>
    <mergeCell ref="A186:D186"/>
    <mergeCell ref="A647:D647"/>
    <mergeCell ref="A635:D635"/>
    <mergeCell ref="A498:D498"/>
    <mergeCell ref="A24:D24"/>
    <mergeCell ref="A690:D690"/>
    <mergeCell ref="A110:D110"/>
    <mergeCell ref="A32:D32"/>
    <mergeCell ref="A42:D42"/>
    <mergeCell ref="A378:D378"/>
    <mergeCell ref="A391:D391"/>
    <mergeCell ref="A583:D583"/>
    <mergeCell ref="A681:D681"/>
    <mergeCell ref="A121:D121"/>
    <mergeCell ref="A223:B223"/>
    <mergeCell ref="A450:D450"/>
    <mergeCell ref="A460:D460"/>
    <mergeCell ref="A64:D64"/>
    <mergeCell ref="A445:D445"/>
    <mergeCell ref="A571:E571"/>
    <mergeCell ref="A366:D366"/>
    <mergeCell ref="A370:D370"/>
    <mergeCell ref="A438:D438"/>
    <mergeCell ref="A304:D304"/>
    <mergeCell ref="A324:D324"/>
    <mergeCell ref="A374:D374"/>
    <mergeCell ref="A492:D492"/>
    <mergeCell ref="A495:D495"/>
    <mergeCell ref="A597:D597"/>
    <mergeCell ref="AQ24:AT24"/>
    <mergeCell ref="AU24:AX24"/>
    <mergeCell ref="AY24:BB24"/>
    <mergeCell ref="BC24:BF24"/>
    <mergeCell ref="BG24:BJ24"/>
    <mergeCell ref="A286:D286"/>
    <mergeCell ref="A267:D267"/>
    <mergeCell ref="A379:D379"/>
    <mergeCell ref="BK24:BN24"/>
    <mergeCell ref="S24:V24"/>
    <mergeCell ref="W24:Z24"/>
    <mergeCell ref="AA24:AD24"/>
    <mergeCell ref="AE24:AH24"/>
    <mergeCell ref="AI24:AL24"/>
    <mergeCell ref="AM24:AP24"/>
    <mergeCell ref="A28:D28"/>
    <mergeCell ref="O28:R28"/>
    <mergeCell ref="S28:V28"/>
    <mergeCell ref="W28:Z28"/>
    <mergeCell ref="AA28:AD28"/>
    <mergeCell ref="AE28:AH28"/>
    <mergeCell ref="AI28:AL28"/>
    <mergeCell ref="AM28:AP28"/>
    <mergeCell ref="AQ28:AT28"/>
    <mergeCell ref="AU28:AX28"/>
    <mergeCell ref="AY28:BB28"/>
    <mergeCell ref="BC28:BF28"/>
    <mergeCell ref="BG28:BJ28"/>
    <mergeCell ref="BK28:BN28"/>
    <mergeCell ref="O24:R24"/>
    <mergeCell ref="A356:D356"/>
    <mergeCell ref="A102:D102"/>
    <mergeCell ref="BO28:BR28"/>
    <mergeCell ref="BS28:BV28"/>
    <mergeCell ref="BW28:BZ28"/>
    <mergeCell ref="CA28:CD28"/>
    <mergeCell ref="CE28:CH28"/>
    <mergeCell ref="CI28:CL28"/>
    <mergeCell ref="CM28:CP28"/>
    <mergeCell ref="CQ28:CT28"/>
    <mergeCell ref="CU28:CX28"/>
    <mergeCell ref="CY28:DB28"/>
    <mergeCell ref="DC28:DF28"/>
    <mergeCell ref="DG28:DJ28"/>
    <mergeCell ref="DK28:DN28"/>
    <mergeCell ref="DO28:DR28"/>
    <mergeCell ref="DS28:DV28"/>
    <mergeCell ref="DW28:DZ28"/>
    <mergeCell ref="EA28:ED28"/>
    <mergeCell ref="EE28:EH28"/>
    <mergeCell ref="EI28:EL28"/>
    <mergeCell ref="EM28:EP28"/>
    <mergeCell ref="EQ28:ET28"/>
    <mergeCell ref="EU28:EX28"/>
    <mergeCell ref="EY28:FB28"/>
    <mergeCell ref="FC28:FF28"/>
    <mergeCell ref="FG28:FJ28"/>
    <mergeCell ref="FK28:FN28"/>
    <mergeCell ref="FO28:FR28"/>
    <mergeCell ref="FS28:FV28"/>
    <mergeCell ref="FW28:FZ28"/>
    <mergeCell ref="GA28:GD28"/>
    <mergeCell ref="GE28:GH28"/>
    <mergeCell ref="GI28:GL28"/>
    <mergeCell ref="GM28:GP28"/>
    <mergeCell ref="GQ28:GT28"/>
    <mergeCell ref="GU28:GX28"/>
    <mergeCell ref="GY28:HB28"/>
    <mergeCell ref="HC28:HF28"/>
    <mergeCell ref="HG28:HJ28"/>
    <mergeCell ref="HK28:HN28"/>
    <mergeCell ref="HO28:HR28"/>
    <mergeCell ref="HS28:HV28"/>
    <mergeCell ref="HW28:HZ28"/>
    <mergeCell ref="IA28:ID28"/>
    <mergeCell ref="IE28:IH28"/>
    <mergeCell ref="II28:IL28"/>
    <mergeCell ref="IM28:IP28"/>
    <mergeCell ref="IQ28:IT28"/>
    <mergeCell ref="IU28:IX28"/>
    <mergeCell ref="IY28:JB28"/>
    <mergeCell ref="JC28:JF28"/>
    <mergeCell ref="JG28:JJ28"/>
    <mergeCell ref="JK28:JN28"/>
    <mergeCell ref="JO28:JR28"/>
    <mergeCell ref="JS28:JV28"/>
    <mergeCell ref="JW28:JZ28"/>
    <mergeCell ref="KA28:KD28"/>
    <mergeCell ref="KE28:KH28"/>
    <mergeCell ref="KI28:KL28"/>
    <mergeCell ref="KM28:KP28"/>
    <mergeCell ref="KQ28:KT28"/>
    <mergeCell ref="KU28:KX28"/>
    <mergeCell ref="KY28:LB28"/>
    <mergeCell ref="LC28:LF28"/>
    <mergeCell ref="LG28:LJ28"/>
    <mergeCell ref="LK28:LN28"/>
    <mergeCell ref="LO28:LR28"/>
    <mergeCell ref="LS28:LV28"/>
    <mergeCell ref="LW28:LZ28"/>
    <mergeCell ref="MA28:MD28"/>
    <mergeCell ref="ME28:MH28"/>
    <mergeCell ref="MI28:ML28"/>
    <mergeCell ref="MM28:MP28"/>
    <mergeCell ref="MQ28:MT28"/>
    <mergeCell ref="MU28:MX28"/>
    <mergeCell ref="MY28:NB28"/>
    <mergeCell ref="NC28:NF28"/>
    <mergeCell ref="NG28:NJ28"/>
    <mergeCell ref="NK28:NN28"/>
    <mergeCell ref="NO28:NR28"/>
    <mergeCell ref="NS28:NV28"/>
    <mergeCell ref="NW28:NZ28"/>
    <mergeCell ref="OA28:OD28"/>
    <mergeCell ref="OE28:OH28"/>
    <mergeCell ref="OI28:OL28"/>
    <mergeCell ref="OM28:OP28"/>
    <mergeCell ref="OQ28:OT28"/>
    <mergeCell ref="OU28:OX28"/>
    <mergeCell ref="OY28:PB28"/>
    <mergeCell ref="PC28:PF28"/>
    <mergeCell ref="PG28:PJ28"/>
    <mergeCell ref="PK28:PN28"/>
    <mergeCell ref="PO28:PR28"/>
    <mergeCell ref="PS28:PV28"/>
    <mergeCell ref="PW28:PZ28"/>
    <mergeCell ref="QA28:QD28"/>
    <mergeCell ref="QE28:QH28"/>
    <mergeCell ref="QI28:QL28"/>
    <mergeCell ref="QM28:QP28"/>
    <mergeCell ref="QQ28:QT28"/>
    <mergeCell ref="QU28:QX28"/>
    <mergeCell ref="QY28:RB28"/>
    <mergeCell ref="RC28:RF28"/>
    <mergeCell ref="RG28:RJ28"/>
    <mergeCell ref="RK28:RN28"/>
    <mergeCell ref="RO28:RR28"/>
    <mergeCell ref="RS28:RV28"/>
    <mergeCell ref="RW28:RZ28"/>
    <mergeCell ref="SA28:SD28"/>
    <mergeCell ref="SE28:SH28"/>
    <mergeCell ref="SI28:SL28"/>
    <mergeCell ref="SM28:SP28"/>
    <mergeCell ref="SQ28:ST28"/>
    <mergeCell ref="SU28:SX28"/>
    <mergeCell ref="SY28:TB28"/>
    <mergeCell ref="TC28:TF28"/>
    <mergeCell ref="TG28:TJ28"/>
    <mergeCell ref="TK28:TN28"/>
    <mergeCell ref="TO28:TR28"/>
    <mergeCell ref="TS28:TV28"/>
    <mergeCell ref="TW28:TZ28"/>
    <mergeCell ref="UA28:UD28"/>
    <mergeCell ref="UE28:UH28"/>
    <mergeCell ref="UI28:UL28"/>
    <mergeCell ref="UM28:UP28"/>
    <mergeCell ref="UQ28:UT28"/>
    <mergeCell ref="UU28:UX28"/>
    <mergeCell ref="UY28:VB28"/>
    <mergeCell ref="VC28:VF28"/>
    <mergeCell ref="VG28:VJ28"/>
    <mergeCell ref="VK28:VN28"/>
    <mergeCell ref="VO28:VR28"/>
    <mergeCell ref="VS28:VV28"/>
    <mergeCell ref="VW28:VZ28"/>
    <mergeCell ref="WA28:WD28"/>
    <mergeCell ref="WE28:WH28"/>
    <mergeCell ref="WI28:WL28"/>
    <mergeCell ref="WM28:WP28"/>
    <mergeCell ref="WQ28:WT28"/>
    <mergeCell ref="WU28:WX28"/>
    <mergeCell ref="WY28:XB28"/>
    <mergeCell ref="XC28:XF28"/>
    <mergeCell ref="XG28:XJ28"/>
    <mergeCell ref="XK28:XN28"/>
    <mergeCell ref="XO28:XR28"/>
    <mergeCell ref="XS28:XV28"/>
    <mergeCell ref="XW28:XZ28"/>
    <mergeCell ref="YA28:YD28"/>
    <mergeCell ref="YE28:YH28"/>
    <mergeCell ref="YI28:YL28"/>
    <mergeCell ref="YM28:YP28"/>
    <mergeCell ref="YQ28:YT28"/>
    <mergeCell ref="YU28:YX28"/>
    <mergeCell ref="YY28:ZB28"/>
    <mergeCell ref="ZC28:ZF28"/>
    <mergeCell ref="ZG28:ZJ28"/>
    <mergeCell ref="ZK28:ZN28"/>
    <mergeCell ref="ZO28:ZR28"/>
    <mergeCell ref="ZS28:ZV28"/>
    <mergeCell ref="ZW28:ZZ28"/>
    <mergeCell ref="AAA28:AAD28"/>
    <mergeCell ref="AAE28:AAH28"/>
    <mergeCell ref="AAI28:AAL28"/>
    <mergeCell ref="AAM28:AAP28"/>
    <mergeCell ref="AAQ28:AAT28"/>
    <mergeCell ref="AAU28:AAX28"/>
    <mergeCell ref="AAY28:ABB28"/>
    <mergeCell ref="ABC28:ABF28"/>
    <mergeCell ref="ABG28:ABJ28"/>
    <mergeCell ref="ABK28:ABN28"/>
    <mergeCell ref="ABO28:ABR28"/>
    <mergeCell ref="ABS28:ABV28"/>
    <mergeCell ref="ABW28:ABZ28"/>
    <mergeCell ref="ACA28:ACD28"/>
    <mergeCell ref="ACE28:ACH28"/>
    <mergeCell ref="ACI28:ACL28"/>
    <mergeCell ref="ACM28:ACP28"/>
    <mergeCell ref="ACQ28:ACT28"/>
    <mergeCell ref="ACU28:ACX28"/>
    <mergeCell ref="ACY28:ADB28"/>
    <mergeCell ref="ADC28:ADF28"/>
    <mergeCell ref="ADG28:ADJ28"/>
    <mergeCell ref="ADK28:ADN28"/>
    <mergeCell ref="ADO28:ADR28"/>
    <mergeCell ref="ADS28:ADV28"/>
    <mergeCell ref="ADW28:ADZ28"/>
    <mergeCell ref="AEA28:AED28"/>
    <mergeCell ref="AEE28:AEH28"/>
    <mergeCell ref="AEI28:AEL28"/>
    <mergeCell ref="AEM28:AEP28"/>
    <mergeCell ref="AEQ28:AET28"/>
    <mergeCell ref="AEU28:AEX28"/>
    <mergeCell ref="AEY28:AFB28"/>
    <mergeCell ref="AFC28:AFF28"/>
    <mergeCell ref="AFG28:AFJ28"/>
    <mergeCell ref="AFK28:AFN28"/>
    <mergeCell ref="AFO28:AFR28"/>
    <mergeCell ref="AFS28:AFV28"/>
    <mergeCell ref="AFW28:AFZ28"/>
    <mergeCell ref="AGA28:AGD28"/>
    <mergeCell ref="AGE28:AGH28"/>
    <mergeCell ref="AGI28:AGL28"/>
    <mergeCell ref="AGM28:AGP28"/>
    <mergeCell ref="AGQ28:AGT28"/>
    <mergeCell ref="AGU28:AGX28"/>
    <mergeCell ref="AGY28:AHB28"/>
    <mergeCell ref="AHC28:AHF28"/>
    <mergeCell ref="AHG28:AHJ28"/>
    <mergeCell ref="AHK28:AHN28"/>
    <mergeCell ref="AHO28:AHR28"/>
    <mergeCell ref="AHS28:AHV28"/>
    <mergeCell ref="AHW28:AHZ28"/>
    <mergeCell ref="AIA28:AID28"/>
    <mergeCell ref="AIE28:AIH28"/>
    <mergeCell ref="AII28:AIL28"/>
    <mergeCell ref="AIM28:AIP28"/>
    <mergeCell ref="AIQ28:AIT28"/>
    <mergeCell ref="AIU28:AIX28"/>
    <mergeCell ref="AIY28:AJB28"/>
    <mergeCell ref="AJC28:AJF28"/>
    <mergeCell ref="AJG28:AJJ28"/>
    <mergeCell ref="AJK28:AJN28"/>
    <mergeCell ref="AJO28:AJR28"/>
    <mergeCell ref="AJS28:AJV28"/>
    <mergeCell ref="AJW28:AJZ28"/>
    <mergeCell ref="AKA28:AKD28"/>
    <mergeCell ref="AKE28:AKH28"/>
    <mergeCell ref="AKI28:AKL28"/>
    <mergeCell ref="AKM28:AKP28"/>
    <mergeCell ref="AKQ28:AKT28"/>
    <mergeCell ref="AKU28:AKX28"/>
    <mergeCell ref="AKY28:ALB28"/>
    <mergeCell ref="ALC28:ALF28"/>
    <mergeCell ref="ALG28:ALJ28"/>
    <mergeCell ref="ALK28:ALN28"/>
    <mergeCell ref="ALO28:ALR28"/>
    <mergeCell ref="ALS28:ALV28"/>
    <mergeCell ref="ALW28:ALZ28"/>
    <mergeCell ref="AMA28:AMD28"/>
    <mergeCell ref="AME28:AMH28"/>
    <mergeCell ref="AMI28:AML28"/>
    <mergeCell ref="AMM28:AMP28"/>
    <mergeCell ref="AMQ28:AMT28"/>
    <mergeCell ref="AMU28:AMX28"/>
    <mergeCell ref="AMY28:ANB28"/>
    <mergeCell ref="ANC28:ANF28"/>
    <mergeCell ref="ANG28:ANJ28"/>
    <mergeCell ref="ANK28:ANN28"/>
    <mergeCell ref="ANO28:ANR28"/>
    <mergeCell ref="ANS28:ANV28"/>
    <mergeCell ref="ANW28:ANZ28"/>
    <mergeCell ref="AOA28:AOD28"/>
    <mergeCell ref="AOE28:AOH28"/>
    <mergeCell ref="AOI28:AOL28"/>
    <mergeCell ref="AOM28:AOP28"/>
    <mergeCell ref="AOQ28:AOT28"/>
    <mergeCell ref="AOU28:AOX28"/>
    <mergeCell ref="AOY28:APB28"/>
    <mergeCell ref="APC28:APF28"/>
    <mergeCell ref="APG28:APJ28"/>
    <mergeCell ref="APK28:APN28"/>
    <mergeCell ref="APO28:APR28"/>
    <mergeCell ref="APS28:APV28"/>
    <mergeCell ref="APW28:APZ28"/>
    <mergeCell ref="AQA28:AQD28"/>
    <mergeCell ref="AQE28:AQH28"/>
    <mergeCell ref="AQI28:AQL28"/>
    <mergeCell ref="AQM28:AQP28"/>
    <mergeCell ref="AQQ28:AQT28"/>
    <mergeCell ref="AQU28:AQX28"/>
    <mergeCell ref="AQY28:ARB28"/>
    <mergeCell ref="ARC28:ARF28"/>
    <mergeCell ref="ARG28:ARJ28"/>
    <mergeCell ref="ARK28:ARN28"/>
    <mergeCell ref="ARO28:ARR28"/>
    <mergeCell ref="ARS28:ARV28"/>
    <mergeCell ref="ARW28:ARZ28"/>
    <mergeCell ref="ASA28:ASD28"/>
    <mergeCell ref="ASE28:ASH28"/>
    <mergeCell ref="ASI28:ASL28"/>
    <mergeCell ref="ASM28:ASP28"/>
    <mergeCell ref="ASQ28:AST28"/>
    <mergeCell ref="ASU28:ASX28"/>
    <mergeCell ref="ASY28:ATB28"/>
    <mergeCell ref="ATC28:ATF28"/>
    <mergeCell ref="ATG28:ATJ28"/>
    <mergeCell ref="ATK28:ATN28"/>
    <mergeCell ref="ATO28:ATR28"/>
    <mergeCell ref="ATS28:ATV28"/>
    <mergeCell ref="ATW28:ATZ28"/>
    <mergeCell ref="AUA28:AUD28"/>
    <mergeCell ref="AUE28:AUH28"/>
    <mergeCell ref="AUI28:AUL28"/>
    <mergeCell ref="AUM28:AUP28"/>
    <mergeCell ref="AUQ28:AUT28"/>
    <mergeCell ref="AUU28:AUX28"/>
    <mergeCell ref="AUY28:AVB28"/>
    <mergeCell ref="AVC28:AVF28"/>
    <mergeCell ref="AVG28:AVJ28"/>
    <mergeCell ref="AVK28:AVN28"/>
    <mergeCell ref="AVO28:AVR28"/>
    <mergeCell ref="AVS28:AVV28"/>
    <mergeCell ref="AVW28:AVZ28"/>
    <mergeCell ref="AWA28:AWD28"/>
    <mergeCell ref="AWE28:AWH28"/>
    <mergeCell ref="AWI28:AWL28"/>
    <mergeCell ref="AWM28:AWP28"/>
    <mergeCell ref="AWQ28:AWT28"/>
    <mergeCell ref="AWU28:AWX28"/>
    <mergeCell ref="AWY28:AXB28"/>
    <mergeCell ref="AXC28:AXF28"/>
    <mergeCell ref="AXG28:AXJ28"/>
    <mergeCell ref="AXK28:AXN28"/>
    <mergeCell ref="AXO28:AXR28"/>
    <mergeCell ref="AXS28:AXV28"/>
    <mergeCell ref="AXW28:AXZ28"/>
    <mergeCell ref="AYA28:AYD28"/>
    <mergeCell ref="AYE28:AYH28"/>
    <mergeCell ref="AYI28:AYL28"/>
    <mergeCell ref="AYM28:AYP28"/>
    <mergeCell ref="AYQ28:AYT28"/>
    <mergeCell ref="AYU28:AYX28"/>
    <mergeCell ref="AYY28:AZB28"/>
    <mergeCell ref="AZC28:AZF28"/>
    <mergeCell ref="AZG28:AZJ28"/>
    <mergeCell ref="AZK28:AZN28"/>
    <mergeCell ref="AZO28:AZR28"/>
    <mergeCell ref="AZS28:AZV28"/>
    <mergeCell ref="AZW28:AZZ28"/>
    <mergeCell ref="BAA28:BAD28"/>
    <mergeCell ref="BAE28:BAH28"/>
    <mergeCell ref="BAI28:BAL28"/>
    <mergeCell ref="BAM28:BAP28"/>
    <mergeCell ref="BAQ28:BAT28"/>
    <mergeCell ref="BAU28:BAX28"/>
    <mergeCell ref="BAY28:BBB28"/>
    <mergeCell ref="BBC28:BBF28"/>
    <mergeCell ref="BBG28:BBJ28"/>
    <mergeCell ref="BBK28:BBN28"/>
    <mergeCell ref="BBO28:BBR28"/>
    <mergeCell ref="BBS28:BBV28"/>
    <mergeCell ref="BBW28:BBZ28"/>
    <mergeCell ref="BCA28:BCD28"/>
    <mergeCell ref="BCE28:BCH28"/>
    <mergeCell ref="BCI28:BCL28"/>
    <mergeCell ref="BCM28:BCP28"/>
    <mergeCell ref="BCQ28:BCT28"/>
    <mergeCell ref="BCU28:BCX28"/>
    <mergeCell ref="BCY28:BDB28"/>
    <mergeCell ref="BDC28:BDF28"/>
    <mergeCell ref="BDG28:BDJ28"/>
    <mergeCell ref="BDK28:BDN28"/>
    <mergeCell ref="BDO28:BDR28"/>
    <mergeCell ref="BDS28:BDV28"/>
    <mergeCell ref="BDW28:BDZ28"/>
    <mergeCell ref="BEA28:BED28"/>
    <mergeCell ref="BEE28:BEH28"/>
    <mergeCell ref="BEI28:BEL28"/>
    <mergeCell ref="BEM28:BEP28"/>
    <mergeCell ref="BEQ28:BET28"/>
    <mergeCell ref="BEU28:BEX28"/>
    <mergeCell ref="BEY28:BFB28"/>
    <mergeCell ref="BFC28:BFF28"/>
    <mergeCell ref="BFG28:BFJ28"/>
    <mergeCell ref="BFK28:BFN28"/>
    <mergeCell ref="BFO28:BFR28"/>
    <mergeCell ref="BFS28:BFV28"/>
    <mergeCell ref="BFW28:BFZ28"/>
    <mergeCell ref="BGA28:BGD28"/>
    <mergeCell ref="BGE28:BGH28"/>
    <mergeCell ref="BGI28:BGL28"/>
    <mergeCell ref="BGM28:BGP28"/>
    <mergeCell ref="BGQ28:BGT28"/>
    <mergeCell ref="BGU28:BGX28"/>
    <mergeCell ref="BGY28:BHB28"/>
    <mergeCell ref="BHC28:BHF28"/>
    <mergeCell ref="BHG28:BHJ28"/>
    <mergeCell ref="BHK28:BHN28"/>
    <mergeCell ref="BHO28:BHR28"/>
    <mergeCell ref="BHS28:BHV28"/>
    <mergeCell ref="BHW28:BHZ28"/>
    <mergeCell ref="BIA28:BID28"/>
    <mergeCell ref="BIE28:BIH28"/>
    <mergeCell ref="BII28:BIL28"/>
    <mergeCell ref="BIM28:BIP28"/>
    <mergeCell ref="BIQ28:BIT28"/>
    <mergeCell ref="BIU28:BIX28"/>
    <mergeCell ref="BIY28:BJB28"/>
    <mergeCell ref="BJC28:BJF28"/>
    <mergeCell ref="BJG28:BJJ28"/>
    <mergeCell ref="BJK28:BJN28"/>
    <mergeCell ref="BJO28:BJR28"/>
    <mergeCell ref="BJS28:BJV28"/>
    <mergeCell ref="BJW28:BJZ28"/>
    <mergeCell ref="BKA28:BKD28"/>
    <mergeCell ref="BKE28:BKH28"/>
    <mergeCell ref="BKI28:BKL28"/>
    <mergeCell ref="BKM28:BKP28"/>
    <mergeCell ref="BKQ28:BKT28"/>
    <mergeCell ref="BKU28:BKX28"/>
    <mergeCell ref="BKY28:BLB28"/>
    <mergeCell ref="BLC28:BLF28"/>
    <mergeCell ref="BLG28:BLJ28"/>
    <mergeCell ref="BLK28:BLN28"/>
    <mergeCell ref="BLO28:BLR28"/>
    <mergeCell ref="BLS28:BLV28"/>
    <mergeCell ref="BLW28:BLZ28"/>
    <mergeCell ref="BMA28:BMD28"/>
    <mergeCell ref="BME28:BMH28"/>
    <mergeCell ref="BMI28:BML28"/>
    <mergeCell ref="BMM28:BMP28"/>
    <mergeCell ref="BMQ28:BMT28"/>
    <mergeCell ref="BMU28:BMX28"/>
    <mergeCell ref="BMY28:BNB28"/>
    <mergeCell ref="BNC28:BNF28"/>
    <mergeCell ref="BNG28:BNJ28"/>
    <mergeCell ref="BNK28:BNN28"/>
    <mergeCell ref="BNO28:BNR28"/>
    <mergeCell ref="BNS28:BNV28"/>
    <mergeCell ref="BNW28:BNZ28"/>
    <mergeCell ref="BOA28:BOD28"/>
    <mergeCell ref="BOE28:BOH28"/>
    <mergeCell ref="BOI28:BOL28"/>
    <mergeCell ref="BOM28:BOP28"/>
    <mergeCell ref="BOQ28:BOT28"/>
    <mergeCell ref="BOU28:BOX28"/>
    <mergeCell ref="BOY28:BPB28"/>
    <mergeCell ref="BPC28:BPF28"/>
    <mergeCell ref="BPG28:BPJ28"/>
    <mergeCell ref="BPK28:BPN28"/>
    <mergeCell ref="BPO28:BPR28"/>
    <mergeCell ref="BPS28:BPV28"/>
    <mergeCell ref="BPW28:BPZ28"/>
    <mergeCell ref="BQA28:BQD28"/>
    <mergeCell ref="BQE28:BQH28"/>
    <mergeCell ref="BQI28:BQL28"/>
    <mergeCell ref="BQM28:BQP28"/>
    <mergeCell ref="BQQ28:BQT28"/>
    <mergeCell ref="BQU28:BQX28"/>
    <mergeCell ref="BQY28:BRB28"/>
    <mergeCell ref="BRC28:BRF28"/>
    <mergeCell ref="BRG28:BRJ28"/>
    <mergeCell ref="BRK28:BRN28"/>
    <mergeCell ref="BRO28:BRR28"/>
    <mergeCell ref="BRS28:BRV28"/>
    <mergeCell ref="BRW28:BRZ28"/>
    <mergeCell ref="BSA28:BSD28"/>
    <mergeCell ref="BSE28:BSH28"/>
    <mergeCell ref="BSI28:BSL28"/>
    <mergeCell ref="BSM28:BSP28"/>
    <mergeCell ref="BSQ28:BST28"/>
    <mergeCell ref="BSU28:BSX28"/>
    <mergeCell ref="BSY28:BTB28"/>
    <mergeCell ref="BTC28:BTF28"/>
    <mergeCell ref="BTG28:BTJ28"/>
    <mergeCell ref="BTK28:BTN28"/>
    <mergeCell ref="BTO28:BTR28"/>
    <mergeCell ref="BTS28:BTV28"/>
    <mergeCell ref="BTW28:BTZ28"/>
    <mergeCell ref="BUA28:BUD28"/>
    <mergeCell ref="BUE28:BUH28"/>
    <mergeCell ref="BUI28:BUL28"/>
    <mergeCell ref="BUM28:BUP28"/>
    <mergeCell ref="BUQ28:BUT28"/>
    <mergeCell ref="BUU28:BUX28"/>
    <mergeCell ref="BUY28:BVB28"/>
    <mergeCell ref="BVC28:BVF28"/>
    <mergeCell ref="BVG28:BVJ28"/>
    <mergeCell ref="BVK28:BVN28"/>
    <mergeCell ref="BVO28:BVR28"/>
    <mergeCell ref="BVS28:BVV28"/>
    <mergeCell ref="BVW28:BVZ28"/>
    <mergeCell ref="BWA28:BWD28"/>
    <mergeCell ref="BWE28:BWH28"/>
    <mergeCell ref="BWI28:BWL28"/>
    <mergeCell ref="BWM28:BWP28"/>
    <mergeCell ref="BWQ28:BWT28"/>
    <mergeCell ref="BWU28:BWX28"/>
    <mergeCell ref="BWY28:BXB28"/>
    <mergeCell ref="BXC28:BXF28"/>
    <mergeCell ref="BXG28:BXJ28"/>
    <mergeCell ref="BXK28:BXN28"/>
    <mergeCell ref="BXO28:BXR28"/>
    <mergeCell ref="BXS28:BXV28"/>
    <mergeCell ref="BXW28:BXZ28"/>
    <mergeCell ref="BYA28:BYD28"/>
    <mergeCell ref="BYE28:BYH28"/>
    <mergeCell ref="BYI28:BYL28"/>
    <mergeCell ref="BYM28:BYP28"/>
    <mergeCell ref="BYQ28:BYT28"/>
    <mergeCell ref="BYU28:BYX28"/>
    <mergeCell ref="BYY28:BZB28"/>
    <mergeCell ref="BZC28:BZF28"/>
    <mergeCell ref="BZG28:BZJ28"/>
    <mergeCell ref="BZK28:BZN28"/>
    <mergeCell ref="BZO28:BZR28"/>
    <mergeCell ref="BZS28:BZV28"/>
    <mergeCell ref="BZW28:BZZ28"/>
    <mergeCell ref="CAA28:CAD28"/>
    <mergeCell ref="CAE28:CAH28"/>
    <mergeCell ref="CAI28:CAL28"/>
    <mergeCell ref="CAM28:CAP28"/>
    <mergeCell ref="CAQ28:CAT28"/>
    <mergeCell ref="CAU28:CAX28"/>
    <mergeCell ref="CAY28:CBB28"/>
    <mergeCell ref="CBC28:CBF28"/>
    <mergeCell ref="CBG28:CBJ28"/>
    <mergeCell ref="CBK28:CBN28"/>
    <mergeCell ref="CBO28:CBR28"/>
    <mergeCell ref="CBS28:CBV28"/>
    <mergeCell ref="CBW28:CBZ28"/>
    <mergeCell ref="CCA28:CCD28"/>
    <mergeCell ref="CCE28:CCH28"/>
    <mergeCell ref="CCI28:CCL28"/>
    <mergeCell ref="CCM28:CCP28"/>
    <mergeCell ref="CCQ28:CCT28"/>
    <mergeCell ref="CCU28:CCX28"/>
    <mergeCell ref="CCY28:CDB28"/>
    <mergeCell ref="CDC28:CDF28"/>
    <mergeCell ref="CDG28:CDJ28"/>
    <mergeCell ref="CDK28:CDN28"/>
    <mergeCell ref="CDO28:CDR28"/>
    <mergeCell ref="CDS28:CDV28"/>
    <mergeCell ref="CDW28:CDZ28"/>
    <mergeCell ref="CEA28:CED28"/>
    <mergeCell ref="CEE28:CEH28"/>
    <mergeCell ref="CEI28:CEL28"/>
    <mergeCell ref="CEM28:CEP28"/>
    <mergeCell ref="CEQ28:CET28"/>
    <mergeCell ref="CEU28:CEX28"/>
    <mergeCell ref="CEY28:CFB28"/>
    <mergeCell ref="CFC28:CFF28"/>
    <mergeCell ref="CFG28:CFJ28"/>
    <mergeCell ref="CFK28:CFN28"/>
    <mergeCell ref="CFO28:CFR28"/>
    <mergeCell ref="CFS28:CFV28"/>
    <mergeCell ref="CFW28:CFZ28"/>
    <mergeCell ref="CGA28:CGD28"/>
    <mergeCell ref="CGE28:CGH28"/>
    <mergeCell ref="CGI28:CGL28"/>
    <mergeCell ref="CGM28:CGP28"/>
    <mergeCell ref="CGQ28:CGT28"/>
    <mergeCell ref="CGU28:CGX28"/>
    <mergeCell ref="CGY28:CHB28"/>
    <mergeCell ref="CHC28:CHF28"/>
    <mergeCell ref="CHG28:CHJ28"/>
    <mergeCell ref="CHK28:CHN28"/>
    <mergeCell ref="CHO28:CHR28"/>
    <mergeCell ref="CHS28:CHV28"/>
    <mergeCell ref="CHW28:CHZ28"/>
    <mergeCell ref="CIA28:CID28"/>
    <mergeCell ref="CIE28:CIH28"/>
    <mergeCell ref="CII28:CIL28"/>
    <mergeCell ref="CIM28:CIP28"/>
    <mergeCell ref="CIQ28:CIT28"/>
    <mergeCell ref="CIU28:CIX28"/>
    <mergeCell ref="CIY28:CJB28"/>
    <mergeCell ref="CJC28:CJF28"/>
    <mergeCell ref="CJG28:CJJ28"/>
    <mergeCell ref="CJK28:CJN28"/>
    <mergeCell ref="CJO28:CJR28"/>
    <mergeCell ref="CJS28:CJV28"/>
    <mergeCell ref="CJW28:CJZ28"/>
    <mergeCell ref="CKA28:CKD28"/>
    <mergeCell ref="CKE28:CKH28"/>
    <mergeCell ref="CKI28:CKL28"/>
    <mergeCell ref="CKM28:CKP28"/>
    <mergeCell ref="CKQ28:CKT28"/>
    <mergeCell ref="CKU28:CKX28"/>
    <mergeCell ref="CKY28:CLB28"/>
    <mergeCell ref="CLC28:CLF28"/>
    <mergeCell ref="CLG28:CLJ28"/>
    <mergeCell ref="CLK28:CLN28"/>
    <mergeCell ref="CLO28:CLR28"/>
    <mergeCell ref="CLS28:CLV28"/>
    <mergeCell ref="CLW28:CLZ28"/>
    <mergeCell ref="CMA28:CMD28"/>
    <mergeCell ref="CME28:CMH28"/>
    <mergeCell ref="CMI28:CML28"/>
    <mergeCell ref="CMM28:CMP28"/>
    <mergeCell ref="CMQ28:CMT28"/>
    <mergeCell ref="CMU28:CMX28"/>
    <mergeCell ref="CMY28:CNB28"/>
    <mergeCell ref="CNC28:CNF28"/>
    <mergeCell ref="CNG28:CNJ28"/>
    <mergeCell ref="CNK28:CNN28"/>
    <mergeCell ref="CNO28:CNR28"/>
    <mergeCell ref="CNS28:CNV28"/>
    <mergeCell ref="CNW28:CNZ28"/>
    <mergeCell ref="COA28:COD28"/>
    <mergeCell ref="COE28:COH28"/>
    <mergeCell ref="COI28:COL28"/>
    <mergeCell ref="COM28:COP28"/>
    <mergeCell ref="COQ28:COT28"/>
    <mergeCell ref="COU28:COX28"/>
    <mergeCell ref="COY28:CPB28"/>
    <mergeCell ref="CPC28:CPF28"/>
    <mergeCell ref="CPG28:CPJ28"/>
    <mergeCell ref="CPK28:CPN28"/>
    <mergeCell ref="CPO28:CPR28"/>
    <mergeCell ref="CPS28:CPV28"/>
    <mergeCell ref="CPW28:CPZ28"/>
    <mergeCell ref="CQA28:CQD28"/>
    <mergeCell ref="CQE28:CQH28"/>
    <mergeCell ref="CQI28:CQL28"/>
    <mergeCell ref="CQM28:CQP28"/>
    <mergeCell ref="CQQ28:CQT28"/>
    <mergeCell ref="CQU28:CQX28"/>
    <mergeCell ref="CQY28:CRB28"/>
    <mergeCell ref="CRC28:CRF28"/>
    <mergeCell ref="CRG28:CRJ28"/>
    <mergeCell ref="CRK28:CRN28"/>
    <mergeCell ref="CRO28:CRR28"/>
    <mergeCell ref="CRS28:CRV28"/>
    <mergeCell ref="CRW28:CRZ28"/>
    <mergeCell ref="CSA28:CSD28"/>
    <mergeCell ref="CSE28:CSH28"/>
    <mergeCell ref="CSI28:CSL28"/>
    <mergeCell ref="CSM28:CSP28"/>
    <mergeCell ref="CSQ28:CST28"/>
    <mergeCell ref="CSU28:CSX28"/>
    <mergeCell ref="CSY28:CTB28"/>
    <mergeCell ref="CTC28:CTF28"/>
    <mergeCell ref="CTG28:CTJ28"/>
    <mergeCell ref="CTK28:CTN28"/>
    <mergeCell ref="CTO28:CTR28"/>
    <mergeCell ref="CTS28:CTV28"/>
    <mergeCell ref="CTW28:CTZ28"/>
    <mergeCell ref="CUA28:CUD28"/>
    <mergeCell ref="CUE28:CUH28"/>
    <mergeCell ref="CUI28:CUL28"/>
    <mergeCell ref="CUM28:CUP28"/>
    <mergeCell ref="CUQ28:CUT28"/>
    <mergeCell ref="CUU28:CUX28"/>
    <mergeCell ref="CUY28:CVB28"/>
    <mergeCell ref="CVC28:CVF28"/>
    <mergeCell ref="CVG28:CVJ28"/>
    <mergeCell ref="CVK28:CVN28"/>
    <mergeCell ref="CVO28:CVR28"/>
    <mergeCell ref="CVS28:CVV28"/>
    <mergeCell ref="CVW28:CVZ28"/>
    <mergeCell ref="CWA28:CWD28"/>
    <mergeCell ref="CWE28:CWH28"/>
    <mergeCell ref="CWI28:CWL28"/>
    <mergeCell ref="CWM28:CWP28"/>
    <mergeCell ref="CWQ28:CWT28"/>
    <mergeCell ref="CWU28:CWX28"/>
    <mergeCell ref="CWY28:CXB28"/>
    <mergeCell ref="CXC28:CXF28"/>
    <mergeCell ref="CXG28:CXJ28"/>
    <mergeCell ref="CXK28:CXN28"/>
    <mergeCell ref="CXO28:CXR28"/>
    <mergeCell ref="CXS28:CXV28"/>
    <mergeCell ref="CXW28:CXZ28"/>
    <mergeCell ref="CYA28:CYD28"/>
    <mergeCell ref="CYE28:CYH28"/>
    <mergeCell ref="CYI28:CYL28"/>
    <mergeCell ref="CYM28:CYP28"/>
    <mergeCell ref="CYQ28:CYT28"/>
    <mergeCell ref="CYU28:CYX28"/>
    <mergeCell ref="CYY28:CZB28"/>
    <mergeCell ref="CZC28:CZF28"/>
    <mergeCell ref="CZG28:CZJ28"/>
    <mergeCell ref="CZK28:CZN28"/>
    <mergeCell ref="CZO28:CZR28"/>
    <mergeCell ref="CZS28:CZV28"/>
    <mergeCell ref="CZW28:CZZ28"/>
    <mergeCell ref="DAA28:DAD28"/>
    <mergeCell ref="DAE28:DAH28"/>
    <mergeCell ref="DAI28:DAL28"/>
    <mergeCell ref="DAM28:DAP28"/>
    <mergeCell ref="DAQ28:DAT28"/>
    <mergeCell ref="DAU28:DAX28"/>
    <mergeCell ref="DAY28:DBB28"/>
    <mergeCell ref="DBC28:DBF28"/>
    <mergeCell ref="DBG28:DBJ28"/>
    <mergeCell ref="DBK28:DBN28"/>
    <mergeCell ref="DBO28:DBR28"/>
    <mergeCell ref="DBS28:DBV28"/>
    <mergeCell ref="DBW28:DBZ28"/>
    <mergeCell ref="DCA28:DCD28"/>
    <mergeCell ref="DCE28:DCH28"/>
    <mergeCell ref="DCI28:DCL28"/>
    <mergeCell ref="DCM28:DCP28"/>
    <mergeCell ref="DCQ28:DCT28"/>
    <mergeCell ref="DCU28:DCX28"/>
    <mergeCell ref="DCY28:DDB28"/>
    <mergeCell ref="DDC28:DDF28"/>
    <mergeCell ref="DDG28:DDJ28"/>
    <mergeCell ref="DDK28:DDN28"/>
    <mergeCell ref="DDO28:DDR28"/>
    <mergeCell ref="DDS28:DDV28"/>
    <mergeCell ref="DDW28:DDZ28"/>
    <mergeCell ref="DEA28:DED28"/>
    <mergeCell ref="DEE28:DEH28"/>
    <mergeCell ref="DEI28:DEL28"/>
    <mergeCell ref="DEM28:DEP28"/>
    <mergeCell ref="DEQ28:DET28"/>
    <mergeCell ref="DEU28:DEX28"/>
    <mergeCell ref="DEY28:DFB28"/>
    <mergeCell ref="DFC28:DFF28"/>
    <mergeCell ref="DFG28:DFJ28"/>
    <mergeCell ref="DFK28:DFN28"/>
    <mergeCell ref="DFO28:DFR28"/>
    <mergeCell ref="DFS28:DFV28"/>
    <mergeCell ref="DFW28:DFZ28"/>
    <mergeCell ref="DGA28:DGD28"/>
    <mergeCell ref="DGE28:DGH28"/>
    <mergeCell ref="DGI28:DGL28"/>
    <mergeCell ref="DGM28:DGP28"/>
    <mergeCell ref="DGQ28:DGT28"/>
    <mergeCell ref="DGU28:DGX28"/>
    <mergeCell ref="DGY28:DHB28"/>
    <mergeCell ref="DHC28:DHF28"/>
    <mergeCell ref="DHG28:DHJ28"/>
    <mergeCell ref="DHK28:DHN28"/>
    <mergeCell ref="DHO28:DHR28"/>
    <mergeCell ref="DHS28:DHV28"/>
    <mergeCell ref="DHW28:DHZ28"/>
    <mergeCell ref="DIA28:DID28"/>
    <mergeCell ref="DIE28:DIH28"/>
    <mergeCell ref="DII28:DIL28"/>
    <mergeCell ref="DIM28:DIP28"/>
    <mergeCell ref="DIQ28:DIT28"/>
    <mergeCell ref="DIU28:DIX28"/>
    <mergeCell ref="DIY28:DJB28"/>
    <mergeCell ref="DJC28:DJF28"/>
    <mergeCell ref="DJG28:DJJ28"/>
    <mergeCell ref="DJK28:DJN28"/>
    <mergeCell ref="DJO28:DJR28"/>
    <mergeCell ref="DJS28:DJV28"/>
    <mergeCell ref="DJW28:DJZ28"/>
    <mergeCell ref="DKA28:DKD28"/>
    <mergeCell ref="DKE28:DKH28"/>
    <mergeCell ref="DKI28:DKL28"/>
    <mergeCell ref="DKM28:DKP28"/>
    <mergeCell ref="DKQ28:DKT28"/>
    <mergeCell ref="DKU28:DKX28"/>
    <mergeCell ref="DKY28:DLB28"/>
    <mergeCell ref="DLC28:DLF28"/>
    <mergeCell ref="DLG28:DLJ28"/>
    <mergeCell ref="DLK28:DLN28"/>
    <mergeCell ref="DLO28:DLR28"/>
    <mergeCell ref="DLS28:DLV28"/>
    <mergeCell ref="DLW28:DLZ28"/>
    <mergeCell ref="DMA28:DMD28"/>
    <mergeCell ref="DME28:DMH28"/>
    <mergeCell ref="DMI28:DML28"/>
    <mergeCell ref="DMM28:DMP28"/>
    <mergeCell ref="DMQ28:DMT28"/>
    <mergeCell ref="DMU28:DMX28"/>
    <mergeCell ref="DMY28:DNB28"/>
    <mergeCell ref="DNC28:DNF28"/>
    <mergeCell ref="DNG28:DNJ28"/>
    <mergeCell ref="DNK28:DNN28"/>
    <mergeCell ref="DNO28:DNR28"/>
    <mergeCell ref="DNS28:DNV28"/>
    <mergeCell ref="DNW28:DNZ28"/>
    <mergeCell ref="DOA28:DOD28"/>
    <mergeCell ref="DOE28:DOH28"/>
    <mergeCell ref="DOI28:DOL28"/>
    <mergeCell ref="DOM28:DOP28"/>
    <mergeCell ref="DOQ28:DOT28"/>
    <mergeCell ref="DOU28:DOX28"/>
    <mergeCell ref="DOY28:DPB28"/>
    <mergeCell ref="DPC28:DPF28"/>
    <mergeCell ref="DPG28:DPJ28"/>
    <mergeCell ref="DPK28:DPN28"/>
    <mergeCell ref="DPO28:DPR28"/>
    <mergeCell ref="DPS28:DPV28"/>
    <mergeCell ref="DPW28:DPZ28"/>
    <mergeCell ref="DQA28:DQD28"/>
    <mergeCell ref="DQE28:DQH28"/>
    <mergeCell ref="DQI28:DQL28"/>
    <mergeCell ref="DQM28:DQP28"/>
    <mergeCell ref="DQQ28:DQT28"/>
    <mergeCell ref="DQU28:DQX28"/>
    <mergeCell ref="DQY28:DRB28"/>
    <mergeCell ref="DRC28:DRF28"/>
    <mergeCell ref="DRG28:DRJ28"/>
    <mergeCell ref="DRK28:DRN28"/>
    <mergeCell ref="DRO28:DRR28"/>
    <mergeCell ref="DRS28:DRV28"/>
    <mergeCell ref="DRW28:DRZ28"/>
    <mergeCell ref="DSA28:DSD28"/>
    <mergeCell ref="DSE28:DSH28"/>
    <mergeCell ref="DSI28:DSL28"/>
    <mergeCell ref="DSM28:DSP28"/>
    <mergeCell ref="DSQ28:DST28"/>
    <mergeCell ref="DSU28:DSX28"/>
    <mergeCell ref="DSY28:DTB28"/>
    <mergeCell ref="DTC28:DTF28"/>
    <mergeCell ref="DTG28:DTJ28"/>
    <mergeCell ref="DTK28:DTN28"/>
    <mergeCell ref="DTO28:DTR28"/>
    <mergeCell ref="DTS28:DTV28"/>
    <mergeCell ref="DTW28:DTZ28"/>
    <mergeCell ref="DUA28:DUD28"/>
    <mergeCell ref="DUE28:DUH28"/>
    <mergeCell ref="DUI28:DUL28"/>
    <mergeCell ref="DUM28:DUP28"/>
    <mergeCell ref="DUQ28:DUT28"/>
    <mergeCell ref="DUU28:DUX28"/>
    <mergeCell ref="DUY28:DVB28"/>
    <mergeCell ref="DVC28:DVF28"/>
    <mergeCell ref="DVG28:DVJ28"/>
    <mergeCell ref="DVK28:DVN28"/>
    <mergeCell ref="DVO28:DVR28"/>
    <mergeCell ref="DVS28:DVV28"/>
    <mergeCell ref="DVW28:DVZ28"/>
    <mergeCell ref="DWA28:DWD28"/>
    <mergeCell ref="DWE28:DWH28"/>
    <mergeCell ref="DWI28:DWL28"/>
    <mergeCell ref="DWM28:DWP28"/>
    <mergeCell ref="DWQ28:DWT28"/>
    <mergeCell ref="DWU28:DWX28"/>
    <mergeCell ref="DWY28:DXB28"/>
    <mergeCell ref="DXC28:DXF28"/>
    <mergeCell ref="DXG28:DXJ28"/>
    <mergeCell ref="DXK28:DXN28"/>
    <mergeCell ref="DXO28:DXR28"/>
    <mergeCell ref="DXS28:DXV28"/>
    <mergeCell ref="DXW28:DXZ28"/>
    <mergeCell ref="DYA28:DYD28"/>
    <mergeCell ref="DYE28:DYH28"/>
    <mergeCell ref="DYI28:DYL28"/>
    <mergeCell ref="DYM28:DYP28"/>
    <mergeCell ref="DYQ28:DYT28"/>
    <mergeCell ref="DYU28:DYX28"/>
    <mergeCell ref="DYY28:DZB28"/>
    <mergeCell ref="DZC28:DZF28"/>
    <mergeCell ref="DZG28:DZJ28"/>
    <mergeCell ref="DZK28:DZN28"/>
    <mergeCell ref="DZO28:DZR28"/>
    <mergeCell ref="DZS28:DZV28"/>
    <mergeCell ref="DZW28:DZZ28"/>
    <mergeCell ref="EAA28:EAD28"/>
    <mergeCell ref="EAE28:EAH28"/>
    <mergeCell ref="EAI28:EAL28"/>
    <mergeCell ref="EAM28:EAP28"/>
    <mergeCell ref="EAQ28:EAT28"/>
    <mergeCell ref="EAU28:EAX28"/>
    <mergeCell ref="EAY28:EBB28"/>
    <mergeCell ref="EBC28:EBF28"/>
    <mergeCell ref="EBG28:EBJ28"/>
    <mergeCell ref="EBK28:EBN28"/>
    <mergeCell ref="EBO28:EBR28"/>
    <mergeCell ref="EBS28:EBV28"/>
    <mergeCell ref="EBW28:EBZ28"/>
    <mergeCell ref="ECA28:ECD28"/>
    <mergeCell ref="ECE28:ECH28"/>
    <mergeCell ref="ECI28:ECL28"/>
    <mergeCell ref="ECM28:ECP28"/>
    <mergeCell ref="ECQ28:ECT28"/>
    <mergeCell ref="ECU28:ECX28"/>
    <mergeCell ref="ECY28:EDB28"/>
    <mergeCell ref="EDC28:EDF28"/>
    <mergeCell ref="EDG28:EDJ28"/>
    <mergeCell ref="EDK28:EDN28"/>
    <mergeCell ref="EDO28:EDR28"/>
    <mergeCell ref="EDS28:EDV28"/>
    <mergeCell ref="EDW28:EDZ28"/>
    <mergeCell ref="EEA28:EED28"/>
    <mergeCell ref="EEE28:EEH28"/>
    <mergeCell ref="EEI28:EEL28"/>
    <mergeCell ref="EEM28:EEP28"/>
    <mergeCell ref="EEQ28:EET28"/>
    <mergeCell ref="EEU28:EEX28"/>
    <mergeCell ref="EEY28:EFB28"/>
    <mergeCell ref="EFC28:EFF28"/>
    <mergeCell ref="EFG28:EFJ28"/>
    <mergeCell ref="EFK28:EFN28"/>
    <mergeCell ref="EFO28:EFR28"/>
    <mergeCell ref="EFS28:EFV28"/>
    <mergeCell ref="EFW28:EFZ28"/>
    <mergeCell ref="EGA28:EGD28"/>
    <mergeCell ref="EGE28:EGH28"/>
    <mergeCell ref="EGI28:EGL28"/>
    <mergeCell ref="EGM28:EGP28"/>
    <mergeCell ref="EGQ28:EGT28"/>
    <mergeCell ref="EGU28:EGX28"/>
    <mergeCell ref="EGY28:EHB28"/>
    <mergeCell ref="EHC28:EHF28"/>
    <mergeCell ref="EHG28:EHJ28"/>
    <mergeCell ref="EHK28:EHN28"/>
    <mergeCell ref="EHO28:EHR28"/>
    <mergeCell ref="EHS28:EHV28"/>
    <mergeCell ref="EHW28:EHZ28"/>
    <mergeCell ref="EIA28:EID28"/>
    <mergeCell ref="EIE28:EIH28"/>
    <mergeCell ref="EII28:EIL28"/>
    <mergeCell ref="EIM28:EIP28"/>
    <mergeCell ref="EIQ28:EIT28"/>
    <mergeCell ref="EIU28:EIX28"/>
    <mergeCell ref="EIY28:EJB28"/>
    <mergeCell ref="EJC28:EJF28"/>
    <mergeCell ref="EJG28:EJJ28"/>
    <mergeCell ref="EJK28:EJN28"/>
    <mergeCell ref="EJO28:EJR28"/>
    <mergeCell ref="EJS28:EJV28"/>
    <mergeCell ref="EJW28:EJZ28"/>
    <mergeCell ref="EKA28:EKD28"/>
    <mergeCell ref="EKE28:EKH28"/>
    <mergeCell ref="EKI28:EKL28"/>
    <mergeCell ref="EKM28:EKP28"/>
    <mergeCell ref="EKQ28:EKT28"/>
    <mergeCell ref="EKU28:EKX28"/>
    <mergeCell ref="EKY28:ELB28"/>
    <mergeCell ref="ELC28:ELF28"/>
    <mergeCell ref="ELG28:ELJ28"/>
    <mergeCell ref="ELK28:ELN28"/>
    <mergeCell ref="ELO28:ELR28"/>
    <mergeCell ref="ELS28:ELV28"/>
    <mergeCell ref="ELW28:ELZ28"/>
    <mergeCell ref="EMA28:EMD28"/>
    <mergeCell ref="EME28:EMH28"/>
    <mergeCell ref="EMI28:EML28"/>
    <mergeCell ref="EMM28:EMP28"/>
    <mergeCell ref="EMQ28:EMT28"/>
    <mergeCell ref="EMU28:EMX28"/>
    <mergeCell ref="EMY28:ENB28"/>
    <mergeCell ref="ENC28:ENF28"/>
    <mergeCell ref="ENG28:ENJ28"/>
    <mergeCell ref="ENK28:ENN28"/>
    <mergeCell ref="ENO28:ENR28"/>
    <mergeCell ref="ENS28:ENV28"/>
    <mergeCell ref="ENW28:ENZ28"/>
    <mergeCell ref="EOA28:EOD28"/>
    <mergeCell ref="EOE28:EOH28"/>
    <mergeCell ref="EOI28:EOL28"/>
    <mergeCell ref="EOM28:EOP28"/>
    <mergeCell ref="EOQ28:EOT28"/>
    <mergeCell ref="EOU28:EOX28"/>
    <mergeCell ref="EOY28:EPB28"/>
    <mergeCell ref="EPC28:EPF28"/>
    <mergeCell ref="EPG28:EPJ28"/>
    <mergeCell ref="EPK28:EPN28"/>
    <mergeCell ref="EPO28:EPR28"/>
    <mergeCell ref="EPS28:EPV28"/>
    <mergeCell ref="EPW28:EPZ28"/>
    <mergeCell ref="EQA28:EQD28"/>
    <mergeCell ref="EQE28:EQH28"/>
    <mergeCell ref="EQI28:EQL28"/>
    <mergeCell ref="EQM28:EQP28"/>
    <mergeCell ref="EQQ28:EQT28"/>
    <mergeCell ref="EQU28:EQX28"/>
    <mergeCell ref="EQY28:ERB28"/>
    <mergeCell ref="ERC28:ERF28"/>
    <mergeCell ref="ERG28:ERJ28"/>
    <mergeCell ref="ERK28:ERN28"/>
    <mergeCell ref="ERO28:ERR28"/>
    <mergeCell ref="ERS28:ERV28"/>
    <mergeCell ref="ERW28:ERZ28"/>
    <mergeCell ref="ESA28:ESD28"/>
    <mergeCell ref="ESE28:ESH28"/>
    <mergeCell ref="ESI28:ESL28"/>
    <mergeCell ref="ESM28:ESP28"/>
    <mergeCell ref="ESQ28:EST28"/>
    <mergeCell ref="ESU28:ESX28"/>
    <mergeCell ref="ESY28:ETB28"/>
    <mergeCell ref="ETC28:ETF28"/>
    <mergeCell ref="ETG28:ETJ28"/>
    <mergeCell ref="ETK28:ETN28"/>
    <mergeCell ref="ETO28:ETR28"/>
    <mergeCell ref="ETS28:ETV28"/>
    <mergeCell ref="ETW28:ETZ28"/>
    <mergeCell ref="EUA28:EUD28"/>
    <mergeCell ref="EUE28:EUH28"/>
    <mergeCell ref="EUI28:EUL28"/>
    <mergeCell ref="EUM28:EUP28"/>
    <mergeCell ref="EUQ28:EUT28"/>
    <mergeCell ref="EUU28:EUX28"/>
    <mergeCell ref="EUY28:EVB28"/>
    <mergeCell ref="EVC28:EVF28"/>
    <mergeCell ref="EVG28:EVJ28"/>
    <mergeCell ref="EVK28:EVN28"/>
    <mergeCell ref="EVO28:EVR28"/>
    <mergeCell ref="EVS28:EVV28"/>
    <mergeCell ref="EVW28:EVZ28"/>
    <mergeCell ref="EWA28:EWD28"/>
    <mergeCell ref="EWE28:EWH28"/>
    <mergeCell ref="EWI28:EWL28"/>
    <mergeCell ref="EWM28:EWP28"/>
    <mergeCell ref="EWQ28:EWT28"/>
    <mergeCell ref="EWU28:EWX28"/>
    <mergeCell ref="EWY28:EXB28"/>
    <mergeCell ref="EXC28:EXF28"/>
    <mergeCell ref="EXG28:EXJ28"/>
    <mergeCell ref="EXK28:EXN28"/>
    <mergeCell ref="EXO28:EXR28"/>
    <mergeCell ref="EXS28:EXV28"/>
    <mergeCell ref="EXW28:EXZ28"/>
    <mergeCell ref="EYA28:EYD28"/>
    <mergeCell ref="EYE28:EYH28"/>
    <mergeCell ref="EYI28:EYL28"/>
    <mergeCell ref="EYM28:EYP28"/>
    <mergeCell ref="EYQ28:EYT28"/>
    <mergeCell ref="EYU28:EYX28"/>
    <mergeCell ref="EYY28:EZB28"/>
    <mergeCell ref="EZC28:EZF28"/>
    <mergeCell ref="EZG28:EZJ28"/>
    <mergeCell ref="EZK28:EZN28"/>
    <mergeCell ref="EZO28:EZR28"/>
    <mergeCell ref="EZS28:EZV28"/>
    <mergeCell ref="EZW28:EZZ28"/>
    <mergeCell ref="FAA28:FAD28"/>
    <mergeCell ref="FAE28:FAH28"/>
    <mergeCell ref="FAI28:FAL28"/>
    <mergeCell ref="FAM28:FAP28"/>
    <mergeCell ref="FAQ28:FAT28"/>
    <mergeCell ref="FAU28:FAX28"/>
    <mergeCell ref="FAY28:FBB28"/>
    <mergeCell ref="FBC28:FBF28"/>
    <mergeCell ref="FBG28:FBJ28"/>
    <mergeCell ref="FBK28:FBN28"/>
    <mergeCell ref="FBO28:FBR28"/>
    <mergeCell ref="FBS28:FBV28"/>
    <mergeCell ref="FBW28:FBZ28"/>
    <mergeCell ref="FCA28:FCD28"/>
    <mergeCell ref="FCE28:FCH28"/>
    <mergeCell ref="FCI28:FCL28"/>
    <mergeCell ref="FCM28:FCP28"/>
    <mergeCell ref="FCQ28:FCT28"/>
    <mergeCell ref="FCU28:FCX28"/>
    <mergeCell ref="FCY28:FDB28"/>
    <mergeCell ref="FDC28:FDF28"/>
    <mergeCell ref="FDG28:FDJ28"/>
    <mergeCell ref="FDK28:FDN28"/>
    <mergeCell ref="FDO28:FDR28"/>
    <mergeCell ref="FDS28:FDV28"/>
    <mergeCell ref="FDW28:FDZ28"/>
    <mergeCell ref="FEA28:FED28"/>
    <mergeCell ref="FEE28:FEH28"/>
    <mergeCell ref="FEI28:FEL28"/>
    <mergeCell ref="FEM28:FEP28"/>
    <mergeCell ref="FEQ28:FET28"/>
    <mergeCell ref="FEU28:FEX28"/>
    <mergeCell ref="FEY28:FFB28"/>
    <mergeCell ref="FFC28:FFF28"/>
    <mergeCell ref="FFG28:FFJ28"/>
    <mergeCell ref="FFK28:FFN28"/>
    <mergeCell ref="FFO28:FFR28"/>
    <mergeCell ref="FFS28:FFV28"/>
    <mergeCell ref="FFW28:FFZ28"/>
    <mergeCell ref="FGA28:FGD28"/>
    <mergeCell ref="FGE28:FGH28"/>
    <mergeCell ref="FGI28:FGL28"/>
    <mergeCell ref="FGM28:FGP28"/>
    <mergeCell ref="FGQ28:FGT28"/>
    <mergeCell ref="FGU28:FGX28"/>
    <mergeCell ref="FGY28:FHB28"/>
    <mergeCell ref="FHC28:FHF28"/>
    <mergeCell ref="FHG28:FHJ28"/>
    <mergeCell ref="FHK28:FHN28"/>
    <mergeCell ref="FHO28:FHR28"/>
    <mergeCell ref="FHS28:FHV28"/>
    <mergeCell ref="FHW28:FHZ28"/>
    <mergeCell ref="FIA28:FID28"/>
    <mergeCell ref="FIE28:FIH28"/>
    <mergeCell ref="FII28:FIL28"/>
    <mergeCell ref="FIM28:FIP28"/>
    <mergeCell ref="FIQ28:FIT28"/>
    <mergeCell ref="FIU28:FIX28"/>
    <mergeCell ref="FIY28:FJB28"/>
    <mergeCell ref="FJC28:FJF28"/>
    <mergeCell ref="FJG28:FJJ28"/>
    <mergeCell ref="FJK28:FJN28"/>
    <mergeCell ref="FJO28:FJR28"/>
    <mergeCell ref="FJS28:FJV28"/>
    <mergeCell ref="FJW28:FJZ28"/>
    <mergeCell ref="FKA28:FKD28"/>
    <mergeCell ref="FKE28:FKH28"/>
    <mergeCell ref="FKI28:FKL28"/>
    <mergeCell ref="FKM28:FKP28"/>
    <mergeCell ref="FKQ28:FKT28"/>
    <mergeCell ref="FKU28:FKX28"/>
    <mergeCell ref="FKY28:FLB28"/>
    <mergeCell ref="FLC28:FLF28"/>
    <mergeCell ref="FLG28:FLJ28"/>
    <mergeCell ref="FLK28:FLN28"/>
    <mergeCell ref="FLO28:FLR28"/>
    <mergeCell ref="FLS28:FLV28"/>
    <mergeCell ref="FLW28:FLZ28"/>
    <mergeCell ref="FMA28:FMD28"/>
    <mergeCell ref="FME28:FMH28"/>
    <mergeCell ref="FMI28:FML28"/>
    <mergeCell ref="FMM28:FMP28"/>
    <mergeCell ref="FMQ28:FMT28"/>
    <mergeCell ref="FMU28:FMX28"/>
    <mergeCell ref="FMY28:FNB28"/>
    <mergeCell ref="FNC28:FNF28"/>
    <mergeCell ref="FNG28:FNJ28"/>
    <mergeCell ref="FNK28:FNN28"/>
    <mergeCell ref="FNO28:FNR28"/>
    <mergeCell ref="FNS28:FNV28"/>
    <mergeCell ref="FNW28:FNZ28"/>
    <mergeCell ref="FOA28:FOD28"/>
    <mergeCell ref="FOE28:FOH28"/>
    <mergeCell ref="FOI28:FOL28"/>
    <mergeCell ref="FOM28:FOP28"/>
    <mergeCell ref="FOQ28:FOT28"/>
    <mergeCell ref="FOU28:FOX28"/>
    <mergeCell ref="FOY28:FPB28"/>
    <mergeCell ref="FPC28:FPF28"/>
    <mergeCell ref="FPG28:FPJ28"/>
    <mergeCell ref="FPK28:FPN28"/>
    <mergeCell ref="FPO28:FPR28"/>
    <mergeCell ref="FPS28:FPV28"/>
    <mergeCell ref="FPW28:FPZ28"/>
    <mergeCell ref="FQA28:FQD28"/>
    <mergeCell ref="FQE28:FQH28"/>
    <mergeCell ref="FQI28:FQL28"/>
    <mergeCell ref="FQM28:FQP28"/>
    <mergeCell ref="FQQ28:FQT28"/>
    <mergeCell ref="FQU28:FQX28"/>
    <mergeCell ref="FQY28:FRB28"/>
    <mergeCell ref="FRC28:FRF28"/>
    <mergeCell ref="FRG28:FRJ28"/>
    <mergeCell ref="FRK28:FRN28"/>
    <mergeCell ref="FRO28:FRR28"/>
    <mergeCell ref="FRS28:FRV28"/>
    <mergeCell ref="FRW28:FRZ28"/>
    <mergeCell ref="FSA28:FSD28"/>
    <mergeCell ref="FSE28:FSH28"/>
    <mergeCell ref="FSI28:FSL28"/>
    <mergeCell ref="FSM28:FSP28"/>
    <mergeCell ref="FSQ28:FST28"/>
    <mergeCell ref="FSU28:FSX28"/>
    <mergeCell ref="FSY28:FTB28"/>
    <mergeCell ref="FTC28:FTF28"/>
    <mergeCell ref="FTG28:FTJ28"/>
    <mergeCell ref="FTK28:FTN28"/>
    <mergeCell ref="FTO28:FTR28"/>
    <mergeCell ref="FTS28:FTV28"/>
    <mergeCell ref="FTW28:FTZ28"/>
    <mergeCell ref="FUA28:FUD28"/>
    <mergeCell ref="FUE28:FUH28"/>
    <mergeCell ref="FUI28:FUL28"/>
    <mergeCell ref="FUM28:FUP28"/>
    <mergeCell ref="FUQ28:FUT28"/>
    <mergeCell ref="FUU28:FUX28"/>
    <mergeCell ref="FUY28:FVB28"/>
    <mergeCell ref="FVC28:FVF28"/>
    <mergeCell ref="FVG28:FVJ28"/>
    <mergeCell ref="FVK28:FVN28"/>
    <mergeCell ref="FVO28:FVR28"/>
    <mergeCell ref="FVS28:FVV28"/>
    <mergeCell ref="FVW28:FVZ28"/>
    <mergeCell ref="FWA28:FWD28"/>
    <mergeCell ref="FWE28:FWH28"/>
    <mergeCell ref="FWI28:FWL28"/>
    <mergeCell ref="FWM28:FWP28"/>
    <mergeCell ref="FWQ28:FWT28"/>
    <mergeCell ref="FWU28:FWX28"/>
    <mergeCell ref="FWY28:FXB28"/>
    <mergeCell ref="FXC28:FXF28"/>
    <mergeCell ref="FXG28:FXJ28"/>
    <mergeCell ref="FXK28:FXN28"/>
    <mergeCell ref="FXO28:FXR28"/>
    <mergeCell ref="FXS28:FXV28"/>
    <mergeCell ref="FXW28:FXZ28"/>
    <mergeCell ref="FYA28:FYD28"/>
    <mergeCell ref="FYE28:FYH28"/>
    <mergeCell ref="FYI28:FYL28"/>
    <mergeCell ref="FYM28:FYP28"/>
    <mergeCell ref="FYQ28:FYT28"/>
    <mergeCell ref="FYU28:FYX28"/>
    <mergeCell ref="FYY28:FZB28"/>
    <mergeCell ref="FZC28:FZF28"/>
    <mergeCell ref="FZG28:FZJ28"/>
    <mergeCell ref="FZK28:FZN28"/>
    <mergeCell ref="FZO28:FZR28"/>
    <mergeCell ref="FZS28:FZV28"/>
    <mergeCell ref="FZW28:FZZ28"/>
    <mergeCell ref="GAA28:GAD28"/>
    <mergeCell ref="GAE28:GAH28"/>
    <mergeCell ref="GAI28:GAL28"/>
    <mergeCell ref="GAM28:GAP28"/>
    <mergeCell ref="GAQ28:GAT28"/>
    <mergeCell ref="GAU28:GAX28"/>
    <mergeCell ref="GAY28:GBB28"/>
    <mergeCell ref="GBC28:GBF28"/>
    <mergeCell ref="GBG28:GBJ28"/>
    <mergeCell ref="GBK28:GBN28"/>
    <mergeCell ref="GBO28:GBR28"/>
    <mergeCell ref="GBS28:GBV28"/>
    <mergeCell ref="GBW28:GBZ28"/>
    <mergeCell ref="GCA28:GCD28"/>
    <mergeCell ref="GCE28:GCH28"/>
    <mergeCell ref="GCI28:GCL28"/>
    <mergeCell ref="GCM28:GCP28"/>
    <mergeCell ref="GCQ28:GCT28"/>
    <mergeCell ref="GCU28:GCX28"/>
    <mergeCell ref="GCY28:GDB28"/>
    <mergeCell ref="GDC28:GDF28"/>
    <mergeCell ref="GDG28:GDJ28"/>
    <mergeCell ref="GDK28:GDN28"/>
    <mergeCell ref="GDO28:GDR28"/>
    <mergeCell ref="GDS28:GDV28"/>
    <mergeCell ref="GDW28:GDZ28"/>
    <mergeCell ref="GEA28:GED28"/>
    <mergeCell ref="GEE28:GEH28"/>
    <mergeCell ref="GEI28:GEL28"/>
    <mergeCell ref="GEM28:GEP28"/>
    <mergeCell ref="GEQ28:GET28"/>
    <mergeCell ref="GEU28:GEX28"/>
    <mergeCell ref="GEY28:GFB28"/>
    <mergeCell ref="GFC28:GFF28"/>
    <mergeCell ref="GFG28:GFJ28"/>
    <mergeCell ref="GFK28:GFN28"/>
    <mergeCell ref="GFO28:GFR28"/>
    <mergeCell ref="GFS28:GFV28"/>
    <mergeCell ref="GFW28:GFZ28"/>
    <mergeCell ref="GGA28:GGD28"/>
    <mergeCell ref="GGE28:GGH28"/>
    <mergeCell ref="GGI28:GGL28"/>
    <mergeCell ref="GGM28:GGP28"/>
    <mergeCell ref="GGQ28:GGT28"/>
    <mergeCell ref="GGU28:GGX28"/>
    <mergeCell ref="GGY28:GHB28"/>
    <mergeCell ref="GHC28:GHF28"/>
    <mergeCell ref="GHG28:GHJ28"/>
    <mergeCell ref="GHK28:GHN28"/>
    <mergeCell ref="GHO28:GHR28"/>
    <mergeCell ref="GHS28:GHV28"/>
    <mergeCell ref="GHW28:GHZ28"/>
    <mergeCell ref="GIA28:GID28"/>
    <mergeCell ref="GIE28:GIH28"/>
    <mergeCell ref="GII28:GIL28"/>
    <mergeCell ref="GIM28:GIP28"/>
    <mergeCell ref="GIQ28:GIT28"/>
    <mergeCell ref="GIU28:GIX28"/>
    <mergeCell ref="GIY28:GJB28"/>
    <mergeCell ref="GJC28:GJF28"/>
    <mergeCell ref="GJG28:GJJ28"/>
    <mergeCell ref="GJK28:GJN28"/>
    <mergeCell ref="GJO28:GJR28"/>
    <mergeCell ref="GJS28:GJV28"/>
    <mergeCell ref="GJW28:GJZ28"/>
    <mergeCell ref="GKA28:GKD28"/>
    <mergeCell ref="GKE28:GKH28"/>
    <mergeCell ref="GKI28:GKL28"/>
    <mergeCell ref="GKM28:GKP28"/>
    <mergeCell ref="GKQ28:GKT28"/>
    <mergeCell ref="GKU28:GKX28"/>
    <mergeCell ref="GKY28:GLB28"/>
    <mergeCell ref="GLC28:GLF28"/>
    <mergeCell ref="GLG28:GLJ28"/>
    <mergeCell ref="GLK28:GLN28"/>
    <mergeCell ref="GLO28:GLR28"/>
    <mergeCell ref="GLS28:GLV28"/>
    <mergeCell ref="GLW28:GLZ28"/>
    <mergeCell ref="GMA28:GMD28"/>
    <mergeCell ref="GME28:GMH28"/>
    <mergeCell ref="GMI28:GML28"/>
    <mergeCell ref="GMM28:GMP28"/>
    <mergeCell ref="GMQ28:GMT28"/>
    <mergeCell ref="GMU28:GMX28"/>
    <mergeCell ref="GMY28:GNB28"/>
    <mergeCell ref="GNC28:GNF28"/>
    <mergeCell ref="GNG28:GNJ28"/>
    <mergeCell ref="GNK28:GNN28"/>
    <mergeCell ref="GNO28:GNR28"/>
    <mergeCell ref="GNS28:GNV28"/>
    <mergeCell ref="GNW28:GNZ28"/>
    <mergeCell ref="GOA28:GOD28"/>
    <mergeCell ref="GOE28:GOH28"/>
    <mergeCell ref="GOI28:GOL28"/>
    <mergeCell ref="GOM28:GOP28"/>
    <mergeCell ref="GOQ28:GOT28"/>
    <mergeCell ref="GOU28:GOX28"/>
    <mergeCell ref="GOY28:GPB28"/>
    <mergeCell ref="GPC28:GPF28"/>
    <mergeCell ref="GPG28:GPJ28"/>
    <mergeCell ref="GPK28:GPN28"/>
    <mergeCell ref="GPO28:GPR28"/>
    <mergeCell ref="GPS28:GPV28"/>
    <mergeCell ref="GPW28:GPZ28"/>
    <mergeCell ref="GQA28:GQD28"/>
    <mergeCell ref="GQE28:GQH28"/>
    <mergeCell ref="GQI28:GQL28"/>
    <mergeCell ref="GQM28:GQP28"/>
    <mergeCell ref="GQQ28:GQT28"/>
    <mergeCell ref="GQU28:GQX28"/>
    <mergeCell ref="GQY28:GRB28"/>
    <mergeCell ref="GRC28:GRF28"/>
    <mergeCell ref="GRG28:GRJ28"/>
    <mergeCell ref="GRK28:GRN28"/>
    <mergeCell ref="GRO28:GRR28"/>
    <mergeCell ref="GRS28:GRV28"/>
    <mergeCell ref="GRW28:GRZ28"/>
    <mergeCell ref="GSA28:GSD28"/>
    <mergeCell ref="GSE28:GSH28"/>
    <mergeCell ref="GSI28:GSL28"/>
    <mergeCell ref="GSM28:GSP28"/>
    <mergeCell ref="GSQ28:GST28"/>
    <mergeCell ref="GSU28:GSX28"/>
    <mergeCell ref="GSY28:GTB28"/>
    <mergeCell ref="GTC28:GTF28"/>
    <mergeCell ref="GTG28:GTJ28"/>
    <mergeCell ref="GTK28:GTN28"/>
    <mergeCell ref="GTO28:GTR28"/>
    <mergeCell ref="GTS28:GTV28"/>
    <mergeCell ref="GTW28:GTZ28"/>
    <mergeCell ref="GUA28:GUD28"/>
    <mergeCell ref="GUE28:GUH28"/>
    <mergeCell ref="GUI28:GUL28"/>
    <mergeCell ref="GUM28:GUP28"/>
    <mergeCell ref="GUQ28:GUT28"/>
    <mergeCell ref="GUU28:GUX28"/>
    <mergeCell ref="GUY28:GVB28"/>
    <mergeCell ref="GVC28:GVF28"/>
    <mergeCell ref="GVG28:GVJ28"/>
    <mergeCell ref="GVK28:GVN28"/>
    <mergeCell ref="GVO28:GVR28"/>
    <mergeCell ref="GVS28:GVV28"/>
    <mergeCell ref="GVW28:GVZ28"/>
    <mergeCell ref="GWA28:GWD28"/>
    <mergeCell ref="GWE28:GWH28"/>
    <mergeCell ref="GWI28:GWL28"/>
    <mergeCell ref="GWM28:GWP28"/>
    <mergeCell ref="GWQ28:GWT28"/>
    <mergeCell ref="GWU28:GWX28"/>
    <mergeCell ref="GWY28:GXB28"/>
    <mergeCell ref="GXC28:GXF28"/>
    <mergeCell ref="GXG28:GXJ28"/>
    <mergeCell ref="GXK28:GXN28"/>
    <mergeCell ref="GXO28:GXR28"/>
    <mergeCell ref="GXS28:GXV28"/>
    <mergeCell ref="GXW28:GXZ28"/>
    <mergeCell ref="GYA28:GYD28"/>
    <mergeCell ref="GYE28:GYH28"/>
    <mergeCell ref="GYI28:GYL28"/>
    <mergeCell ref="GYM28:GYP28"/>
    <mergeCell ref="GYQ28:GYT28"/>
    <mergeCell ref="GYU28:GYX28"/>
    <mergeCell ref="GYY28:GZB28"/>
    <mergeCell ref="GZC28:GZF28"/>
    <mergeCell ref="GZG28:GZJ28"/>
    <mergeCell ref="GZK28:GZN28"/>
    <mergeCell ref="GZO28:GZR28"/>
    <mergeCell ref="GZS28:GZV28"/>
    <mergeCell ref="GZW28:GZZ28"/>
    <mergeCell ref="HAA28:HAD28"/>
    <mergeCell ref="HAE28:HAH28"/>
    <mergeCell ref="HAI28:HAL28"/>
    <mergeCell ref="HAM28:HAP28"/>
    <mergeCell ref="HAQ28:HAT28"/>
    <mergeCell ref="HAU28:HAX28"/>
    <mergeCell ref="HAY28:HBB28"/>
    <mergeCell ref="HBC28:HBF28"/>
    <mergeCell ref="HBG28:HBJ28"/>
    <mergeCell ref="HBK28:HBN28"/>
    <mergeCell ref="HBO28:HBR28"/>
    <mergeCell ref="HBS28:HBV28"/>
    <mergeCell ref="HBW28:HBZ28"/>
    <mergeCell ref="HCA28:HCD28"/>
    <mergeCell ref="HCE28:HCH28"/>
    <mergeCell ref="HCI28:HCL28"/>
    <mergeCell ref="HCM28:HCP28"/>
    <mergeCell ref="HCQ28:HCT28"/>
    <mergeCell ref="HCU28:HCX28"/>
    <mergeCell ref="HCY28:HDB28"/>
    <mergeCell ref="HDC28:HDF28"/>
    <mergeCell ref="HDG28:HDJ28"/>
    <mergeCell ref="HDK28:HDN28"/>
    <mergeCell ref="HDO28:HDR28"/>
    <mergeCell ref="HDS28:HDV28"/>
    <mergeCell ref="HDW28:HDZ28"/>
    <mergeCell ref="HEA28:HED28"/>
    <mergeCell ref="HEE28:HEH28"/>
    <mergeCell ref="HEI28:HEL28"/>
    <mergeCell ref="HEM28:HEP28"/>
    <mergeCell ref="HEQ28:HET28"/>
    <mergeCell ref="HEU28:HEX28"/>
    <mergeCell ref="HEY28:HFB28"/>
    <mergeCell ref="HFC28:HFF28"/>
    <mergeCell ref="HFG28:HFJ28"/>
    <mergeCell ref="HFK28:HFN28"/>
    <mergeCell ref="HFO28:HFR28"/>
    <mergeCell ref="HFS28:HFV28"/>
    <mergeCell ref="HFW28:HFZ28"/>
    <mergeCell ref="HGA28:HGD28"/>
    <mergeCell ref="HGE28:HGH28"/>
    <mergeCell ref="HGI28:HGL28"/>
    <mergeCell ref="HGM28:HGP28"/>
    <mergeCell ref="HGQ28:HGT28"/>
    <mergeCell ref="HGU28:HGX28"/>
    <mergeCell ref="HGY28:HHB28"/>
    <mergeCell ref="HHC28:HHF28"/>
    <mergeCell ref="HHG28:HHJ28"/>
    <mergeCell ref="HHK28:HHN28"/>
    <mergeCell ref="HHO28:HHR28"/>
    <mergeCell ref="HHS28:HHV28"/>
    <mergeCell ref="HHW28:HHZ28"/>
    <mergeCell ref="HIA28:HID28"/>
    <mergeCell ref="HIE28:HIH28"/>
    <mergeCell ref="HII28:HIL28"/>
    <mergeCell ref="HIM28:HIP28"/>
    <mergeCell ref="HIQ28:HIT28"/>
    <mergeCell ref="HIU28:HIX28"/>
    <mergeCell ref="HIY28:HJB28"/>
    <mergeCell ref="HJC28:HJF28"/>
    <mergeCell ref="HJG28:HJJ28"/>
    <mergeCell ref="HJK28:HJN28"/>
    <mergeCell ref="HJO28:HJR28"/>
    <mergeCell ref="HJS28:HJV28"/>
    <mergeCell ref="HJW28:HJZ28"/>
    <mergeCell ref="HKA28:HKD28"/>
    <mergeCell ref="HKE28:HKH28"/>
    <mergeCell ref="HKI28:HKL28"/>
    <mergeCell ref="HKM28:HKP28"/>
    <mergeCell ref="HKQ28:HKT28"/>
    <mergeCell ref="HKU28:HKX28"/>
    <mergeCell ref="HKY28:HLB28"/>
    <mergeCell ref="HLC28:HLF28"/>
    <mergeCell ref="HLG28:HLJ28"/>
    <mergeCell ref="HLK28:HLN28"/>
    <mergeCell ref="HLO28:HLR28"/>
    <mergeCell ref="HLS28:HLV28"/>
    <mergeCell ref="HLW28:HLZ28"/>
    <mergeCell ref="HMA28:HMD28"/>
    <mergeCell ref="HME28:HMH28"/>
    <mergeCell ref="HMI28:HML28"/>
    <mergeCell ref="HMM28:HMP28"/>
    <mergeCell ref="HMQ28:HMT28"/>
    <mergeCell ref="HMU28:HMX28"/>
    <mergeCell ref="HMY28:HNB28"/>
    <mergeCell ref="HNC28:HNF28"/>
    <mergeCell ref="HNG28:HNJ28"/>
    <mergeCell ref="HNK28:HNN28"/>
    <mergeCell ref="HNO28:HNR28"/>
    <mergeCell ref="HNS28:HNV28"/>
    <mergeCell ref="HNW28:HNZ28"/>
    <mergeCell ref="HOA28:HOD28"/>
    <mergeCell ref="HOE28:HOH28"/>
    <mergeCell ref="HOI28:HOL28"/>
    <mergeCell ref="HOM28:HOP28"/>
    <mergeCell ref="HOQ28:HOT28"/>
    <mergeCell ref="HOU28:HOX28"/>
    <mergeCell ref="HOY28:HPB28"/>
    <mergeCell ref="HPC28:HPF28"/>
    <mergeCell ref="HPG28:HPJ28"/>
    <mergeCell ref="HPK28:HPN28"/>
    <mergeCell ref="HPO28:HPR28"/>
    <mergeCell ref="HPS28:HPV28"/>
    <mergeCell ref="HPW28:HPZ28"/>
    <mergeCell ref="HQA28:HQD28"/>
    <mergeCell ref="HQE28:HQH28"/>
    <mergeCell ref="HQI28:HQL28"/>
    <mergeCell ref="HQM28:HQP28"/>
    <mergeCell ref="HQQ28:HQT28"/>
    <mergeCell ref="HQU28:HQX28"/>
    <mergeCell ref="HQY28:HRB28"/>
    <mergeCell ref="HRC28:HRF28"/>
    <mergeCell ref="HRG28:HRJ28"/>
    <mergeCell ref="HRK28:HRN28"/>
    <mergeCell ref="HRO28:HRR28"/>
    <mergeCell ref="HRS28:HRV28"/>
    <mergeCell ref="HRW28:HRZ28"/>
    <mergeCell ref="HSA28:HSD28"/>
    <mergeCell ref="HSE28:HSH28"/>
    <mergeCell ref="HSI28:HSL28"/>
    <mergeCell ref="HSM28:HSP28"/>
    <mergeCell ref="HSQ28:HST28"/>
    <mergeCell ref="HSU28:HSX28"/>
    <mergeCell ref="HSY28:HTB28"/>
    <mergeCell ref="HTC28:HTF28"/>
    <mergeCell ref="HTG28:HTJ28"/>
    <mergeCell ref="HTK28:HTN28"/>
    <mergeCell ref="HTO28:HTR28"/>
    <mergeCell ref="HTS28:HTV28"/>
    <mergeCell ref="HTW28:HTZ28"/>
    <mergeCell ref="HUA28:HUD28"/>
    <mergeCell ref="HUE28:HUH28"/>
    <mergeCell ref="HUI28:HUL28"/>
    <mergeCell ref="HUM28:HUP28"/>
    <mergeCell ref="HUQ28:HUT28"/>
    <mergeCell ref="HUU28:HUX28"/>
    <mergeCell ref="HUY28:HVB28"/>
    <mergeCell ref="HVC28:HVF28"/>
    <mergeCell ref="HVG28:HVJ28"/>
    <mergeCell ref="HVK28:HVN28"/>
    <mergeCell ref="HVO28:HVR28"/>
    <mergeCell ref="HVS28:HVV28"/>
    <mergeCell ref="HVW28:HVZ28"/>
    <mergeCell ref="HWA28:HWD28"/>
    <mergeCell ref="HWE28:HWH28"/>
    <mergeCell ref="HWI28:HWL28"/>
    <mergeCell ref="HWM28:HWP28"/>
    <mergeCell ref="HWQ28:HWT28"/>
    <mergeCell ref="HWU28:HWX28"/>
    <mergeCell ref="HWY28:HXB28"/>
    <mergeCell ref="HXC28:HXF28"/>
    <mergeCell ref="HXG28:HXJ28"/>
    <mergeCell ref="HXK28:HXN28"/>
    <mergeCell ref="HXO28:HXR28"/>
    <mergeCell ref="HXS28:HXV28"/>
    <mergeCell ref="HXW28:HXZ28"/>
    <mergeCell ref="HYA28:HYD28"/>
    <mergeCell ref="HYE28:HYH28"/>
    <mergeCell ref="HYI28:HYL28"/>
    <mergeCell ref="HYM28:HYP28"/>
    <mergeCell ref="HYQ28:HYT28"/>
    <mergeCell ref="HYU28:HYX28"/>
    <mergeCell ref="HYY28:HZB28"/>
    <mergeCell ref="HZC28:HZF28"/>
    <mergeCell ref="HZG28:HZJ28"/>
    <mergeCell ref="HZK28:HZN28"/>
    <mergeCell ref="HZO28:HZR28"/>
    <mergeCell ref="HZS28:HZV28"/>
    <mergeCell ref="HZW28:HZZ28"/>
    <mergeCell ref="IAA28:IAD28"/>
    <mergeCell ref="IAE28:IAH28"/>
    <mergeCell ref="IAI28:IAL28"/>
    <mergeCell ref="IAM28:IAP28"/>
    <mergeCell ref="IAQ28:IAT28"/>
    <mergeCell ref="IAU28:IAX28"/>
    <mergeCell ref="IAY28:IBB28"/>
    <mergeCell ref="IBC28:IBF28"/>
    <mergeCell ref="IBG28:IBJ28"/>
    <mergeCell ref="IBK28:IBN28"/>
    <mergeCell ref="IBO28:IBR28"/>
    <mergeCell ref="IBS28:IBV28"/>
    <mergeCell ref="IBW28:IBZ28"/>
    <mergeCell ref="ICA28:ICD28"/>
    <mergeCell ref="ICE28:ICH28"/>
    <mergeCell ref="ICI28:ICL28"/>
    <mergeCell ref="ICM28:ICP28"/>
    <mergeCell ref="ICQ28:ICT28"/>
    <mergeCell ref="ICU28:ICX28"/>
    <mergeCell ref="ICY28:IDB28"/>
    <mergeCell ref="IDC28:IDF28"/>
    <mergeCell ref="IDG28:IDJ28"/>
    <mergeCell ref="IDK28:IDN28"/>
    <mergeCell ref="IDO28:IDR28"/>
    <mergeCell ref="IDS28:IDV28"/>
    <mergeCell ref="IDW28:IDZ28"/>
    <mergeCell ref="IEA28:IED28"/>
    <mergeCell ref="IEE28:IEH28"/>
    <mergeCell ref="IEI28:IEL28"/>
    <mergeCell ref="IEM28:IEP28"/>
    <mergeCell ref="IEQ28:IET28"/>
    <mergeCell ref="IEU28:IEX28"/>
    <mergeCell ref="IEY28:IFB28"/>
    <mergeCell ref="IFC28:IFF28"/>
    <mergeCell ref="IFG28:IFJ28"/>
    <mergeCell ref="IFK28:IFN28"/>
    <mergeCell ref="IFO28:IFR28"/>
    <mergeCell ref="IFS28:IFV28"/>
    <mergeCell ref="IFW28:IFZ28"/>
    <mergeCell ref="IGA28:IGD28"/>
    <mergeCell ref="IGE28:IGH28"/>
    <mergeCell ref="IGI28:IGL28"/>
    <mergeCell ref="IGM28:IGP28"/>
    <mergeCell ref="IGQ28:IGT28"/>
    <mergeCell ref="IGU28:IGX28"/>
    <mergeCell ref="IGY28:IHB28"/>
    <mergeCell ref="IHC28:IHF28"/>
    <mergeCell ref="IHG28:IHJ28"/>
    <mergeCell ref="IHK28:IHN28"/>
    <mergeCell ref="IHO28:IHR28"/>
    <mergeCell ref="IHS28:IHV28"/>
    <mergeCell ref="IHW28:IHZ28"/>
    <mergeCell ref="IIA28:IID28"/>
    <mergeCell ref="IIE28:IIH28"/>
    <mergeCell ref="III28:IIL28"/>
    <mergeCell ref="IIM28:IIP28"/>
    <mergeCell ref="IIQ28:IIT28"/>
    <mergeCell ref="IIU28:IIX28"/>
    <mergeCell ref="IIY28:IJB28"/>
    <mergeCell ref="IJC28:IJF28"/>
    <mergeCell ref="IJG28:IJJ28"/>
    <mergeCell ref="IJK28:IJN28"/>
    <mergeCell ref="IJO28:IJR28"/>
    <mergeCell ref="IJS28:IJV28"/>
    <mergeCell ref="IJW28:IJZ28"/>
    <mergeCell ref="IKA28:IKD28"/>
    <mergeCell ref="IKE28:IKH28"/>
    <mergeCell ref="IKI28:IKL28"/>
    <mergeCell ref="IKM28:IKP28"/>
    <mergeCell ref="IKQ28:IKT28"/>
    <mergeCell ref="IKU28:IKX28"/>
    <mergeCell ref="IKY28:ILB28"/>
    <mergeCell ref="ILC28:ILF28"/>
    <mergeCell ref="ILG28:ILJ28"/>
    <mergeCell ref="ILK28:ILN28"/>
    <mergeCell ref="ILO28:ILR28"/>
    <mergeCell ref="ILS28:ILV28"/>
    <mergeCell ref="ILW28:ILZ28"/>
    <mergeCell ref="IMA28:IMD28"/>
    <mergeCell ref="IME28:IMH28"/>
    <mergeCell ref="IMI28:IML28"/>
    <mergeCell ref="IMM28:IMP28"/>
    <mergeCell ref="IMQ28:IMT28"/>
    <mergeCell ref="IMU28:IMX28"/>
    <mergeCell ref="IMY28:INB28"/>
    <mergeCell ref="INC28:INF28"/>
    <mergeCell ref="ING28:INJ28"/>
    <mergeCell ref="INK28:INN28"/>
    <mergeCell ref="INO28:INR28"/>
    <mergeCell ref="INS28:INV28"/>
    <mergeCell ref="INW28:INZ28"/>
    <mergeCell ref="IOA28:IOD28"/>
    <mergeCell ref="IOE28:IOH28"/>
    <mergeCell ref="IOI28:IOL28"/>
    <mergeCell ref="IOM28:IOP28"/>
    <mergeCell ref="IOQ28:IOT28"/>
    <mergeCell ref="IOU28:IOX28"/>
    <mergeCell ref="IOY28:IPB28"/>
    <mergeCell ref="IPC28:IPF28"/>
    <mergeCell ref="IPG28:IPJ28"/>
    <mergeCell ref="IPK28:IPN28"/>
    <mergeCell ref="IPO28:IPR28"/>
    <mergeCell ref="IPS28:IPV28"/>
    <mergeCell ref="IPW28:IPZ28"/>
    <mergeCell ref="IQA28:IQD28"/>
    <mergeCell ref="IQE28:IQH28"/>
    <mergeCell ref="IQI28:IQL28"/>
    <mergeCell ref="IQM28:IQP28"/>
    <mergeCell ref="IQQ28:IQT28"/>
    <mergeCell ref="IQU28:IQX28"/>
    <mergeCell ref="IQY28:IRB28"/>
    <mergeCell ref="IRC28:IRF28"/>
    <mergeCell ref="IRG28:IRJ28"/>
    <mergeCell ref="IRK28:IRN28"/>
    <mergeCell ref="IRO28:IRR28"/>
    <mergeCell ref="IRS28:IRV28"/>
    <mergeCell ref="IRW28:IRZ28"/>
    <mergeCell ref="ISA28:ISD28"/>
    <mergeCell ref="ISE28:ISH28"/>
    <mergeCell ref="ISI28:ISL28"/>
    <mergeCell ref="ISM28:ISP28"/>
    <mergeCell ref="ISQ28:IST28"/>
    <mergeCell ref="ISU28:ISX28"/>
    <mergeCell ref="ISY28:ITB28"/>
    <mergeCell ref="ITC28:ITF28"/>
    <mergeCell ref="ITG28:ITJ28"/>
    <mergeCell ref="ITK28:ITN28"/>
    <mergeCell ref="ITO28:ITR28"/>
    <mergeCell ref="ITS28:ITV28"/>
    <mergeCell ref="ITW28:ITZ28"/>
    <mergeCell ref="IUA28:IUD28"/>
    <mergeCell ref="IUE28:IUH28"/>
    <mergeCell ref="IUI28:IUL28"/>
    <mergeCell ref="IUM28:IUP28"/>
    <mergeCell ref="IUQ28:IUT28"/>
    <mergeCell ref="IUU28:IUX28"/>
    <mergeCell ref="IUY28:IVB28"/>
    <mergeCell ref="IVC28:IVF28"/>
    <mergeCell ref="IVG28:IVJ28"/>
    <mergeCell ref="IVK28:IVN28"/>
    <mergeCell ref="IVO28:IVR28"/>
    <mergeCell ref="IVS28:IVV28"/>
    <mergeCell ref="IVW28:IVZ28"/>
    <mergeCell ref="IWA28:IWD28"/>
    <mergeCell ref="IWE28:IWH28"/>
    <mergeCell ref="IWI28:IWL28"/>
    <mergeCell ref="IWM28:IWP28"/>
    <mergeCell ref="IWQ28:IWT28"/>
    <mergeCell ref="IWU28:IWX28"/>
    <mergeCell ref="IWY28:IXB28"/>
    <mergeCell ref="IXC28:IXF28"/>
    <mergeCell ref="IXG28:IXJ28"/>
    <mergeCell ref="IXK28:IXN28"/>
    <mergeCell ref="IXO28:IXR28"/>
    <mergeCell ref="IXS28:IXV28"/>
    <mergeCell ref="IXW28:IXZ28"/>
    <mergeCell ref="IYA28:IYD28"/>
    <mergeCell ref="IYE28:IYH28"/>
    <mergeCell ref="IYI28:IYL28"/>
    <mergeCell ref="IYM28:IYP28"/>
    <mergeCell ref="IYQ28:IYT28"/>
    <mergeCell ref="IYU28:IYX28"/>
    <mergeCell ref="IYY28:IZB28"/>
    <mergeCell ref="IZC28:IZF28"/>
    <mergeCell ref="IZG28:IZJ28"/>
    <mergeCell ref="IZK28:IZN28"/>
    <mergeCell ref="IZO28:IZR28"/>
    <mergeCell ref="IZS28:IZV28"/>
    <mergeCell ref="IZW28:IZZ28"/>
    <mergeCell ref="JAA28:JAD28"/>
    <mergeCell ref="JAE28:JAH28"/>
    <mergeCell ref="JAI28:JAL28"/>
    <mergeCell ref="JAM28:JAP28"/>
    <mergeCell ref="JAQ28:JAT28"/>
    <mergeCell ref="JAU28:JAX28"/>
    <mergeCell ref="JAY28:JBB28"/>
    <mergeCell ref="JBC28:JBF28"/>
    <mergeCell ref="JBG28:JBJ28"/>
    <mergeCell ref="JBK28:JBN28"/>
    <mergeCell ref="JBO28:JBR28"/>
    <mergeCell ref="JBS28:JBV28"/>
    <mergeCell ref="JBW28:JBZ28"/>
    <mergeCell ref="JCA28:JCD28"/>
    <mergeCell ref="JCE28:JCH28"/>
    <mergeCell ref="JCI28:JCL28"/>
    <mergeCell ref="JCM28:JCP28"/>
    <mergeCell ref="JCQ28:JCT28"/>
    <mergeCell ref="JCU28:JCX28"/>
    <mergeCell ref="JCY28:JDB28"/>
    <mergeCell ref="JDC28:JDF28"/>
    <mergeCell ref="JDG28:JDJ28"/>
    <mergeCell ref="JDK28:JDN28"/>
    <mergeCell ref="JDO28:JDR28"/>
    <mergeCell ref="JDS28:JDV28"/>
    <mergeCell ref="JDW28:JDZ28"/>
    <mergeCell ref="JEA28:JED28"/>
    <mergeCell ref="JEE28:JEH28"/>
    <mergeCell ref="JEI28:JEL28"/>
    <mergeCell ref="JEM28:JEP28"/>
    <mergeCell ref="JEQ28:JET28"/>
    <mergeCell ref="JEU28:JEX28"/>
    <mergeCell ref="JEY28:JFB28"/>
    <mergeCell ref="JFC28:JFF28"/>
    <mergeCell ref="JFG28:JFJ28"/>
    <mergeCell ref="JFK28:JFN28"/>
    <mergeCell ref="JFO28:JFR28"/>
    <mergeCell ref="JFS28:JFV28"/>
    <mergeCell ref="JFW28:JFZ28"/>
    <mergeCell ref="JGA28:JGD28"/>
    <mergeCell ref="JGE28:JGH28"/>
    <mergeCell ref="JGI28:JGL28"/>
    <mergeCell ref="JGM28:JGP28"/>
    <mergeCell ref="JGQ28:JGT28"/>
    <mergeCell ref="JGU28:JGX28"/>
    <mergeCell ref="JGY28:JHB28"/>
    <mergeCell ref="JHC28:JHF28"/>
    <mergeCell ref="JHG28:JHJ28"/>
    <mergeCell ref="JHK28:JHN28"/>
    <mergeCell ref="JHO28:JHR28"/>
    <mergeCell ref="JHS28:JHV28"/>
    <mergeCell ref="JHW28:JHZ28"/>
    <mergeCell ref="JIA28:JID28"/>
    <mergeCell ref="JIE28:JIH28"/>
    <mergeCell ref="JII28:JIL28"/>
    <mergeCell ref="JIM28:JIP28"/>
    <mergeCell ref="JIQ28:JIT28"/>
    <mergeCell ref="JIU28:JIX28"/>
    <mergeCell ref="JIY28:JJB28"/>
    <mergeCell ref="JJC28:JJF28"/>
    <mergeCell ref="JJG28:JJJ28"/>
    <mergeCell ref="JJK28:JJN28"/>
    <mergeCell ref="JJO28:JJR28"/>
    <mergeCell ref="JJS28:JJV28"/>
    <mergeCell ref="JJW28:JJZ28"/>
    <mergeCell ref="JKA28:JKD28"/>
    <mergeCell ref="JKE28:JKH28"/>
    <mergeCell ref="JKI28:JKL28"/>
    <mergeCell ref="JKM28:JKP28"/>
    <mergeCell ref="JKQ28:JKT28"/>
    <mergeCell ref="JKU28:JKX28"/>
    <mergeCell ref="JKY28:JLB28"/>
    <mergeCell ref="JLC28:JLF28"/>
    <mergeCell ref="JLG28:JLJ28"/>
    <mergeCell ref="JLK28:JLN28"/>
    <mergeCell ref="JLO28:JLR28"/>
    <mergeCell ref="JLS28:JLV28"/>
    <mergeCell ref="JLW28:JLZ28"/>
    <mergeCell ref="JMA28:JMD28"/>
    <mergeCell ref="JME28:JMH28"/>
    <mergeCell ref="JMI28:JML28"/>
    <mergeCell ref="JMM28:JMP28"/>
    <mergeCell ref="JMQ28:JMT28"/>
    <mergeCell ref="JMU28:JMX28"/>
    <mergeCell ref="JMY28:JNB28"/>
    <mergeCell ref="JNC28:JNF28"/>
    <mergeCell ref="JNG28:JNJ28"/>
    <mergeCell ref="JNK28:JNN28"/>
    <mergeCell ref="JNO28:JNR28"/>
    <mergeCell ref="JNS28:JNV28"/>
    <mergeCell ref="JNW28:JNZ28"/>
    <mergeCell ref="JOA28:JOD28"/>
    <mergeCell ref="JOE28:JOH28"/>
    <mergeCell ref="JOI28:JOL28"/>
    <mergeCell ref="JOM28:JOP28"/>
    <mergeCell ref="JOQ28:JOT28"/>
    <mergeCell ref="JOU28:JOX28"/>
    <mergeCell ref="JOY28:JPB28"/>
    <mergeCell ref="JPC28:JPF28"/>
    <mergeCell ref="JPG28:JPJ28"/>
    <mergeCell ref="JPK28:JPN28"/>
    <mergeCell ref="JPO28:JPR28"/>
    <mergeCell ref="JPS28:JPV28"/>
    <mergeCell ref="JPW28:JPZ28"/>
    <mergeCell ref="JQA28:JQD28"/>
    <mergeCell ref="JQE28:JQH28"/>
    <mergeCell ref="JQI28:JQL28"/>
    <mergeCell ref="JQM28:JQP28"/>
    <mergeCell ref="JQQ28:JQT28"/>
    <mergeCell ref="JQU28:JQX28"/>
    <mergeCell ref="JQY28:JRB28"/>
    <mergeCell ref="JRC28:JRF28"/>
    <mergeCell ref="JRG28:JRJ28"/>
    <mergeCell ref="JRK28:JRN28"/>
    <mergeCell ref="JRO28:JRR28"/>
    <mergeCell ref="JRS28:JRV28"/>
    <mergeCell ref="JRW28:JRZ28"/>
    <mergeCell ref="JSA28:JSD28"/>
    <mergeCell ref="JSE28:JSH28"/>
    <mergeCell ref="JSI28:JSL28"/>
    <mergeCell ref="JSM28:JSP28"/>
    <mergeCell ref="JSQ28:JST28"/>
    <mergeCell ref="JSU28:JSX28"/>
    <mergeCell ref="JSY28:JTB28"/>
    <mergeCell ref="JTC28:JTF28"/>
    <mergeCell ref="JTG28:JTJ28"/>
    <mergeCell ref="JTK28:JTN28"/>
    <mergeCell ref="JTO28:JTR28"/>
    <mergeCell ref="JTS28:JTV28"/>
    <mergeCell ref="JTW28:JTZ28"/>
    <mergeCell ref="JUA28:JUD28"/>
    <mergeCell ref="JUE28:JUH28"/>
    <mergeCell ref="JUI28:JUL28"/>
    <mergeCell ref="JUM28:JUP28"/>
    <mergeCell ref="JUQ28:JUT28"/>
    <mergeCell ref="JUU28:JUX28"/>
    <mergeCell ref="JUY28:JVB28"/>
    <mergeCell ref="JVC28:JVF28"/>
    <mergeCell ref="JVG28:JVJ28"/>
    <mergeCell ref="JVK28:JVN28"/>
    <mergeCell ref="JVO28:JVR28"/>
    <mergeCell ref="JVS28:JVV28"/>
    <mergeCell ref="JVW28:JVZ28"/>
    <mergeCell ref="JWA28:JWD28"/>
    <mergeCell ref="JWE28:JWH28"/>
    <mergeCell ref="JWI28:JWL28"/>
    <mergeCell ref="JWM28:JWP28"/>
    <mergeCell ref="JWQ28:JWT28"/>
    <mergeCell ref="JWU28:JWX28"/>
    <mergeCell ref="JWY28:JXB28"/>
    <mergeCell ref="JXC28:JXF28"/>
    <mergeCell ref="JXG28:JXJ28"/>
    <mergeCell ref="JXK28:JXN28"/>
    <mergeCell ref="JXO28:JXR28"/>
    <mergeCell ref="JXS28:JXV28"/>
    <mergeCell ref="JXW28:JXZ28"/>
    <mergeCell ref="JYA28:JYD28"/>
    <mergeCell ref="JYE28:JYH28"/>
    <mergeCell ref="JYI28:JYL28"/>
    <mergeCell ref="JYM28:JYP28"/>
    <mergeCell ref="JYQ28:JYT28"/>
    <mergeCell ref="JYU28:JYX28"/>
    <mergeCell ref="JYY28:JZB28"/>
    <mergeCell ref="JZC28:JZF28"/>
    <mergeCell ref="JZG28:JZJ28"/>
    <mergeCell ref="JZK28:JZN28"/>
    <mergeCell ref="JZO28:JZR28"/>
    <mergeCell ref="JZS28:JZV28"/>
    <mergeCell ref="JZW28:JZZ28"/>
    <mergeCell ref="KAA28:KAD28"/>
    <mergeCell ref="KAE28:KAH28"/>
    <mergeCell ref="KAI28:KAL28"/>
    <mergeCell ref="KAM28:KAP28"/>
    <mergeCell ref="KAQ28:KAT28"/>
    <mergeCell ref="KAU28:KAX28"/>
    <mergeCell ref="KAY28:KBB28"/>
    <mergeCell ref="KBC28:KBF28"/>
    <mergeCell ref="KBG28:KBJ28"/>
    <mergeCell ref="KBK28:KBN28"/>
    <mergeCell ref="KBO28:KBR28"/>
    <mergeCell ref="KBS28:KBV28"/>
    <mergeCell ref="KBW28:KBZ28"/>
    <mergeCell ref="KCA28:KCD28"/>
    <mergeCell ref="KCE28:KCH28"/>
    <mergeCell ref="KCI28:KCL28"/>
    <mergeCell ref="KCM28:KCP28"/>
    <mergeCell ref="KCQ28:KCT28"/>
    <mergeCell ref="KCU28:KCX28"/>
    <mergeCell ref="KCY28:KDB28"/>
    <mergeCell ref="KDC28:KDF28"/>
    <mergeCell ref="KDG28:KDJ28"/>
    <mergeCell ref="KDK28:KDN28"/>
    <mergeCell ref="KDO28:KDR28"/>
    <mergeCell ref="KDS28:KDV28"/>
    <mergeCell ref="KDW28:KDZ28"/>
    <mergeCell ref="KEA28:KED28"/>
    <mergeCell ref="KEE28:KEH28"/>
    <mergeCell ref="KEI28:KEL28"/>
    <mergeCell ref="KEM28:KEP28"/>
    <mergeCell ref="KEQ28:KET28"/>
    <mergeCell ref="KEU28:KEX28"/>
    <mergeCell ref="KEY28:KFB28"/>
    <mergeCell ref="KFC28:KFF28"/>
    <mergeCell ref="KFG28:KFJ28"/>
    <mergeCell ref="KFK28:KFN28"/>
    <mergeCell ref="KFO28:KFR28"/>
    <mergeCell ref="KFS28:KFV28"/>
    <mergeCell ref="KFW28:KFZ28"/>
    <mergeCell ref="KGA28:KGD28"/>
    <mergeCell ref="KGE28:KGH28"/>
    <mergeCell ref="KGI28:KGL28"/>
    <mergeCell ref="KGM28:KGP28"/>
    <mergeCell ref="KGQ28:KGT28"/>
    <mergeCell ref="KGU28:KGX28"/>
    <mergeCell ref="KGY28:KHB28"/>
    <mergeCell ref="KHC28:KHF28"/>
    <mergeCell ref="KHG28:KHJ28"/>
    <mergeCell ref="KHK28:KHN28"/>
    <mergeCell ref="KHO28:KHR28"/>
    <mergeCell ref="KHS28:KHV28"/>
    <mergeCell ref="KHW28:KHZ28"/>
    <mergeCell ref="KIA28:KID28"/>
    <mergeCell ref="KIE28:KIH28"/>
    <mergeCell ref="KII28:KIL28"/>
    <mergeCell ref="KIM28:KIP28"/>
    <mergeCell ref="KIQ28:KIT28"/>
    <mergeCell ref="KIU28:KIX28"/>
    <mergeCell ref="KIY28:KJB28"/>
    <mergeCell ref="KJC28:KJF28"/>
    <mergeCell ref="KJG28:KJJ28"/>
    <mergeCell ref="KJK28:KJN28"/>
    <mergeCell ref="KJO28:KJR28"/>
    <mergeCell ref="KJS28:KJV28"/>
    <mergeCell ref="KJW28:KJZ28"/>
    <mergeCell ref="KKA28:KKD28"/>
    <mergeCell ref="KKE28:KKH28"/>
    <mergeCell ref="KKI28:KKL28"/>
    <mergeCell ref="KKM28:KKP28"/>
    <mergeCell ref="KKQ28:KKT28"/>
    <mergeCell ref="KKU28:KKX28"/>
    <mergeCell ref="KKY28:KLB28"/>
    <mergeCell ref="KLC28:KLF28"/>
    <mergeCell ref="KLG28:KLJ28"/>
    <mergeCell ref="KLK28:KLN28"/>
    <mergeCell ref="KLO28:KLR28"/>
    <mergeCell ref="KLS28:KLV28"/>
    <mergeCell ref="KLW28:KLZ28"/>
    <mergeCell ref="KMA28:KMD28"/>
    <mergeCell ref="KME28:KMH28"/>
    <mergeCell ref="KMI28:KML28"/>
    <mergeCell ref="KMM28:KMP28"/>
    <mergeCell ref="KMQ28:KMT28"/>
    <mergeCell ref="KMU28:KMX28"/>
    <mergeCell ref="KMY28:KNB28"/>
    <mergeCell ref="KNC28:KNF28"/>
    <mergeCell ref="KNG28:KNJ28"/>
    <mergeCell ref="KNK28:KNN28"/>
    <mergeCell ref="KNO28:KNR28"/>
    <mergeCell ref="KNS28:KNV28"/>
    <mergeCell ref="KNW28:KNZ28"/>
    <mergeCell ref="KOA28:KOD28"/>
    <mergeCell ref="KOE28:KOH28"/>
    <mergeCell ref="KOI28:KOL28"/>
    <mergeCell ref="KOM28:KOP28"/>
    <mergeCell ref="KOQ28:KOT28"/>
    <mergeCell ref="KOU28:KOX28"/>
    <mergeCell ref="KOY28:KPB28"/>
    <mergeCell ref="KPC28:KPF28"/>
    <mergeCell ref="KPG28:KPJ28"/>
    <mergeCell ref="KPK28:KPN28"/>
    <mergeCell ref="KPO28:KPR28"/>
    <mergeCell ref="KPS28:KPV28"/>
    <mergeCell ref="KPW28:KPZ28"/>
    <mergeCell ref="KQA28:KQD28"/>
    <mergeCell ref="KQE28:KQH28"/>
    <mergeCell ref="KQI28:KQL28"/>
    <mergeCell ref="KQM28:KQP28"/>
    <mergeCell ref="KQQ28:KQT28"/>
    <mergeCell ref="KQU28:KQX28"/>
    <mergeCell ref="KQY28:KRB28"/>
    <mergeCell ref="KRC28:KRF28"/>
    <mergeCell ref="KRG28:KRJ28"/>
    <mergeCell ref="KRK28:KRN28"/>
    <mergeCell ref="KRO28:KRR28"/>
    <mergeCell ref="KRS28:KRV28"/>
    <mergeCell ref="KRW28:KRZ28"/>
    <mergeCell ref="KSA28:KSD28"/>
    <mergeCell ref="KSE28:KSH28"/>
    <mergeCell ref="KSI28:KSL28"/>
    <mergeCell ref="KSM28:KSP28"/>
    <mergeCell ref="KSQ28:KST28"/>
    <mergeCell ref="KSU28:KSX28"/>
    <mergeCell ref="KSY28:KTB28"/>
    <mergeCell ref="KTC28:KTF28"/>
    <mergeCell ref="KTG28:KTJ28"/>
    <mergeCell ref="KTK28:KTN28"/>
    <mergeCell ref="KTO28:KTR28"/>
    <mergeCell ref="KTS28:KTV28"/>
    <mergeCell ref="KTW28:KTZ28"/>
    <mergeCell ref="KUA28:KUD28"/>
    <mergeCell ref="KUE28:KUH28"/>
    <mergeCell ref="KUI28:KUL28"/>
    <mergeCell ref="KUM28:KUP28"/>
    <mergeCell ref="KUQ28:KUT28"/>
    <mergeCell ref="KUU28:KUX28"/>
    <mergeCell ref="KUY28:KVB28"/>
    <mergeCell ref="KVC28:KVF28"/>
    <mergeCell ref="KVG28:KVJ28"/>
    <mergeCell ref="KVK28:KVN28"/>
    <mergeCell ref="KVO28:KVR28"/>
    <mergeCell ref="KVS28:KVV28"/>
    <mergeCell ref="KVW28:KVZ28"/>
    <mergeCell ref="KWA28:KWD28"/>
    <mergeCell ref="KWE28:KWH28"/>
    <mergeCell ref="KWI28:KWL28"/>
    <mergeCell ref="KWM28:KWP28"/>
    <mergeCell ref="KWQ28:KWT28"/>
    <mergeCell ref="KWU28:KWX28"/>
    <mergeCell ref="KWY28:KXB28"/>
    <mergeCell ref="KXC28:KXF28"/>
    <mergeCell ref="KXG28:KXJ28"/>
    <mergeCell ref="KXK28:KXN28"/>
    <mergeCell ref="KXO28:KXR28"/>
    <mergeCell ref="KXS28:KXV28"/>
    <mergeCell ref="KXW28:KXZ28"/>
    <mergeCell ref="KYA28:KYD28"/>
    <mergeCell ref="KYE28:KYH28"/>
    <mergeCell ref="KYI28:KYL28"/>
    <mergeCell ref="KYM28:KYP28"/>
    <mergeCell ref="KYQ28:KYT28"/>
    <mergeCell ref="KYU28:KYX28"/>
    <mergeCell ref="KYY28:KZB28"/>
    <mergeCell ref="KZC28:KZF28"/>
    <mergeCell ref="KZG28:KZJ28"/>
    <mergeCell ref="KZK28:KZN28"/>
    <mergeCell ref="KZO28:KZR28"/>
    <mergeCell ref="KZS28:KZV28"/>
    <mergeCell ref="KZW28:KZZ28"/>
    <mergeCell ref="LAA28:LAD28"/>
    <mergeCell ref="LAE28:LAH28"/>
    <mergeCell ref="LAI28:LAL28"/>
    <mergeCell ref="LAM28:LAP28"/>
    <mergeCell ref="LAQ28:LAT28"/>
    <mergeCell ref="LAU28:LAX28"/>
    <mergeCell ref="LAY28:LBB28"/>
    <mergeCell ref="LBC28:LBF28"/>
    <mergeCell ref="LBG28:LBJ28"/>
    <mergeCell ref="LBK28:LBN28"/>
    <mergeCell ref="LBO28:LBR28"/>
    <mergeCell ref="LBS28:LBV28"/>
    <mergeCell ref="LBW28:LBZ28"/>
    <mergeCell ref="LCA28:LCD28"/>
    <mergeCell ref="LCE28:LCH28"/>
    <mergeCell ref="LCI28:LCL28"/>
    <mergeCell ref="LCM28:LCP28"/>
    <mergeCell ref="LCQ28:LCT28"/>
    <mergeCell ref="LCU28:LCX28"/>
    <mergeCell ref="LCY28:LDB28"/>
    <mergeCell ref="LDC28:LDF28"/>
    <mergeCell ref="LDG28:LDJ28"/>
    <mergeCell ref="LDK28:LDN28"/>
    <mergeCell ref="LDO28:LDR28"/>
    <mergeCell ref="LDS28:LDV28"/>
    <mergeCell ref="LDW28:LDZ28"/>
    <mergeCell ref="LEA28:LED28"/>
    <mergeCell ref="LEE28:LEH28"/>
    <mergeCell ref="LEI28:LEL28"/>
    <mergeCell ref="LEM28:LEP28"/>
    <mergeCell ref="LEQ28:LET28"/>
    <mergeCell ref="LEU28:LEX28"/>
    <mergeCell ref="LEY28:LFB28"/>
    <mergeCell ref="LFC28:LFF28"/>
    <mergeCell ref="LFG28:LFJ28"/>
    <mergeCell ref="LFK28:LFN28"/>
    <mergeCell ref="LFO28:LFR28"/>
    <mergeCell ref="LFS28:LFV28"/>
    <mergeCell ref="LFW28:LFZ28"/>
    <mergeCell ref="LGA28:LGD28"/>
    <mergeCell ref="LGE28:LGH28"/>
    <mergeCell ref="LGI28:LGL28"/>
    <mergeCell ref="LGM28:LGP28"/>
    <mergeCell ref="LGQ28:LGT28"/>
    <mergeCell ref="LGU28:LGX28"/>
    <mergeCell ref="LGY28:LHB28"/>
    <mergeCell ref="LHC28:LHF28"/>
    <mergeCell ref="LHG28:LHJ28"/>
    <mergeCell ref="LHK28:LHN28"/>
    <mergeCell ref="LHO28:LHR28"/>
    <mergeCell ref="LHS28:LHV28"/>
    <mergeCell ref="LHW28:LHZ28"/>
    <mergeCell ref="LIA28:LID28"/>
    <mergeCell ref="LIE28:LIH28"/>
    <mergeCell ref="LII28:LIL28"/>
    <mergeCell ref="LIM28:LIP28"/>
    <mergeCell ref="LIQ28:LIT28"/>
    <mergeCell ref="LIU28:LIX28"/>
    <mergeCell ref="LIY28:LJB28"/>
    <mergeCell ref="LJC28:LJF28"/>
    <mergeCell ref="LJG28:LJJ28"/>
    <mergeCell ref="LJK28:LJN28"/>
    <mergeCell ref="LJO28:LJR28"/>
    <mergeCell ref="LJS28:LJV28"/>
    <mergeCell ref="LJW28:LJZ28"/>
    <mergeCell ref="LKA28:LKD28"/>
    <mergeCell ref="LKE28:LKH28"/>
    <mergeCell ref="LKI28:LKL28"/>
    <mergeCell ref="LKM28:LKP28"/>
    <mergeCell ref="LKQ28:LKT28"/>
    <mergeCell ref="LKU28:LKX28"/>
    <mergeCell ref="LKY28:LLB28"/>
    <mergeCell ref="LLC28:LLF28"/>
    <mergeCell ref="LLG28:LLJ28"/>
    <mergeCell ref="LLK28:LLN28"/>
    <mergeCell ref="LLO28:LLR28"/>
    <mergeCell ref="LLS28:LLV28"/>
    <mergeCell ref="LLW28:LLZ28"/>
    <mergeCell ref="LMA28:LMD28"/>
    <mergeCell ref="LME28:LMH28"/>
    <mergeCell ref="LMI28:LML28"/>
    <mergeCell ref="LMM28:LMP28"/>
    <mergeCell ref="LMQ28:LMT28"/>
    <mergeCell ref="LMU28:LMX28"/>
    <mergeCell ref="LMY28:LNB28"/>
    <mergeCell ref="LNC28:LNF28"/>
    <mergeCell ref="LNG28:LNJ28"/>
    <mergeCell ref="LNK28:LNN28"/>
    <mergeCell ref="LNO28:LNR28"/>
    <mergeCell ref="LNS28:LNV28"/>
    <mergeCell ref="LNW28:LNZ28"/>
    <mergeCell ref="LOA28:LOD28"/>
    <mergeCell ref="LOE28:LOH28"/>
    <mergeCell ref="LOI28:LOL28"/>
    <mergeCell ref="LOM28:LOP28"/>
    <mergeCell ref="LOQ28:LOT28"/>
    <mergeCell ref="LOU28:LOX28"/>
    <mergeCell ref="LOY28:LPB28"/>
    <mergeCell ref="LPC28:LPF28"/>
    <mergeCell ref="LPG28:LPJ28"/>
    <mergeCell ref="LPK28:LPN28"/>
    <mergeCell ref="LPO28:LPR28"/>
    <mergeCell ref="LPS28:LPV28"/>
    <mergeCell ref="LPW28:LPZ28"/>
    <mergeCell ref="LQA28:LQD28"/>
    <mergeCell ref="LQE28:LQH28"/>
    <mergeCell ref="LQI28:LQL28"/>
    <mergeCell ref="LQM28:LQP28"/>
    <mergeCell ref="LQQ28:LQT28"/>
    <mergeCell ref="LQU28:LQX28"/>
    <mergeCell ref="LQY28:LRB28"/>
    <mergeCell ref="LRC28:LRF28"/>
    <mergeCell ref="LRG28:LRJ28"/>
    <mergeCell ref="LRK28:LRN28"/>
    <mergeCell ref="LRO28:LRR28"/>
    <mergeCell ref="LRS28:LRV28"/>
    <mergeCell ref="LRW28:LRZ28"/>
    <mergeCell ref="LSA28:LSD28"/>
    <mergeCell ref="LSE28:LSH28"/>
    <mergeCell ref="LSI28:LSL28"/>
    <mergeCell ref="LSM28:LSP28"/>
    <mergeCell ref="LSQ28:LST28"/>
    <mergeCell ref="LSU28:LSX28"/>
    <mergeCell ref="LSY28:LTB28"/>
    <mergeCell ref="LTC28:LTF28"/>
    <mergeCell ref="LTG28:LTJ28"/>
    <mergeCell ref="LTK28:LTN28"/>
    <mergeCell ref="LTO28:LTR28"/>
    <mergeCell ref="LTS28:LTV28"/>
    <mergeCell ref="LTW28:LTZ28"/>
    <mergeCell ref="LUA28:LUD28"/>
    <mergeCell ref="LUE28:LUH28"/>
    <mergeCell ref="LUI28:LUL28"/>
    <mergeCell ref="LUM28:LUP28"/>
    <mergeCell ref="LUQ28:LUT28"/>
    <mergeCell ref="LUU28:LUX28"/>
    <mergeCell ref="LUY28:LVB28"/>
    <mergeCell ref="LVC28:LVF28"/>
    <mergeCell ref="LVG28:LVJ28"/>
    <mergeCell ref="LVK28:LVN28"/>
    <mergeCell ref="LVO28:LVR28"/>
    <mergeCell ref="LVS28:LVV28"/>
    <mergeCell ref="LVW28:LVZ28"/>
    <mergeCell ref="LWA28:LWD28"/>
    <mergeCell ref="LWE28:LWH28"/>
    <mergeCell ref="LWI28:LWL28"/>
    <mergeCell ref="LWM28:LWP28"/>
    <mergeCell ref="LWQ28:LWT28"/>
    <mergeCell ref="LWU28:LWX28"/>
    <mergeCell ref="LWY28:LXB28"/>
    <mergeCell ref="LXC28:LXF28"/>
    <mergeCell ref="LXG28:LXJ28"/>
    <mergeCell ref="LXK28:LXN28"/>
    <mergeCell ref="LXO28:LXR28"/>
    <mergeCell ref="LXS28:LXV28"/>
    <mergeCell ref="LXW28:LXZ28"/>
    <mergeCell ref="LYA28:LYD28"/>
    <mergeCell ref="LYE28:LYH28"/>
    <mergeCell ref="LYI28:LYL28"/>
    <mergeCell ref="LYM28:LYP28"/>
    <mergeCell ref="LYQ28:LYT28"/>
    <mergeCell ref="LYU28:LYX28"/>
    <mergeCell ref="LYY28:LZB28"/>
    <mergeCell ref="LZC28:LZF28"/>
    <mergeCell ref="LZG28:LZJ28"/>
    <mergeCell ref="LZK28:LZN28"/>
    <mergeCell ref="LZO28:LZR28"/>
    <mergeCell ref="LZS28:LZV28"/>
    <mergeCell ref="LZW28:LZZ28"/>
    <mergeCell ref="MAA28:MAD28"/>
    <mergeCell ref="MAE28:MAH28"/>
    <mergeCell ref="MAI28:MAL28"/>
    <mergeCell ref="MAM28:MAP28"/>
    <mergeCell ref="MAQ28:MAT28"/>
    <mergeCell ref="MAU28:MAX28"/>
    <mergeCell ref="MAY28:MBB28"/>
    <mergeCell ref="MBC28:MBF28"/>
    <mergeCell ref="MBG28:MBJ28"/>
    <mergeCell ref="MBK28:MBN28"/>
    <mergeCell ref="MBO28:MBR28"/>
    <mergeCell ref="MBS28:MBV28"/>
    <mergeCell ref="MBW28:MBZ28"/>
    <mergeCell ref="MCA28:MCD28"/>
    <mergeCell ref="MCE28:MCH28"/>
    <mergeCell ref="MCI28:MCL28"/>
    <mergeCell ref="MCM28:MCP28"/>
    <mergeCell ref="MCQ28:MCT28"/>
    <mergeCell ref="MCU28:MCX28"/>
    <mergeCell ref="MCY28:MDB28"/>
    <mergeCell ref="MDC28:MDF28"/>
    <mergeCell ref="MDG28:MDJ28"/>
    <mergeCell ref="MDK28:MDN28"/>
    <mergeCell ref="MDO28:MDR28"/>
    <mergeCell ref="MDS28:MDV28"/>
    <mergeCell ref="MDW28:MDZ28"/>
    <mergeCell ref="MEA28:MED28"/>
    <mergeCell ref="MEE28:MEH28"/>
    <mergeCell ref="MEI28:MEL28"/>
    <mergeCell ref="MEM28:MEP28"/>
    <mergeCell ref="MEQ28:MET28"/>
    <mergeCell ref="MEU28:MEX28"/>
    <mergeCell ref="MEY28:MFB28"/>
    <mergeCell ref="MFC28:MFF28"/>
    <mergeCell ref="MFG28:MFJ28"/>
    <mergeCell ref="MFK28:MFN28"/>
    <mergeCell ref="MFO28:MFR28"/>
    <mergeCell ref="MFS28:MFV28"/>
    <mergeCell ref="MFW28:MFZ28"/>
    <mergeCell ref="MGA28:MGD28"/>
    <mergeCell ref="MGE28:MGH28"/>
    <mergeCell ref="MGI28:MGL28"/>
    <mergeCell ref="MGM28:MGP28"/>
    <mergeCell ref="MGQ28:MGT28"/>
    <mergeCell ref="MGU28:MGX28"/>
    <mergeCell ref="MGY28:MHB28"/>
    <mergeCell ref="MHC28:MHF28"/>
    <mergeCell ref="MHG28:MHJ28"/>
    <mergeCell ref="MHK28:MHN28"/>
    <mergeCell ref="MHO28:MHR28"/>
    <mergeCell ref="MHS28:MHV28"/>
    <mergeCell ref="MHW28:MHZ28"/>
    <mergeCell ref="MIA28:MID28"/>
    <mergeCell ref="MIE28:MIH28"/>
    <mergeCell ref="MII28:MIL28"/>
    <mergeCell ref="MIM28:MIP28"/>
    <mergeCell ref="MIQ28:MIT28"/>
    <mergeCell ref="MIU28:MIX28"/>
    <mergeCell ref="MIY28:MJB28"/>
    <mergeCell ref="MJC28:MJF28"/>
    <mergeCell ref="MJG28:MJJ28"/>
    <mergeCell ref="MJK28:MJN28"/>
    <mergeCell ref="MJO28:MJR28"/>
    <mergeCell ref="MJS28:MJV28"/>
    <mergeCell ref="MJW28:MJZ28"/>
    <mergeCell ref="MKA28:MKD28"/>
    <mergeCell ref="MKE28:MKH28"/>
    <mergeCell ref="MKI28:MKL28"/>
    <mergeCell ref="MKM28:MKP28"/>
    <mergeCell ref="MKQ28:MKT28"/>
    <mergeCell ref="MKU28:MKX28"/>
    <mergeCell ref="MKY28:MLB28"/>
    <mergeCell ref="MLC28:MLF28"/>
    <mergeCell ref="MLG28:MLJ28"/>
    <mergeCell ref="MLK28:MLN28"/>
    <mergeCell ref="MLO28:MLR28"/>
    <mergeCell ref="MLS28:MLV28"/>
    <mergeCell ref="MLW28:MLZ28"/>
    <mergeCell ref="MMA28:MMD28"/>
    <mergeCell ref="MME28:MMH28"/>
    <mergeCell ref="MMI28:MML28"/>
    <mergeCell ref="MMM28:MMP28"/>
    <mergeCell ref="MMQ28:MMT28"/>
    <mergeCell ref="MMU28:MMX28"/>
    <mergeCell ref="MMY28:MNB28"/>
    <mergeCell ref="MNC28:MNF28"/>
    <mergeCell ref="MNG28:MNJ28"/>
    <mergeCell ref="MNK28:MNN28"/>
    <mergeCell ref="MNO28:MNR28"/>
    <mergeCell ref="MNS28:MNV28"/>
    <mergeCell ref="MNW28:MNZ28"/>
    <mergeCell ref="MOA28:MOD28"/>
    <mergeCell ref="MOE28:MOH28"/>
    <mergeCell ref="MOI28:MOL28"/>
    <mergeCell ref="MOM28:MOP28"/>
    <mergeCell ref="MOQ28:MOT28"/>
    <mergeCell ref="MOU28:MOX28"/>
    <mergeCell ref="MOY28:MPB28"/>
    <mergeCell ref="MPC28:MPF28"/>
    <mergeCell ref="MPG28:MPJ28"/>
    <mergeCell ref="MPK28:MPN28"/>
    <mergeCell ref="MPO28:MPR28"/>
    <mergeCell ref="MPS28:MPV28"/>
    <mergeCell ref="MPW28:MPZ28"/>
    <mergeCell ref="MQA28:MQD28"/>
    <mergeCell ref="MQE28:MQH28"/>
    <mergeCell ref="MQI28:MQL28"/>
    <mergeCell ref="MQM28:MQP28"/>
    <mergeCell ref="MQQ28:MQT28"/>
    <mergeCell ref="MQU28:MQX28"/>
    <mergeCell ref="MQY28:MRB28"/>
    <mergeCell ref="MRC28:MRF28"/>
    <mergeCell ref="MRG28:MRJ28"/>
    <mergeCell ref="MRK28:MRN28"/>
    <mergeCell ref="MRO28:MRR28"/>
    <mergeCell ref="MRS28:MRV28"/>
    <mergeCell ref="MRW28:MRZ28"/>
    <mergeCell ref="MSA28:MSD28"/>
    <mergeCell ref="MSE28:MSH28"/>
    <mergeCell ref="MSI28:MSL28"/>
    <mergeCell ref="MSM28:MSP28"/>
    <mergeCell ref="MSQ28:MST28"/>
    <mergeCell ref="MSU28:MSX28"/>
    <mergeCell ref="MSY28:MTB28"/>
    <mergeCell ref="MTC28:MTF28"/>
    <mergeCell ref="MTG28:MTJ28"/>
    <mergeCell ref="MTK28:MTN28"/>
    <mergeCell ref="MTO28:MTR28"/>
    <mergeCell ref="MTS28:MTV28"/>
    <mergeCell ref="MTW28:MTZ28"/>
    <mergeCell ref="MUA28:MUD28"/>
    <mergeCell ref="MUE28:MUH28"/>
    <mergeCell ref="MUI28:MUL28"/>
    <mergeCell ref="MUM28:MUP28"/>
    <mergeCell ref="MUQ28:MUT28"/>
    <mergeCell ref="MUU28:MUX28"/>
    <mergeCell ref="MUY28:MVB28"/>
    <mergeCell ref="MVC28:MVF28"/>
    <mergeCell ref="MVG28:MVJ28"/>
    <mergeCell ref="MVK28:MVN28"/>
    <mergeCell ref="MVO28:MVR28"/>
    <mergeCell ref="MVS28:MVV28"/>
    <mergeCell ref="MVW28:MVZ28"/>
    <mergeCell ref="MWA28:MWD28"/>
    <mergeCell ref="MWE28:MWH28"/>
    <mergeCell ref="MWI28:MWL28"/>
    <mergeCell ref="MWM28:MWP28"/>
    <mergeCell ref="MWQ28:MWT28"/>
    <mergeCell ref="MWU28:MWX28"/>
    <mergeCell ref="MWY28:MXB28"/>
    <mergeCell ref="MXC28:MXF28"/>
    <mergeCell ref="MXG28:MXJ28"/>
    <mergeCell ref="MXK28:MXN28"/>
    <mergeCell ref="MXO28:MXR28"/>
    <mergeCell ref="MXS28:MXV28"/>
    <mergeCell ref="MXW28:MXZ28"/>
    <mergeCell ref="MYA28:MYD28"/>
    <mergeCell ref="MYE28:MYH28"/>
    <mergeCell ref="MYI28:MYL28"/>
    <mergeCell ref="MYM28:MYP28"/>
    <mergeCell ref="MYQ28:MYT28"/>
    <mergeCell ref="MYU28:MYX28"/>
    <mergeCell ref="MYY28:MZB28"/>
    <mergeCell ref="MZC28:MZF28"/>
    <mergeCell ref="MZG28:MZJ28"/>
    <mergeCell ref="MZK28:MZN28"/>
    <mergeCell ref="MZO28:MZR28"/>
    <mergeCell ref="MZS28:MZV28"/>
    <mergeCell ref="MZW28:MZZ28"/>
    <mergeCell ref="NAA28:NAD28"/>
    <mergeCell ref="NAE28:NAH28"/>
    <mergeCell ref="NAI28:NAL28"/>
    <mergeCell ref="NAM28:NAP28"/>
    <mergeCell ref="NAQ28:NAT28"/>
    <mergeCell ref="NAU28:NAX28"/>
    <mergeCell ref="NAY28:NBB28"/>
    <mergeCell ref="NBC28:NBF28"/>
    <mergeCell ref="NBG28:NBJ28"/>
    <mergeCell ref="NBK28:NBN28"/>
    <mergeCell ref="NBO28:NBR28"/>
    <mergeCell ref="NBS28:NBV28"/>
    <mergeCell ref="NBW28:NBZ28"/>
    <mergeCell ref="NCA28:NCD28"/>
    <mergeCell ref="NCE28:NCH28"/>
    <mergeCell ref="NCI28:NCL28"/>
    <mergeCell ref="NCM28:NCP28"/>
    <mergeCell ref="NCQ28:NCT28"/>
    <mergeCell ref="NCU28:NCX28"/>
    <mergeCell ref="NCY28:NDB28"/>
    <mergeCell ref="NDC28:NDF28"/>
    <mergeCell ref="NDG28:NDJ28"/>
    <mergeCell ref="NDK28:NDN28"/>
    <mergeCell ref="NDO28:NDR28"/>
    <mergeCell ref="NDS28:NDV28"/>
    <mergeCell ref="NDW28:NDZ28"/>
    <mergeCell ref="NEA28:NED28"/>
    <mergeCell ref="NEE28:NEH28"/>
    <mergeCell ref="NEI28:NEL28"/>
    <mergeCell ref="NEM28:NEP28"/>
    <mergeCell ref="NEQ28:NET28"/>
    <mergeCell ref="NEU28:NEX28"/>
    <mergeCell ref="NEY28:NFB28"/>
    <mergeCell ref="NFC28:NFF28"/>
    <mergeCell ref="NFG28:NFJ28"/>
    <mergeCell ref="NFK28:NFN28"/>
    <mergeCell ref="NFO28:NFR28"/>
    <mergeCell ref="NFS28:NFV28"/>
    <mergeCell ref="NFW28:NFZ28"/>
    <mergeCell ref="NGA28:NGD28"/>
    <mergeCell ref="NGE28:NGH28"/>
    <mergeCell ref="NGI28:NGL28"/>
    <mergeCell ref="NGM28:NGP28"/>
    <mergeCell ref="NGQ28:NGT28"/>
    <mergeCell ref="NGU28:NGX28"/>
    <mergeCell ref="NGY28:NHB28"/>
    <mergeCell ref="NHC28:NHF28"/>
    <mergeCell ref="NHG28:NHJ28"/>
    <mergeCell ref="NHK28:NHN28"/>
    <mergeCell ref="NHO28:NHR28"/>
    <mergeCell ref="NHS28:NHV28"/>
    <mergeCell ref="NHW28:NHZ28"/>
    <mergeCell ref="NIA28:NID28"/>
    <mergeCell ref="NIE28:NIH28"/>
    <mergeCell ref="NII28:NIL28"/>
    <mergeCell ref="NIM28:NIP28"/>
    <mergeCell ref="NIQ28:NIT28"/>
    <mergeCell ref="NIU28:NIX28"/>
    <mergeCell ref="NIY28:NJB28"/>
    <mergeCell ref="NJC28:NJF28"/>
    <mergeCell ref="NJG28:NJJ28"/>
    <mergeCell ref="NJK28:NJN28"/>
    <mergeCell ref="NJO28:NJR28"/>
    <mergeCell ref="NJS28:NJV28"/>
    <mergeCell ref="NJW28:NJZ28"/>
    <mergeCell ref="NKA28:NKD28"/>
    <mergeCell ref="NKE28:NKH28"/>
    <mergeCell ref="NKI28:NKL28"/>
    <mergeCell ref="NKM28:NKP28"/>
    <mergeCell ref="NKQ28:NKT28"/>
    <mergeCell ref="NKU28:NKX28"/>
    <mergeCell ref="NKY28:NLB28"/>
    <mergeCell ref="NLC28:NLF28"/>
    <mergeCell ref="NLG28:NLJ28"/>
    <mergeCell ref="NLK28:NLN28"/>
    <mergeCell ref="NLO28:NLR28"/>
    <mergeCell ref="NLS28:NLV28"/>
    <mergeCell ref="NLW28:NLZ28"/>
    <mergeCell ref="NMA28:NMD28"/>
    <mergeCell ref="NME28:NMH28"/>
    <mergeCell ref="NMI28:NML28"/>
    <mergeCell ref="NMM28:NMP28"/>
    <mergeCell ref="NMQ28:NMT28"/>
    <mergeCell ref="NMU28:NMX28"/>
    <mergeCell ref="NMY28:NNB28"/>
    <mergeCell ref="NNC28:NNF28"/>
    <mergeCell ref="NNG28:NNJ28"/>
    <mergeCell ref="NNK28:NNN28"/>
    <mergeCell ref="NNO28:NNR28"/>
    <mergeCell ref="NNS28:NNV28"/>
    <mergeCell ref="NNW28:NNZ28"/>
    <mergeCell ref="NOA28:NOD28"/>
    <mergeCell ref="NOE28:NOH28"/>
    <mergeCell ref="NOI28:NOL28"/>
    <mergeCell ref="NOM28:NOP28"/>
    <mergeCell ref="NOQ28:NOT28"/>
    <mergeCell ref="NOU28:NOX28"/>
    <mergeCell ref="NOY28:NPB28"/>
    <mergeCell ref="NPC28:NPF28"/>
    <mergeCell ref="NPG28:NPJ28"/>
    <mergeCell ref="NPK28:NPN28"/>
    <mergeCell ref="NPO28:NPR28"/>
    <mergeCell ref="NPS28:NPV28"/>
    <mergeCell ref="NPW28:NPZ28"/>
    <mergeCell ref="NQA28:NQD28"/>
    <mergeCell ref="NQE28:NQH28"/>
    <mergeCell ref="NQI28:NQL28"/>
    <mergeCell ref="NQM28:NQP28"/>
    <mergeCell ref="NQQ28:NQT28"/>
    <mergeCell ref="NQU28:NQX28"/>
    <mergeCell ref="NQY28:NRB28"/>
    <mergeCell ref="NRC28:NRF28"/>
    <mergeCell ref="NRG28:NRJ28"/>
    <mergeCell ref="NRK28:NRN28"/>
    <mergeCell ref="NRO28:NRR28"/>
    <mergeCell ref="NRS28:NRV28"/>
    <mergeCell ref="NRW28:NRZ28"/>
    <mergeCell ref="NSA28:NSD28"/>
    <mergeCell ref="NSE28:NSH28"/>
    <mergeCell ref="NSI28:NSL28"/>
    <mergeCell ref="NSM28:NSP28"/>
    <mergeCell ref="NSQ28:NST28"/>
    <mergeCell ref="NSU28:NSX28"/>
    <mergeCell ref="NSY28:NTB28"/>
    <mergeCell ref="NTC28:NTF28"/>
    <mergeCell ref="NTG28:NTJ28"/>
    <mergeCell ref="NTK28:NTN28"/>
    <mergeCell ref="NTO28:NTR28"/>
    <mergeCell ref="NTS28:NTV28"/>
    <mergeCell ref="NTW28:NTZ28"/>
    <mergeCell ref="NUA28:NUD28"/>
    <mergeCell ref="NUE28:NUH28"/>
    <mergeCell ref="NUI28:NUL28"/>
    <mergeCell ref="NUM28:NUP28"/>
    <mergeCell ref="NUQ28:NUT28"/>
    <mergeCell ref="NUU28:NUX28"/>
    <mergeCell ref="NUY28:NVB28"/>
    <mergeCell ref="NVC28:NVF28"/>
    <mergeCell ref="NVG28:NVJ28"/>
    <mergeCell ref="NVK28:NVN28"/>
    <mergeCell ref="NVO28:NVR28"/>
    <mergeCell ref="NVS28:NVV28"/>
    <mergeCell ref="NVW28:NVZ28"/>
    <mergeCell ref="NWA28:NWD28"/>
    <mergeCell ref="NWE28:NWH28"/>
    <mergeCell ref="NWI28:NWL28"/>
    <mergeCell ref="NWM28:NWP28"/>
    <mergeCell ref="NWQ28:NWT28"/>
    <mergeCell ref="NWU28:NWX28"/>
    <mergeCell ref="NWY28:NXB28"/>
    <mergeCell ref="NXC28:NXF28"/>
    <mergeCell ref="NXG28:NXJ28"/>
    <mergeCell ref="NXK28:NXN28"/>
    <mergeCell ref="NXO28:NXR28"/>
    <mergeCell ref="NXS28:NXV28"/>
    <mergeCell ref="NXW28:NXZ28"/>
    <mergeCell ref="NYA28:NYD28"/>
    <mergeCell ref="NYE28:NYH28"/>
    <mergeCell ref="NYI28:NYL28"/>
    <mergeCell ref="NYM28:NYP28"/>
    <mergeCell ref="NYQ28:NYT28"/>
    <mergeCell ref="NYU28:NYX28"/>
    <mergeCell ref="NYY28:NZB28"/>
    <mergeCell ref="NZC28:NZF28"/>
    <mergeCell ref="NZG28:NZJ28"/>
    <mergeCell ref="NZK28:NZN28"/>
    <mergeCell ref="NZO28:NZR28"/>
    <mergeCell ref="NZS28:NZV28"/>
    <mergeCell ref="NZW28:NZZ28"/>
    <mergeCell ref="OAA28:OAD28"/>
    <mergeCell ref="OAE28:OAH28"/>
    <mergeCell ref="OAI28:OAL28"/>
    <mergeCell ref="OAM28:OAP28"/>
    <mergeCell ref="OAQ28:OAT28"/>
    <mergeCell ref="OAU28:OAX28"/>
    <mergeCell ref="OAY28:OBB28"/>
    <mergeCell ref="OBC28:OBF28"/>
    <mergeCell ref="OBG28:OBJ28"/>
    <mergeCell ref="OBK28:OBN28"/>
    <mergeCell ref="OBO28:OBR28"/>
    <mergeCell ref="OBS28:OBV28"/>
    <mergeCell ref="OBW28:OBZ28"/>
    <mergeCell ref="OCA28:OCD28"/>
    <mergeCell ref="OCE28:OCH28"/>
    <mergeCell ref="OCI28:OCL28"/>
    <mergeCell ref="OCM28:OCP28"/>
    <mergeCell ref="OCQ28:OCT28"/>
    <mergeCell ref="OCU28:OCX28"/>
    <mergeCell ref="OCY28:ODB28"/>
    <mergeCell ref="ODC28:ODF28"/>
    <mergeCell ref="ODG28:ODJ28"/>
    <mergeCell ref="ODK28:ODN28"/>
    <mergeCell ref="ODO28:ODR28"/>
    <mergeCell ref="ODS28:ODV28"/>
    <mergeCell ref="ODW28:ODZ28"/>
    <mergeCell ref="OEA28:OED28"/>
    <mergeCell ref="OEE28:OEH28"/>
    <mergeCell ref="OEI28:OEL28"/>
    <mergeCell ref="OEM28:OEP28"/>
    <mergeCell ref="OEQ28:OET28"/>
    <mergeCell ref="OEU28:OEX28"/>
    <mergeCell ref="OEY28:OFB28"/>
    <mergeCell ref="OFC28:OFF28"/>
    <mergeCell ref="OFG28:OFJ28"/>
    <mergeCell ref="OFK28:OFN28"/>
    <mergeCell ref="OFO28:OFR28"/>
    <mergeCell ref="OFS28:OFV28"/>
    <mergeCell ref="OFW28:OFZ28"/>
    <mergeCell ref="OGA28:OGD28"/>
    <mergeCell ref="OGE28:OGH28"/>
    <mergeCell ref="OGI28:OGL28"/>
    <mergeCell ref="OGM28:OGP28"/>
    <mergeCell ref="OGQ28:OGT28"/>
    <mergeCell ref="OGU28:OGX28"/>
    <mergeCell ref="OGY28:OHB28"/>
    <mergeCell ref="OHC28:OHF28"/>
    <mergeCell ref="OHG28:OHJ28"/>
    <mergeCell ref="OHK28:OHN28"/>
    <mergeCell ref="OHO28:OHR28"/>
    <mergeCell ref="OHS28:OHV28"/>
    <mergeCell ref="OHW28:OHZ28"/>
    <mergeCell ref="OIA28:OID28"/>
    <mergeCell ref="OIE28:OIH28"/>
    <mergeCell ref="OII28:OIL28"/>
    <mergeCell ref="OIM28:OIP28"/>
    <mergeCell ref="OIQ28:OIT28"/>
    <mergeCell ref="OIU28:OIX28"/>
    <mergeCell ref="OIY28:OJB28"/>
    <mergeCell ref="OJC28:OJF28"/>
    <mergeCell ref="OJG28:OJJ28"/>
    <mergeCell ref="OJK28:OJN28"/>
    <mergeCell ref="OJO28:OJR28"/>
    <mergeCell ref="OJS28:OJV28"/>
    <mergeCell ref="OJW28:OJZ28"/>
    <mergeCell ref="OKA28:OKD28"/>
    <mergeCell ref="OKE28:OKH28"/>
    <mergeCell ref="OKI28:OKL28"/>
    <mergeCell ref="OKM28:OKP28"/>
    <mergeCell ref="OKQ28:OKT28"/>
    <mergeCell ref="OKU28:OKX28"/>
    <mergeCell ref="OKY28:OLB28"/>
    <mergeCell ref="OLC28:OLF28"/>
    <mergeCell ref="OLG28:OLJ28"/>
    <mergeCell ref="OLK28:OLN28"/>
    <mergeCell ref="OLO28:OLR28"/>
    <mergeCell ref="OLS28:OLV28"/>
    <mergeCell ref="OLW28:OLZ28"/>
    <mergeCell ref="OMA28:OMD28"/>
    <mergeCell ref="OME28:OMH28"/>
    <mergeCell ref="OMI28:OML28"/>
    <mergeCell ref="OMM28:OMP28"/>
    <mergeCell ref="OMQ28:OMT28"/>
    <mergeCell ref="OMU28:OMX28"/>
    <mergeCell ref="OMY28:ONB28"/>
    <mergeCell ref="ONC28:ONF28"/>
    <mergeCell ref="ONG28:ONJ28"/>
    <mergeCell ref="ONK28:ONN28"/>
    <mergeCell ref="ONO28:ONR28"/>
    <mergeCell ref="ONS28:ONV28"/>
    <mergeCell ref="ONW28:ONZ28"/>
    <mergeCell ref="OOA28:OOD28"/>
    <mergeCell ref="OOE28:OOH28"/>
    <mergeCell ref="OOI28:OOL28"/>
    <mergeCell ref="OOM28:OOP28"/>
    <mergeCell ref="OOQ28:OOT28"/>
    <mergeCell ref="OOU28:OOX28"/>
    <mergeCell ref="OOY28:OPB28"/>
    <mergeCell ref="OPC28:OPF28"/>
    <mergeCell ref="OPG28:OPJ28"/>
    <mergeCell ref="OPK28:OPN28"/>
    <mergeCell ref="OPO28:OPR28"/>
    <mergeCell ref="OPS28:OPV28"/>
    <mergeCell ref="OPW28:OPZ28"/>
    <mergeCell ref="OQA28:OQD28"/>
    <mergeCell ref="OQE28:OQH28"/>
    <mergeCell ref="OQI28:OQL28"/>
    <mergeCell ref="OQM28:OQP28"/>
    <mergeCell ref="OQQ28:OQT28"/>
    <mergeCell ref="OQU28:OQX28"/>
    <mergeCell ref="OQY28:ORB28"/>
    <mergeCell ref="ORC28:ORF28"/>
    <mergeCell ref="ORG28:ORJ28"/>
    <mergeCell ref="ORK28:ORN28"/>
    <mergeCell ref="ORO28:ORR28"/>
    <mergeCell ref="ORS28:ORV28"/>
    <mergeCell ref="ORW28:ORZ28"/>
    <mergeCell ref="OSA28:OSD28"/>
    <mergeCell ref="OSE28:OSH28"/>
    <mergeCell ref="OSI28:OSL28"/>
    <mergeCell ref="OSM28:OSP28"/>
    <mergeCell ref="OSQ28:OST28"/>
    <mergeCell ref="OSU28:OSX28"/>
    <mergeCell ref="OSY28:OTB28"/>
    <mergeCell ref="OTC28:OTF28"/>
    <mergeCell ref="OTG28:OTJ28"/>
    <mergeCell ref="OTK28:OTN28"/>
    <mergeCell ref="OTO28:OTR28"/>
    <mergeCell ref="OTS28:OTV28"/>
    <mergeCell ref="OTW28:OTZ28"/>
    <mergeCell ref="OUA28:OUD28"/>
    <mergeCell ref="OUE28:OUH28"/>
    <mergeCell ref="OUI28:OUL28"/>
    <mergeCell ref="OUM28:OUP28"/>
    <mergeCell ref="OUQ28:OUT28"/>
    <mergeCell ref="OUU28:OUX28"/>
    <mergeCell ref="OUY28:OVB28"/>
    <mergeCell ref="OVC28:OVF28"/>
    <mergeCell ref="OVG28:OVJ28"/>
    <mergeCell ref="OVK28:OVN28"/>
    <mergeCell ref="OVO28:OVR28"/>
    <mergeCell ref="OVS28:OVV28"/>
    <mergeCell ref="OVW28:OVZ28"/>
    <mergeCell ref="OWA28:OWD28"/>
    <mergeCell ref="OWE28:OWH28"/>
    <mergeCell ref="OWI28:OWL28"/>
    <mergeCell ref="OWM28:OWP28"/>
    <mergeCell ref="OWQ28:OWT28"/>
    <mergeCell ref="OWU28:OWX28"/>
    <mergeCell ref="OWY28:OXB28"/>
    <mergeCell ref="OXC28:OXF28"/>
    <mergeCell ref="OXG28:OXJ28"/>
    <mergeCell ref="OXK28:OXN28"/>
    <mergeCell ref="OXO28:OXR28"/>
    <mergeCell ref="OXS28:OXV28"/>
    <mergeCell ref="OXW28:OXZ28"/>
    <mergeCell ref="OYA28:OYD28"/>
    <mergeCell ref="OYE28:OYH28"/>
    <mergeCell ref="OYI28:OYL28"/>
    <mergeCell ref="OYM28:OYP28"/>
    <mergeCell ref="OYQ28:OYT28"/>
    <mergeCell ref="OYU28:OYX28"/>
    <mergeCell ref="OYY28:OZB28"/>
    <mergeCell ref="OZC28:OZF28"/>
    <mergeCell ref="OZG28:OZJ28"/>
    <mergeCell ref="OZK28:OZN28"/>
    <mergeCell ref="OZO28:OZR28"/>
    <mergeCell ref="OZS28:OZV28"/>
    <mergeCell ref="OZW28:OZZ28"/>
    <mergeCell ref="PAA28:PAD28"/>
    <mergeCell ref="PAE28:PAH28"/>
    <mergeCell ref="PAI28:PAL28"/>
    <mergeCell ref="PAM28:PAP28"/>
    <mergeCell ref="PAQ28:PAT28"/>
    <mergeCell ref="PAU28:PAX28"/>
    <mergeCell ref="PAY28:PBB28"/>
    <mergeCell ref="PBC28:PBF28"/>
    <mergeCell ref="PBG28:PBJ28"/>
    <mergeCell ref="PBK28:PBN28"/>
    <mergeCell ref="PBO28:PBR28"/>
    <mergeCell ref="PBS28:PBV28"/>
    <mergeCell ref="PBW28:PBZ28"/>
    <mergeCell ref="PCA28:PCD28"/>
    <mergeCell ref="PCE28:PCH28"/>
    <mergeCell ref="PCI28:PCL28"/>
    <mergeCell ref="PCM28:PCP28"/>
    <mergeCell ref="PCQ28:PCT28"/>
    <mergeCell ref="PCU28:PCX28"/>
    <mergeCell ref="PCY28:PDB28"/>
    <mergeCell ref="PDC28:PDF28"/>
    <mergeCell ref="PDG28:PDJ28"/>
    <mergeCell ref="PDK28:PDN28"/>
    <mergeCell ref="PDO28:PDR28"/>
    <mergeCell ref="PDS28:PDV28"/>
    <mergeCell ref="PDW28:PDZ28"/>
    <mergeCell ref="PEA28:PED28"/>
    <mergeCell ref="PEE28:PEH28"/>
    <mergeCell ref="PEI28:PEL28"/>
    <mergeCell ref="PEM28:PEP28"/>
    <mergeCell ref="PEQ28:PET28"/>
    <mergeCell ref="PEU28:PEX28"/>
    <mergeCell ref="PEY28:PFB28"/>
    <mergeCell ref="PFC28:PFF28"/>
    <mergeCell ref="PFG28:PFJ28"/>
    <mergeCell ref="PFK28:PFN28"/>
    <mergeCell ref="PFO28:PFR28"/>
    <mergeCell ref="PFS28:PFV28"/>
    <mergeCell ref="PFW28:PFZ28"/>
    <mergeCell ref="PGA28:PGD28"/>
    <mergeCell ref="PGE28:PGH28"/>
    <mergeCell ref="PGI28:PGL28"/>
    <mergeCell ref="PGM28:PGP28"/>
    <mergeCell ref="PGQ28:PGT28"/>
    <mergeCell ref="PGU28:PGX28"/>
    <mergeCell ref="PGY28:PHB28"/>
    <mergeCell ref="PHC28:PHF28"/>
    <mergeCell ref="PHG28:PHJ28"/>
    <mergeCell ref="PHK28:PHN28"/>
    <mergeCell ref="PHO28:PHR28"/>
    <mergeCell ref="PHS28:PHV28"/>
    <mergeCell ref="PHW28:PHZ28"/>
    <mergeCell ref="PIA28:PID28"/>
    <mergeCell ref="PIE28:PIH28"/>
    <mergeCell ref="PII28:PIL28"/>
    <mergeCell ref="PIM28:PIP28"/>
    <mergeCell ref="PIQ28:PIT28"/>
    <mergeCell ref="PIU28:PIX28"/>
    <mergeCell ref="PIY28:PJB28"/>
    <mergeCell ref="PJC28:PJF28"/>
    <mergeCell ref="PJG28:PJJ28"/>
    <mergeCell ref="PJK28:PJN28"/>
    <mergeCell ref="PJO28:PJR28"/>
    <mergeCell ref="PJS28:PJV28"/>
    <mergeCell ref="PJW28:PJZ28"/>
    <mergeCell ref="PKA28:PKD28"/>
    <mergeCell ref="PKE28:PKH28"/>
    <mergeCell ref="PKI28:PKL28"/>
    <mergeCell ref="PKM28:PKP28"/>
    <mergeCell ref="PKQ28:PKT28"/>
    <mergeCell ref="PKU28:PKX28"/>
    <mergeCell ref="PKY28:PLB28"/>
    <mergeCell ref="PLC28:PLF28"/>
    <mergeCell ref="PLG28:PLJ28"/>
    <mergeCell ref="PLK28:PLN28"/>
    <mergeCell ref="PLO28:PLR28"/>
    <mergeCell ref="PLS28:PLV28"/>
    <mergeCell ref="PLW28:PLZ28"/>
    <mergeCell ref="PMA28:PMD28"/>
    <mergeCell ref="PME28:PMH28"/>
    <mergeCell ref="PMI28:PML28"/>
    <mergeCell ref="PMM28:PMP28"/>
    <mergeCell ref="PMQ28:PMT28"/>
    <mergeCell ref="PMU28:PMX28"/>
    <mergeCell ref="PMY28:PNB28"/>
    <mergeCell ref="PNC28:PNF28"/>
    <mergeCell ref="PNG28:PNJ28"/>
    <mergeCell ref="PNK28:PNN28"/>
    <mergeCell ref="PNO28:PNR28"/>
    <mergeCell ref="PNS28:PNV28"/>
    <mergeCell ref="PNW28:PNZ28"/>
    <mergeCell ref="POA28:POD28"/>
    <mergeCell ref="POE28:POH28"/>
    <mergeCell ref="POI28:POL28"/>
    <mergeCell ref="POM28:POP28"/>
    <mergeCell ref="POQ28:POT28"/>
    <mergeCell ref="POU28:POX28"/>
    <mergeCell ref="POY28:PPB28"/>
    <mergeCell ref="PPC28:PPF28"/>
    <mergeCell ref="PPG28:PPJ28"/>
    <mergeCell ref="PPK28:PPN28"/>
    <mergeCell ref="PPO28:PPR28"/>
    <mergeCell ref="PPS28:PPV28"/>
    <mergeCell ref="PPW28:PPZ28"/>
    <mergeCell ref="PQA28:PQD28"/>
    <mergeCell ref="PQE28:PQH28"/>
    <mergeCell ref="PQI28:PQL28"/>
    <mergeCell ref="PQM28:PQP28"/>
    <mergeCell ref="PQQ28:PQT28"/>
    <mergeCell ref="PQU28:PQX28"/>
    <mergeCell ref="PQY28:PRB28"/>
    <mergeCell ref="PRC28:PRF28"/>
    <mergeCell ref="PRG28:PRJ28"/>
    <mergeCell ref="PRK28:PRN28"/>
    <mergeCell ref="PRO28:PRR28"/>
    <mergeCell ref="PRS28:PRV28"/>
    <mergeCell ref="PRW28:PRZ28"/>
    <mergeCell ref="PSA28:PSD28"/>
    <mergeCell ref="PSE28:PSH28"/>
    <mergeCell ref="PSI28:PSL28"/>
    <mergeCell ref="PSM28:PSP28"/>
    <mergeCell ref="PSQ28:PST28"/>
    <mergeCell ref="PSU28:PSX28"/>
    <mergeCell ref="PSY28:PTB28"/>
    <mergeCell ref="PTC28:PTF28"/>
    <mergeCell ref="PTG28:PTJ28"/>
    <mergeCell ref="PTK28:PTN28"/>
    <mergeCell ref="PTO28:PTR28"/>
    <mergeCell ref="PTS28:PTV28"/>
    <mergeCell ref="PTW28:PTZ28"/>
    <mergeCell ref="PUA28:PUD28"/>
    <mergeCell ref="PUE28:PUH28"/>
    <mergeCell ref="PUI28:PUL28"/>
    <mergeCell ref="PUM28:PUP28"/>
    <mergeCell ref="PUQ28:PUT28"/>
    <mergeCell ref="PUU28:PUX28"/>
    <mergeCell ref="PUY28:PVB28"/>
    <mergeCell ref="PVC28:PVF28"/>
    <mergeCell ref="PVG28:PVJ28"/>
    <mergeCell ref="PVK28:PVN28"/>
    <mergeCell ref="PVO28:PVR28"/>
    <mergeCell ref="PVS28:PVV28"/>
    <mergeCell ref="PVW28:PVZ28"/>
    <mergeCell ref="PWA28:PWD28"/>
    <mergeCell ref="PWE28:PWH28"/>
    <mergeCell ref="PWI28:PWL28"/>
    <mergeCell ref="PWM28:PWP28"/>
    <mergeCell ref="PWQ28:PWT28"/>
    <mergeCell ref="PWU28:PWX28"/>
    <mergeCell ref="PWY28:PXB28"/>
    <mergeCell ref="PXC28:PXF28"/>
    <mergeCell ref="PXG28:PXJ28"/>
    <mergeCell ref="PXK28:PXN28"/>
    <mergeCell ref="PXO28:PXR28"/>
    <mergeCell ref="PXS28:PXV28"/>
    <mergeCell ref="PXW28:PXZ28"/>
    <mergeCell ref="PYA28:PYD28"/>
    <mergeCell ref="PYE28:PYH28"/>
    <mergeCell ref="PYI28:PYL28"/>
    <mergeCell ref="PYM28:PYP28"/>
    <mergeCell ref="PYQ28:PYT28"/>
    <mergeCell ref="PYU28:PYX28"/>
    <mergeCell ref="PYY28:PZB28"/>
    <mergeCell ref="PZC28:PZF28"/>
    <mergeCell ref="PZG28:PZJ28"/>
    <mergeCell ref="PZK28:PZN28"/>
    <mergeCell ref="PZO28:PZR28"/>
    <mergeCell ref="PZS28:PZV28"/>
    <mergeCell ref="PZW28:PZZ28"/>
    <mergeCell ref="QAA28:QAD28"/>
    <mergeCell ref="QAE28:QAH28"/>
    <mergeCell ref="QAI28:QAL28"/>
    <mergeCell ref="QAM28:QAP28"/>
    <mergeCell ref="QAQ28:QAT28"/>
    <mergeCell ref="QAU28:QAX28"/>
    <mergeCell ref="QAY28:QBB28"/>
    <mergeCell ref="QBC28:QBF28"/>
    <mergeCell ref="QBG28:QBJ28"/>
    <mergeCell ref="QBK28:QBN28"/>
    <mergeCell ref="QBO28:QBR28"/>
    <mergeCell ref="QBS28:QBV28"/>
    <mergeCell ref="QBW28:QBZ28"/>
    <mergeCell ref="QCA28:QCD28"/>
    <mergeCell ref="QCE28:QCH28"/>
    <mergeCell ref="QCI28:QCL28"/>
    <mergeCell ref="QCM28:QCP28"/>
    <mergeCell ref="QCQ28:QCT28"/>
    <mergeCell ref="QCU28:QCX28"/>
    <mergeCell ref="QCY28:QDB28"/>
    <mergeCell ref="QDC28:QDF28"/>
    <mergeCell ref="QDG28:QDJ28"/>
    <mergeCell ref="QDK28:QDN28"/>
    <mergeCell ref="QDO28:QDR28"/>
    <mergeCell ref="QDS28:QDV28"/>
    <mergeCell ref="QDW28:QDZ28"/>
    <mergeCell ref="QEA28:QED28"/>
    <mergeCell ref="QEE28:QEH28"/>
    <mergeCell ref="QEI28:QEL28"/>
    <mergeCell ref="QEM28:QEP28"/>
    <mergeCell ref="QEQ28:QET28"/>
    <mergeCell ref="QEU28:QEX28"/>
    <mergeCell ref="QEY28:QFB28"/>
    <mergeCell ref="QFC28:QFF28"/>
    <mergeCell ref="QFG28:QFJ28"/>
    <mergeCell ref="QFK28:QFN28"/>
    <mergeCell ref="QFO28:QFR28"/>
    <mergeCell ref="QFS28:QFV28"/>
    <mergeCell ref="QFW28:QFZ28"/>
    <mergeCell ref="QGA28:QGD28"/>
    <mergeCell ref="QGE28:QGH28"/>
    <mergeCell ref="QGI28:QGL28"/>
    <mergeCell ref="QGM28:QGP28"/>
    <mergeCell ref="QGQ28:QGT28"/>
    <mergeCell ref="QGU28:QGX28"/>
    <mergeCell ref="QGY28:QHB28"/>
    <mergeCell ref="QHC28:QHF28"/>
    <mergeCell ref="QHG28:QHJ28"/>
    <mergeCell ref="QHK28:QHN28"/>
    <mergeCell ref="QHO28:QHR28"/>
    <mergeCell ref="QHS28:QHV28"/>
    <mergeCell ref="QHW28:QHZ28"/>
    <mergeCell ref="QIA28:QID28"/>
    <mergeCell ref="QIE28:QIH28"/>
    <mergeCell ref="QII28:QIL28"/>
    <mergeCell ref="QIM28:QIP28"/>
    <mergeCell ref="QIQ28:QIT28"/>
    <mergeCell ref="QIU28:QIX28"/>
    <mergeCell ref="QIY28:QJB28"/>
    <mergeCell ref="QJC28:QJF28"/>
    <mergeCell ref="QJG28:QJJ28"/>
    <mergeCell ref="QJK28:QJN28"/>
    <mergeCell ref="QJO28:QJR28"/>
    <mergeCell ref="QJS28:QJV28"/>
    <mergeCell ref="QJW28:QJZ28"/>
    <mergeCell ref="QKA28:QKD28"/>
    <mergeCell ref="QKE28:QKH28"/>
    <mergeCell ref="QKI28:QKL28"/>
    <mergeCell ref="QKM28:QKP28"/>
    <mergeCell ref="QKQ28:QKT28"/>
    <mergeCell ref="QKU28:QKX28"/>
    <mergeCell ref="QKY28:QLB28"/>
    <mergeCell ref="QLC28:QLF28"/>
    <mergeCell ref="QLG28:QLJ28"/>
    <mergeCell ref="QLK28:QLN28"/>
    <mergeCell ref="QLO28:QLR28"/>
    <mergeCell ref="QLS28:QLV28"/>
    <mergeCell ref="QLW28:QLZ28"/>
    <mergeCell ref="QMA28:QMD28"/>
    <mergeCell ref="QME28:QMH28"/>
    <mergeCell ref="QMI28:QML28"/>
    <mergeCell ref="QMM28:QMP28"/>
    <mergeCell ref="QMQ28:QMT28"/>
    <mergeCell ref="QMU28:QMX28"/>
    <mergeCell ref="QMY28:QNB28"/>
    <mergeCell ref="QNC28:QNF28"/>
    <mergeCell ref="QNG28:QNJ28"/>
    <mergeCell ref="QNK28:QNN28"/>
    <mergeCell ref="QNO28:QNR28"/>
    <mergeCell ref="QNS28:QNV28"/>
    <mergeCell ref="QNW28:QNZ28"/>
    <mergeCell ref="QOA28:QOD28"/>
    <mergeCell ref="QOE28:QOH28"/>
    <mergeCell ref="QOI28:QOL28"/>
    <mergeCell ref="QOM28:QOP28"/>
    <mergeCell ref="QOQ28:QOT28"/>
    <mergeCell ref="QOU28:QOX28"/>
    <mergeCell ref="QOY28:QPB28"/>
    <mergeCell ref="QPC28:QPF28"/>
    <mergeCell ref="QPG28:QPJ28"/>
    <mergeCell ref="QPK28:QPN28"/>
    <mergeCell ref="QPO28:QPR28"/>
    <mergeCell ref="QPS28:QPV28"/>
    <mergeCell ref="QPW28:QPZ28"/>
    <mergeCell ref="QQA28:QQD28"/>
    <mergeCell ref="QQE28:QQH28"/>
    <mergeCell ref="QQI28:QQL28"/>
    <mergeCell ref="QQM28:QQP28"/>
    <mergeCell ref="QQQ28:QQT28"/>
    <mergeCell ref="QQU28:QQX28"/>
    <mergeCell ref="QQY28:QRB28"/>
    <mergeCell ref="QRC28:QRF28"/>
    <mergeCell ref="QRG28:QRJ28"/>
    <mergeCell ref="QRK28:QRN28"/>
    <mergeCell ref="QRO28:QRR28"/>
    <mergeCell ref="QRS28:QRV28"/>
    <mergeCell ref="QRW28:QRZ28"/>
    <mergeCell ref="QSA28:QSD28"/>
    <mergeCell ref="QSE28:QSH28"/>
    <mergeCell ref="QSI28:QSL28"/>
    <mergeCell ref="QSM28:QSP28"/>
    <mergeCell ref="QSQ28:QST28"/>
    <mergeCell ref="QSU28:QSX28"/>
    <mergeCell ref="QSY28:QTB28"/>
    <mergeCell ref="QTC28:QTF28"/>
    <mergeCell ref="QTG28:QTJ28"/>
    <mergeCell ref="QTK28:QTN28"/>
    <mergeCell ref="QTO28:QTR28"/>
    <mergeCell ref="QTS28:QTV28"/>
    <mergeCell ref="QTW28:QTZ28"/>
    <mergeCell ref="QUA28:QUD28"/>
    <mergeCell ref="QUE28:QUH28"/>
    <mergeCell ref="QUI28:QUL28"/>
    <mergeCell ref="QUM28:QUP28"/>
    <mergeCell ref="QUQ28:QUT28"/>
    <mergeCell ref="QUU28:QUX28"/>
    <mergeCell ref="QUY28:QVB28"/>
    <mergeCell ref="QVC28:QVF28"/>
    <mergeCell ref="QVG28:QVJ28"/>
    <mergeCell ref="QVK28:QVN28"/>
    <mergeCell ref="QVO28:QVR28"/>
    <mergeCell ref="QVS28:QVV28"/>
    <mergeCell ref="QVW28:QVZ28"/>
    <mergeCell ref="QWA28:QWD28"/>
    <mergeCell ref="QWE28:QWH28"/>
    <mergeCell ref="QWI28:QWL28"/>
    <mergeCell ref="QWM28:QWP28"/>
    <mergeCell ref="QWQ28:QWT28"/>
    <mergeCell ref="QWU28:QWX28"/>
    <mergeCell ref="QWY28:QXB28"/>
    <mergeCell ref="QXC28:QXF28"/>
    <mergeCell ref="QXG28:QXJ28"/>
    <mergeCell ref="QXK28:QXN28"/>
    <mergeCell ref="QXO28:QXR28"/>
    <mergeCell ref="QXS28:QXV28"/>
    <mergeCell ref="QXW28:QXZ28"/>
    <mergeCell ref="QYA28:QYD28"/>
    <mergeCell ref="QYE28:QYH28"/>
    <mergeCell ref="QYI28:QYL28"/>
    <mergeCell ref="QYM28:QYP28"/>
    <mergeCell ref="QYQ28:QYT28"/>
    <mergeCell ref="QYU28:QYX28"/>
    <mergeCell ref="QYY28:QZB28"/>
    <mergeCell ref="QZC28:QZF28"/>
    <mergeCell ref="QZG28:QZJ28"/>
    <mergeCell ref="QZK28:QZN28"/>
    <mergeCell ref="QZO28:QZR28"/>
    <mergeCell ref="QZS28:QZV28"/>
    <mergeCell ref="QZW28:QZZ28"/>
    <mergeCell ref="RAA28:RAD28"/>
    <mergeCell ref="RAE28:RAH28"/>
    <mergeCell ref="RAI28:RAL28"/>
    <mergeCell ref="RAM28:RAP28"/>
    <mergeCell ref="RAQ28:RAT28"/>
    <mergeCell ref="RAU28:RAX28"/>
    <mergeCell ref="RAY28:RBB28"/>
    <mergeCell ref="RBC28:RBF28"/>
    <mergeCell ref="RBG28:RBJ28"/>
    <mergeCell ref="RBK28:RBN28"/>
    <mergeCell ref="RBO28:RBR28"/>
    <mergeCell ref="RBS28:RBV28"/>
    <mergeCell ref="RBW28:RBZ28"/>
    <mergeCell ref="RCA28:RCD28"/>
    <mergeCell ref="RCE28:RCH28"/>
    <mergeCell ref="RCI28:RCL28"/>
    <mergeCell ref="RCM28:RCP28"/>
    <mergeCell ref="RCQ28:RCT28"/>
    <mergeCell ref="RCU28:RCX28"/>
    <mergeCell ref="RCY28:RDB28"/>
    <mergeCell ref="RDC28:RDF28"/>
    <mergeCell ref="RDG28:RDJ28"/>
    <mergeCell ref="RDK28:RDN28"/>
    <mergeCell ref="RDO28:RDR28"/>
    <mergeCell ref="RDS28:RDV28"/>
    <mergeCell ref="RDW28:RDZ28"/>
    <mergeCell ref="REA28:RED28"/>
    <mergeCell ref="REE28:REH28"/>
    <mergeCell ref="REI28:REL28"/>
    <mergeCell ref="REM28:REP28"/>
    <mergeCell ref="REQ28:RET28"/>
    <mergeCell ref="REU28:REX28"/>
    <mergeCell ref="REY28:RFB28"/>
    <mergeCell ref="RFC28:RFF28"/>
    <mergeCell ref="RFG28:RFJ28"/>
    <mergeCell ref="RFK28:RFN28"/>
    <mergeCell ref="RFO28:RFR28"/>
    <mergeCell ref="RFS28:RFV28"/>
    <mergeCell ref="RFW28:RFZ28"/>
    <mergeCell ref="RGA28:RGD28"/>
    <mergeCell ref="RGE28:RGH28"/>
    <mergeCell ref="RGI28:RGL28"/>
    <mergeCell ref="RGM28:RGP28"/>
    <mergeCell ref="RGQ28:RGT28"/>
    <mergeCell ref="RGU28:RGX28"/>
    <mergeCell ref="RGY28:RHB28"/>
    <mergeCell ref="RHC28:RHF28"/>
    <mergeCell ref="RHG28:RHJ28"/>
    <mergeCell ref="RHK28:RHN28"/>
    <mergeCell ref="RHO28:RHR28"/>
    <mergeCell ref="RHS28:RHV28"/>
    <mergeCell ref="RHW28:RHZ28"/>
    <mergeCell ref="RIA28:RID28"/>
    <mergeCell ref="RIE28:RIH28"/>
    <mergeCell ref="RII28:RIL28"/>
    <mergeCell ref="RIM28:RIP28"/>
    <mergeCell ref="RIQ28:RIT28"/>
    <mergeCell ref="RIU28:RIX28"/>
    <mergeCell ref="RIY28:RJB28"/>
    <mergeCell ref="RJC28:RJF28"/>
    <mergeCell ref="RJG28:RJJ28"/>
    <mergeCell ref="RJK28:RJN28"/>
    <mergeCell ref="RJO28:RJR28"/>
    <mergeCell ref="RJS28:RJV28"/>
    <mergeCell ref="RJW28:RJZ28"/>
    <mergeCell ref="RKA28:RKD28"/>
    <mergeCell ref="RKE28:RKH28"/>
    <mergeCell ref="RKI28:RKL28"/>
    <mergeCell ref="RKM28:RKP28"/>
    <mergeCell ref="RKQ28:RKT28"/>
    <mergeCell ref="RKU28:RKX28"/>
    <mergeCell ref="RKY28:RLB28"/>
    <mergeCell ref="RLC28:RLF28"/>
    <mergeCell ref="RLG28:RLJ28"/>
    <mergeCell ref="RLK28:RLN28"/>
    <mergeCell ref="RLO28:RLR28"/>
    <mergeCell ref="RLS28:RLV28"/>
    <mergeCell ref="RLW28:RLZ28"/>
    <mergeCell ref="RMA28:RMD28"/>
    <mergeCell ref="RME28:RMH28"/>
    <mergeCell ref="RMI28:RML28"/>
    <mergeCell ref="RMM28:RMP28"/>
    <mergeCell ref="RMQ28:RMT28"/>
    <mergeCell ref="RMU28:RMX28"/>
    <mergeCell ref="RMY28:RNB28"/>
    <mergeCell ref="RNC28:RNF28"/>
    <mergeCell ref="RNG28:RNJ28"/>
    <mergeCell ref="RNK28:RNN28"/>
    <mergeCell ref="RNO28:RNR28"/>
    <mergeCell ref="RNS28:RNV28"/>
    <mergeCell ref="RNW28:RNZ28"/>
    <mergeCell ref="ROA28:ROD28"/>
    <mergeCell ref="ROE28:ROH28"/>
    <mergeCell ref="ROI28:ROL28"/>
    <mergeCell ref="ROM28:ROP28"/>
    <mergeCell ref="ROQ28:ROT28"/>
    <mergeCell ref="ROU28:ROX28"/>
    <mergeCell ref="ROY28:RPB28"/>
    <mergeCell ref="RPC28:RPF28"/>
    <mergeCell ref="RPG28:RPJ28"/>
    <mergeCell ref="RPK28:RPN28"/>
    <mergeCell ref="RPO28:RPR28"/>
    <mergeCell ref="RPS28:RPV28"/>
    <mergeCell ref="RPW28:RPZ28"/>
    <mergeCell ref="RQA28:RQD28"/>
    <mergeCell ref="RQE28:RQH28"/>
    <mergeCell ref="RQI28:RQL28"/>
    <mergeCell ref="RQM28:RQP28"/>
    <mergeCell ref="RQQ28:RQT28"/>
    <mergeCell ref="RQU28:RQX28"/>
    <mergeCell ref="RQY28:RRB28"/>
    <mergeCell ref="RRC28:RRF28"/>
    <mergeCell ref="RRG28:RRJ28"/>
    <mergeCell ref="RRK28:RRN28"/>
    <mergeCell ref="RRO28:RRR28"/>
    <mergeCell ref="RRS28:RRV28"/>
    <mergeCell ref="RRW28:RRZ28"/>
    <mergeCell ref="RSA28:RSD28"/>
    <mergeCell ref="RSE28:RSH28"/>
    <mergeCell ref="RSI28:RSL28"/>
    <mergeCell ref="RSM28:RSP28"/>
    <mergeCell ref="RSQ28:RST28"/>
    <mergeCell ref="RSU28:RSX28"/>
    <mergeCell ref="RSY28:RTB28"/>
    <mergeCell ref="RTC28:RTF28"/>
    <mergeCell ref="RTG28:RTJ28"/>
    <mergeCell ref="RTK28:RTN28"/>
    <mergeCell ref="RTO28:RTR28"/>
    <mergeCell ref="RTS28:RTV28"/>
    <mergeCell ref="RTW28:RTZ28"/>
    <mergeCell ref="RUA28:RUD28"/>
    <mergeCell ref="RUE28:RUH28"/>
    <mergeCell ref="RUI28:RUL28"/>
    <mergeCell ref="RUM28:RUP28"/>
    <mergeCell ref="RUQ28:RUT28"/>
    <mergeCell ref="RUU28:RUX28"/>
    <mergeCell ref="RUY28:RVB28"/>
    <mergeCell ref="RVC28:RVF28"/>
    <mergeCell ref="RVG28:RVJ28"/>
    <mergeCell ref="RVK28:RVN28"/>
    <mergeCell ref="RVO28:RVR28"/>
    <mergeCell ref="RVS28:RVV28"/>
    <mergeCell ref="RVW28:RVZ28"/>
    <mergeCell ref="RWA28:RWD28"/>
    <mergeCell ref="RWE28:RWH28"/>
    <mergeCell ref="RWI28:RWL28"/>
    <mergeCell ref="RWM28:RWP28"/>
    <mergeCell ref="RWQ28:RWT28"/>
    <mergeCell ref="RWU28:RWX28"/>
    <mergeCell ref="RWY28:RXB28"/>
    <mergeCell ref="RXC28:RXF28"/>
    <mergeCell ref="RXG28:RXJ28"/>
    <mergeCell ref="RXK28:RXN28"/>
    <mergeCell ref="RXO28:RXR28"/>
    <mergeCell ref="RXS28:RXV28"/>
    <mergeCell ref="RXW28:RXZ28"/>
    <mergeCell ref="RYA28:RYD28"/>
    <mergeCell ref="RYE28:RYH28"/>
    <mergeCell ref="RYI28:RYL28"/>
    <mergeCell ref="RYM28:RYP28"/>
    <mergeCell ref="RYQ28:RYT28"/>
    <mergeCell ref="RYU28:RYX28"/>
    <mergeCell ref="RYY28:RZB28"/>
    <mergeCell ref="RZC28:RZF28"/>
    <mergeCell ref="RZG28:RZJ28"/>
    <mergeCell ref="RZK28:RZN28"/>
    <mergeCell ref="RZO28:RZR28"/>
    <mergeCell ref="RZS28:RZV28"/>
    <mergeCell ref="RZW28:RZZ28"/>
    <mergeCell ref="SAA28:SAD28"/>
    <mergeCell ref="SAE28:SAH28"/>
    <mergeCell ref="SAI28:SAL28"/>
    <mergeCell ref="SAM28:SAP28"/>
    <mergeCell ref="SAQ28:SAT28"/>
    <mergeCell ref="SAU28:SAX28"/>
    <mergeCell ref="SAY28:SBB28"/>
    <mergeCell ref="SBC28:SBF28"/>
    <mergeCell ref="SBG28:SBJ28"/>
    <mergeCell ref="SBK28:SBN28"/>
    <mergeCell ref="SBO28:SBR28"/>
    <mergeCell ref="SBS28:SBV28"/>
    <mergeCell ref="SBW28:SBZ28"/>
    <mergeCell ref="SCA28:SCD28"/>
    <mergeCell ref="SCE28:SCH28"/>
    <mergeCell ref="SCI28:SCL28"/>
    <mergeCell ref="SCM28:SCP28"/>
    <mergeCell ref="SCQ28:SCT28"/>
    <mergeCell ref="SCU28:SCX28"/>
    <mergeCell ref="SCY28:SDB28"/>
    <mergeCell ref="SDC28:SDF28"/>
    <mergeCell ref="SDG28:SDJ28"/>
    <mergeCell ref="SDK28:SDN28"/>
    <mergeCell ref="SDO28:SDR28"/>
    <mergeCell ref="SDS28:SDV28"/>
    <mergeCell ref="SDW28:SDZ28"/>
    <mergeCell ref="SEA28:SED28"/>
    <mergeCell ref="SEE28:SEH28"/>
    <mergeCell ref="SEI28:SEL28"/>
    <mergeCell ref="SEM28:SEP28"/>
    <mergeCell ref="SEQ28:SET28"/>
    <mergeCell ref="SEU28:SEX28"/>
    <mergeCell ref="SEY28:SFB28"/>
    <mergeCell ref="SFC28:SFF28"/>
    <mergeCell ref="SFG28:SFJ28"/>
    <mergeCell ref="SFK28:SFN28"/>
    <mergeCell ref="SFO28:SFR28"/>
    <mergeCell ref="SFS28:SFV28"/>
    <mergeCell ref="SFW28:SFZ28"/>
    <mergeCell ref="SGA28:SGD28"/>
    <mergeCell ref="SGE28:SGH28"/>
    <mergeCell ref="SGI28:SGL28"/>
    <mergeCell ref="SGM28:SGP28"/>
    <mergeCell ref="SGQ28:SGT28"/>
    <mergeCell ref="SGU28:SGX28"/>
    <mergeCell ref="SGY28:SHB28"/>
    <mergeCell ref="SHC28:SHF28"/>
    <mergeCell ref="SHG28:SHJ28"/>
    <mergeCell ref="SHK28:SHN28"/>
    <mergeCell ref="SHO28:SHR28"/>
    <mergeCell ref="SHS28:SHV28"/>
    <mergeCell ref="SHW28:SHZ28"/>
    <mergeCell ref="SIA28:SID28"/>
    <mergeCell ref="SIE28:SIH28"/>
    <mergeCell ref="SII28:SIL28"/>
    <mergeCell ref="SIM28:SIP28"/>
    <mergeCell ref="SIQ28:SIT28"/>
    <mergeCell ref="SIU28:SIX28"/>
    <mergeCell ref="SIY28:SJB28"/>
    <mergeCell ref="SJC28:SJF28"/>
    <mergeCell ref="SJG28:SJJ28"/>
    <mergeCell ref="SJK28:SJN28"/>
    <mergeCell ref="SJO28:SJR28"/>
    <mergeCell ref="SJS28:SJV28"/>
    <mergeCell ref="SJW28:SJZ28"/>
    <mergeCell ref="SKA28:SKD28"/>
    <mergeCell ref="SKE28:SKH28"/>
    <mergeCell ref="SKI28:SKL28"/>
    <mergeCell ref="SKM28:SKP28"/>
    <mergeCell ref="SKQ28:SKT28"/>
    <mergeCell ref="SKU28:SKX28"/>
    <mergeCell ref="SKY28:SLB28"/>
    <mergeCell ref="SLC28:SLF28"/>
    <mergeCell ref="SLG28:SLJ28"/>
    <mergeCell ref="SLK28:SLN28"/>
    <mergeCell ref="SLO28:SLR28"/>
    <mergeCell ref="SLS28:SLV28"/>
    <mergeCell ref="SLW28:SLZ28"/>
    <mergeCell ref="SMA28:SMD28"/>
    <mergeCell ref="SME28:SMH28"/>
    <mergeCell ref="SMI28:SML28"/>
    <mergeCell ref="SMM28:SMP28"/>
    <mergeCell ref="SMQ28:SMT28"/>
    <mergeCell ref="SMU28:SMX28"/>
    <mergeCell ref="SMY28:SNB28"/>
    <mergeCell ref="SNC28:SNF28"/>
    <mergeCell ref="SNG28:SNJ28"/>
    <mergeCell ref="SNK28:SNN28"/>
    <mergeCell ref="SNO28:SNR28"/>
    <mergeCell ref="SNS28:SNV28"/>
    <mergeCell ref="SNW28:SNZ28"/>
    <mergeCell ref="SOA28:SOD28"/>
    <mergeCell ref="SOE28:SOH28"/>
    <mergeCell ref="SOI28:SOL28"/>
    <mergeCell ref="SOM28:SOP28"/>
    <mergeCell ref="SOQ28:SOT28"/>
    <mergeCell ref="SOU28:SOX28"/>
    <mergeCell ref="SOY28:SPB28"/>
    <mergeCell ref="SPC28:SPF28"/>
    <mergeCell ref="SPG28:SPJ28"/>
    <mergeCell ref="SPK28:SPN28"/>
    <mergeCell ref="SPO28:SPR28"/>
    <mergeCell ref="SPS28:SPV28"/>
    <mergeCell ref="SPW28:SPZ28"/>
    <mergeCell ref="SQA28:SQD28"/>
    <mergeCell ref="SQE28:SQH28"/>
    <mergeCell ref="SQI28:SQL28"/>
    <mergeCell ref="SQM28:SQP28"/>
    <mergeCell ref="SQQ28:SQT28"/>
    <mergeCell ref="SQU28:SQX28"/>
    <mergeCell ref="SQY28:SRB28"/>
    <mergeCell ref="SRC28:SRF28"/>
    <mergeCell ref="SRG28:SRJ28"/>
    <mergeCell ref="SRK28:SRN28"/>
    <mergeCell ref="SRO28:SRR28"/>
    <mergeCell ref="SRS28:SRV28"/>
    <mergeCell ref="SRW28:SRZ28"/>
    <mergeCell ref="SSA28:SSD28"/>
    <mergeCell ref="SSE28:SSH28"/>
    <mergeCell ref="SSI28:SSL28"/>
    <mergeCell ref="SSM28:SSP28"/>
    <mergeCell ref="SSQ28:SST28"/>
    <mergeCell ref="SSU28:SSX28"/>
    <mergeCell ref="SSY28:STB28"/>
    <mergeCell ref="STC28:STF28"/>
    <mergeCell ref="STG28:STJ28"/>
    <mergeCell ref="STK28:STN28"/>
    <mergeCell ref="STO28:STR28"/>
    <mergeCell ref="STS28:STV28"/>
    <mergeCell ref="STW28:STZ28"/>
    <mergeCell ref="SUA28:SUD28"/>
    <mergeCell ref="SUE28:SUH28"/>
    <mergeCell ref="SUI28:SUL28"/>
    <mergeCell ref="SUM28:SUP28"/>
    <mergeCell ref="SUQ28:SUT28"/>
    <mergeCell ref="SUU28:SUX28"/>
    <mergeCell ref="SUY28:SVB28"/>
    <mergeCell ref="SVC28:SVF28"/>
    <mergeCell ref="SVG28:SVJ28"/>
    <mergeCell ref="SVK28:SVN28"/>
    <mergeCell ref="SVO28:SVR28"/>
    <mergeCell ref="SVS28:SVV28"/>
    <mergeCell ref="SVW28:SVZ28"/>
    <mergeCell ref="SWA28:SWD28"/>
    <mergeCell ref="SWE28:SWH28"/>
    <mergeCell ref="SWI28:SWL28"/>
    <mergeCell ref="SWM28:SWP28"/>
    <mergeCell ref="SWQ28:SWT28"/>
    <mergeCell ref="TCA28:TCD28"/>
    <mergeCell ref="TCE28:TCH28"/>
    <mergeCell ref="SWU28:SWX28"/>
    <mergeCell ref="SWY28:SXB28"/>
    <mergeCell ref="SXC28:SXF28"/>
    <mergeCell ref="SXG28:SXJ28"/>
    <mergeCell ref="SXK28:SXN28"/>
    <mergeCell ref="SXO28:SXR28"/>
    <mergeCell ref="SXS28:SXV28"/>
    <mergeCell ref="SXW28:SXZ28"/>
    <mergeCell ref="SYA28:SYD28"/>
    <mergeCell ref="SYE28:SYH28"/>
    <mergeCell ref="SYI28:SYL28"/>
    <mergeCell ref="SYM28:SYP28"/>
    <mergeCell ref="SYQ28:SYT28"/>
    <mergeCell ref="SYU28:SYX28"/>
    <mergeCell ref="SYY28:SZB28"/>
    <mergeCell ref="SZC28:SZF28"/>
    <mergeCell ref="SZG28:SZJ28"/>
    <mergeCell ref="SZK28:SZN28"/>
    <mergeCell ref="SZO28:SZR28"/>
    <mergeCell ref="SZS28:SZV28"/>
    <mergeCell ref="SZW28:SZZ28"/>
    <mergeCell ref="TAA28:TAD28"/>
    <mergeCell ref="TAE28:TAH28"/>
    <mergeCell ref="TAI28:TAL28"/>
    <mergeCell ref="TAM28:TAP28"/>
    <mergeCell ref="TAQ28:TAT28"/>
    <mergeCell ref="TAU28:TAX28"/>
    <mergeCell ref="TAY28:TBB28"/>
    <mergeCell ref="TBC28:TBF28"/>
    <mergeCell ref="TBG28:TBJ28"/>
    <mergeCell ref="TBK28:TBN28"/>
    <mergeCell ref="TBO28:TBR28"/>
    <mergeCell ref="TBS28:TBV28"/>
    <mergeCell ref="TBW28:TBZ28"/>
    <mergeCell ref="TCI28:TCL28"/>
    <mergeCell ref="TCM28:TCP28"/>
    <mergeCell ref="TCQ28:TCT28"/>
    <mergeCell ref="TCU28:TCX28"/>
    <mergeCell ref="TCY28:TDB28"/>
    <mergeCell ref="TDC28:TDF28"/>
    <mergeCell ref="TDG28:TDJ28"/>
    <mergeCell ref="TDK28:TDN28"/>
    <mergeCell ref="TDO28:TDR28"/>
    <mergeCell ref="TDS28:TDV28"/>
    <mergeCell ref="TDW28:TDZ28"/>
    <mergeCell ref="TEA28:TED28"/>
    <mergeCell ref="TEE28:TEH28"/>
    <mergeCell ref="TEI28:TEL28"/>
    <mergeCell ref="TEM28:TEP28"/>
    <mergeCell ref="TGQ28:TGT28"/>
    <mergeCell ref="TGU28:TGX28"/>
    <mergeCell ref="TEQ28:TET28"/>
    <mergeCell ref="TEU28:TEX28"/>
    <mergeCell ref="TEY28:TFB28"/>
    <mergeCell ref="TFC28:TFF28"/>
    <mergeCell ref="TFG28:TFJ28"/>
    <mergeCell ref="TFK28:TFN28"/>
    <mergeCell ref="TFO28:TFR28"/>
    <mergeCell ref="TFS28:TFV28"/>
    <mergeCell ref="TFW28:TFZ28"/>
    <mergeCell ref="TGA28:TGD28"/>
    <mergeCell ref="TGE28:TGH28"/>
    <mergeCell ref="TGI28:TGL28"/>
    <mergeCell ref="TGM28:TGP28"/>
    <mergeCell ref="TGY28:THB28"/>
    <mergeCell ref="THC28:THF28"/>
    <mergeCell ref="THO28:THR28"/>
    <mergeCell ref="THS28:THV28"/>
    <mergeCell ref="THW28:THZ28"/>
    <mergeCell ref="TIA28:TID28"/>
    <mergeCell ref="TIE28:TIH28"/>
    <mergeCell ref="TII28:TIL28"/>
    <mergeCell ref="TIM28:TIP28"/>
    <mergeCell ref="TIQ28:TIT28"/>
    <mergeCell ref="TIU28:TIX28"/>
    <mergeCell ref="TIY28:TJB28"/>
    <mergeCell ref="TJC28:TJF28"/>
    <mergeCell ref="TJG28:TJJ28"/>
    <mergeCell ref="TJK28:TJN28"/>
    <mergeCell ref="THG28:THJ28"/>
    <mergeCell ref="THK28:THN28"/>
    <mergeCell ref="TJO28:TJR28"/>
    <mergeCell ref="TJS28:TJV28"/>
    <mergeCell ref="TLW28:TLZ28"/>
    <mergeCell ref="TMA28:TMD28"/>
    <mergeCell ref="TJW28:TJZ28"/>
    <mergeCell ref="TKA28:TKD28"/>
    <mergeCell ref="TKE28:TKH28"/>
    <mergeCell ref="TKI28:TKL28"/>
    <mergeCell ref="TKM28:TKP28"/>
    <mergeCell ref="TKQ28:TKT28"/>
    <mergeCell ref="TKU28:TKX28"/>
    <mergeCell ref="TKY28:TLB28"/>
    <mergeCell ref="TLC28:TLF28"/>
    <mergeCell ref="TLG28:TLJ28"/>
    <mergeCell ref="TLK28:TLN28"/>
    <mergeCell ref="TLO28:TLR28"/>
    <mergeCell ref="TLS28:TLV28"/>
    <mergeCell ref="TME28:TMH28"/>
    <mergeCell ref="TMI28:TML28"/>
    <mergeCell ref="TMU28:TMX28"/>
    <mergeCell ref="TMY28:TNB28"/>
    <mergeCell ref="TNC28:TNF28"/>
    <mergeCell ref="TNG28:TNJ28"/>
    <mergeCell ref="TNK28:TNN28"/>
    <mergeCell ref="TNO28:TNR28"/>
    <mergeCell ref="TNS28:TNV28"/>
    <mergeCell ref="TNW28:TNZ28"/>
    <mergeCell ref="TOA28:TOD28"/>
    <mergeCell ref="TOE28:TOH28"/>
    <mergeCell ref="TOI28:TOL28"/>
    <mergeCell ref="TOM28:TOP28"/>
    <mergeCell ref="TOQ28:TOT28"/>
    <mergeCell ref="TMM28:TMP28"/>
    <mergeCell ref="TMQ28:TMT28"/>
    <mergeCell ref="TOU28:TOX28"/>
    <mergeCell ref="TOY28:TPB28"/>
    <mergeCell ref="TRC28:TRF28"/>
    <mergeCell ref="TRG28:TRJ28"/>
    <mergeCell ref="TPC28:TPF28"/>
    <mergeCell ref="TPG28:TPJ28"/>
    <mergeCell ref="TPK28:TPN28"/>
    <mergeCell ref="TPO28:TPR28"/>
    <mergeCell ref="TPS28:TPV28"/>
    <mergeCell ref="TPW28:TPZ28"/>
    <mergeCell ref="TQA28:TQD28"/>
    <mergeCell ref="TQE28:TQH28"/>
    <mergeCell ref="TQI28:TQL28"/>
    <mergeCell ref="TQM28:TQP28"/>
    <mergeCell ref="TQQ28:TQT28"/>
    <mergeCell ref="TQU28:TQX28"/>
    <mergeCell ref="TQY28:TRB28"/>
    <mergeCell ref="TRK28:TRN28"/>
    <mergeCell ref="TRO28:TRR28"/>
    <mergeCell ref="TSA28:TSD28"/>
    <mergeCell ref="TSE28:TSH28"/>
    <mergeCell ref="TSI28:TSL28"/>
    <mergeCell ref="TSM28:TSP28"/>
    <mergeCell ref="TSQ28:TST28"/>
    <mergeCell ref="TSU28:TSX28"/>
    <mergeCell ref="TSY28:TTB28"/>
    <mergeCell ref="TTC28:TTF28"/>
    <mergeCell ref="TTG28:TTJ28"/>
    <mergeCell ref="TTK28:TTN28"/>
    <mergeCell ref="TTO28:TTR28"/>
    <mergeCell ref="TTS28:TTV28"/>
    <mergeCell ref="TTW28:TTZ28"/>
    <mergeCell ref="TRS28:TRV28"/>
    <mergeCell ref="TRW28:TRZ28"/>
    <mergeCell ref="TUA28:TUD28"/>
    <mergeCell ref="TUE28:TUH28"/>
    <mergeCell ref="TWI28:TWL28"/>
    <mergeCell ref="TWM28:TWP28"/>
    <mergeCell ref="TUI28:TUL28"/>
    <mergeCell ref="TUM28:TUP28"/>
    <mergeCell ref="TUQ28:TUT28"/>
    <mergeCell ref="TUU28:TUX28"/>
    <mergeCell ref="TUY28:TVB28"/>
    <mergeCell ref="TVC28:TVF28"/>
    <mergeCell ref="TVG28:TVJ28"/>
    <mergeCell ref="TVK28:TVN28"/>
    <mergeCell ref="TVO28:TVR28"/>
    <mergeCell ref="TVS28:TVV28"/>
    <mergeCell ref="TVW28:TVZ28"/>
    <mergeCell ref="TWA28:TWD28"/>
    <mergeCell ref="TWE28:TWH28"/>
    <mergeCell ref="TWQ28:TWT28"/>
    <mergeCell ref="TWU28:TWX28"/>
    <mergeCell ref="TXG28:TXJ28"/>
    <mergeCell ref="TXK28:TXN28"/>
    <mergeCell ref="TXO28:TXR28"/>
    <mergeCell ref="TXS28:TXV28"/>
    <mergeCell ref="TXW28:TXZ28"/>
    <mergeCell ref="TYA28:TYD28"/>
    <mergeCell ref="TYE28:TYH28"/>
    <mergeCell ref="TYI28:TYL28"/>
    <mergeCell ref="TYM28:TYP28"/>
    <mergeCell ref="TYQ28:TYT28"/>
    <mergeCell ref="TYU28:TYX28"/>
    <mergeCell ref="TYY28:TZB28"/>
    <mergeCell ref="TZC28:TZF28"/>
    <mergeCell ref="TWY28:TXB28"/>
    <mergeCell ref="TXC28:TXF28"/>
    <mergeCell ref="TZG28:TZJ28"/>
    <mergeCell ref="TZK28:TZN28"/>
    <mergeCell ref="UBO28:UBR28"/>
    <mergeCell ref="UBS28:UBV28"/>
    <mergeCell ref="TZO28:TZR28"/>
    <mergeCell ref="TZS28:TZV28"/>
    <mergeCell ref="TZW28:TZZ28"/>
    <mergeCell ref="UAA28:UAD28"/>
    <mergeCell ref="UAE28:UAH28"/>
    <mergeCell ref="UAI28:UAL28"/>
    <mergeCell ref="UAM28:UAP28"/>
    <mergeCell ref="UAQ28:UAT28"/>
    <mergeCell ref="UAU28:UAX28"/>
    <mergeCell ref="UAY28:UBB28"/>
    <mergeCell ref="UBC28:UBF28"/>
    <mergeCell ref="UBG28:UBJ28"/>
    <mergeCell ref="UBK28:UBN28"/>
    <mergeCell ref="UBW28:UBZ28"/>
    <mergeCell ref="UCA28:UCD28"/>
    <mergeCell ref="UCM28:UCP28"/>
    <mergeCell ref="UCQ28:UCT28"/>
    <mergeCell ref="UCU28:UCX28"/>
    <mergeCell ref="UCY28:UDB28"/>
    <mergeCell ref="UDC28:UDF28"/>
    <mergeCell ref="UDG28:UDJ28"/>
    <mergeCell ref="UDK28:UDN28"/>
    <mergeCell ref="UDO28:UDR28"/>
    <mergeCell ref="UDS28:UDV28"/>
    <mergeCell ref="UDW28:UDZ28"/>
    <mergeCell ref="UEA28:UED28"/>
    <mergeCell ref="UEE28:UEH28"/>
    <mergeCell ref="UEI28:UEL28"/>
    <mergeCell ref="UCE28:UCH28"/>
    <mergeCell ref="UCI28:UCL28"/>
    <mergeCell ref="UEM28:UEP28"/>
    <mergeCell ref="UEQ28:UET28"/>
    <mergeCell ref="UGU28:UGX28"/>
    <mergeCell ref="UGY28:UHB28"/>
    <mergeCell ref="UEU28:UEX28"/>
    <mergeCell ref="UEY28:UFB28"/>
    <mergeCell ref="UFC28:UFF28"/>
    <mergeCell ref="UFG28:UFJ28"/>
    <mergeCell ref="UFK28:UFN28"/>
    <mergeCell ref="UFO28:UFR28"/>
    <mergeCell ref="UFS28:UFV28"/>
    <mergeCell ref="UFW28:UFZ28"/>
    <mergeCell ref="UGA28:UGD28"/>
    <mergeCell ref="UGE28:UGH28"/>
    <mergeCell ref="UGI28:UGL28"/>
    <mergeCell ref="UGM28:UGP28"/>
    <mergeCell ref="UGQ28:UGT28"/>
    <mergeCell ref="UHC28:UHF28"/>
    <mergeCell ref="UHG28:UHJ28"/>
    <mergeCell ref="UHS28:UHV28"/>
    <mergeCell ref="UHW28:UHZ28"/>
    <mergeCell ref="UIA28:UID28"/>
    <mergeCell ref="UIE28:UIH28"/>
    <mergeCell ref="UII28:UIL28"/>
    <mergeCell ref="UIM28:UIP28"/>
    <mergeCell ref="UIQ28:UIT28"/>
    <mergeCell ref="UIU28:UIX28"/>
    <mergeCell ref="UIY28:UJB28"/>
    <mergeCell ref="UJC28:UJF28"/>
    <mergeCell ref="UJG28:UJJ28"/>
    <mergeCell ref="UJK28:UJN28"/>
    <mergeCell ref="UJO28:UJR28"/>
    <mergeCell ref="UHK28:UHN28"/>
    <mergeCell ref="UHO28:UHR28"/>
    <mergeCell ref="UJS28:UJV28"/>
    <mergeCell ref="UJW28:UJZ28"/>
    <mergeCell ref="UMA28:UMD28"/>
    <mergeCell ref="UME28:UMH28"/>
    <mergeCell ref="UKA28:UKD28"/>
    <mergeCell ref="UKE28:UKH28"/>
    <mergeCell ref="UKI28:UKL28"/>
    <mergeCell ref="UKM28:UKP28"/>
    <mergeCell ref="UKQ28:UKT28"/>
    <mergeCell ref="UKU28:UKX28"/>
    <mergeCell ref="UKY28:ULB28"/>
    <mergeCell ref="ULC28:ULF28"/>
    <mergeCell ref="ULG28:ULJ28"/>
    <mergeCell ref="ULK28:ULN28"/>
    <mergeCell ref="ULO28:ULR28"/>
    <mergeCell ref="ULS28:ULV28"/>
    <mergeCell ref="ULW28:ULZ28"/>
    <mergeCell ref="UMI28:UML28"/>
    <mergeCell ref="UMM28:UMP28"/>
    <mergeCell ref="UMY28:UNB28"/>
    <mergeCell ref="UNC28:UNF28"/>
    <mergeCell ref="UNG28:UNJ28"/>
    <mergeCell ref="UNK28:UNN28"/>
    <mergeCell ref="UNO28:UNR28"/>
    <mergeCell ref="UNS28:UNV28"/>
    <mergeCell ref="UNW28:UNZ28"/>
    <mergeCell ref="UOA28:UOD28"/>
    <mergeCell ref="UOE28:UOH28"/>
    <mergeCell ref="UOI28:UOL28"/>
    <mergeCell ref="UOM28:UOP28"/>
    <mergeCell ref="UOQ28:UOT28"/>
    <mergeCell ref="UOU28:UOX28"/>
    <mergeCell ref="UMQ28:UMT28"/>
    <mergeCell ref="UMU28:UMX28"/>
    <mergeCell ref="UOY28:UPB28"/>
    <mergeCell ref="UPC28:UPF28"/>
    <mergeCell ref="URG28:URJ28"/>
    <mergeCell ref="URK28:URN28"/>
    <mergeCell ref="UPG28:UPJ28"/>
    <mergeCell ref="UPK28:UPN28"/>
    <mergeCell ref="UPO28:UPR28"/>
    <mergeCell ref="UPS28:UPV28"/>
    <mergeCell ref="UPW28:UPZ28"/>
    <mergeCell ref="UQA28:UQD28"/>
    <mergeCell ref="UQE28:UQH28"/>
    <mergeCell ref="UQI28:UQL28"/>
    <mergeCell ref="UQM28:UQP28"/>
    <mergeCell ref="UQQ28:UQT28"/>
    <mergeCell ref="UQU28:UQX28"/>
    <mergeCell ref="UQY28:URB28"/>
    <mergeCell ref="URC28:URF28"/>
    <mergeCell ref="URO28:URR28"/>
    <mergeCell ref="URS28:URV28"/>
    <mergeCell ref="USE28:USH28"/>
    <mergeCell ref="USI28:USL28"/>
    <mergeCell ref="USM28:USP28"/>
    <mergeCell ref="USQ28:UST28"/>
    <mergeCell ref="USU28:USX28"/>
    <mergeCell ref="USY28:UTB28"/>
    <mergeCell ref="UTC28:UTF28"/>
    <mergeCell ref="UTG28:UTJ28"/>
    <mergeCell ref="UTK28:UTN28"/>
    <mergeCell ref="UTO28:UTR28"/>
    <mergeCell ref="UTS28:UTV28"/>
    <mergeCell ref="UTW28:UTZ28"/>
    <mergeCell ref="UUA28:UUD28"/>
    <mergeCell ref="URW28:URZ28"/>
    <mergeCell ref="USA28:USD28"/>
    <mergeCell ref="UUE28:UUH28"/>
    <mergeCell ref="UUI28:UUL28"/>
    <mergeCell ref="UWM28:UWP28"/>
    <mergeCell ref="UWQ28:UWT28"/>
    <mergeCell ref="UUM28:UUP28"/>
    <mergeCell ref="UUQ28:UUT28"/>
    <mergeCell ref="UUU28:UUX28"/>
    <mergeCell ref="UUY28:UVB28"/>
    <mergeCell ref="UVC28:UVF28"/>
    <mergeCell ref="UVG28:UVJ28"/>
    <mergeCell ref="UVK28:UVN28"/>
    <mergeCell ref="UVO28:UVR28"/>
    <mergeCell ref="UVS28:UVV28"/>
    <mergeCell ref="UVW28:UVZ28"/>
    <mergeCell ref="UWA28:UWD28"/>
    <mergeCell ref="UWE28:UWH28"/>
    <mergeCell ref="UWI28:UWL28"/>
    <mergeCell ref="UWU28:UWX28"/>
    <mergeCell ref="UWY28:UXB28"/>
    <mergeCell ref="UXK28:UXN28"/>
    <mergeCell ref="UXO28:UXR28"/>
    <mergeCell ref="UXS28:UXV28"/>
    <mergeCell ref="UXW28:UXZ28"/>
    <mergeCell ref="UYA28:UYD28"/>
    <mergeCell ref="UYE28:UYH28"/>
    <mergeCell ref="UYI28:UYL28"/>
    <mergeCell ref="UYM28:UYP28"/>
    <mergeCell ref="UYQ28:UYT28"/>
    <mergeCell ref="UYU28:UYX28"/>
    <mergeCell ref="UYY28:UZB28"/>
    <mergeCell ref="UZC28:UZF28"/>
    <mergeCell ref="UZG28:UZJ28"/>
    <mergeCell ref="UXC28:UXF28"/>
    <mergeCell ref="UXG28:UXJ28"/>
    <mergeCell ref="UZK28:UZN28"/>
    <mergeCell ref="UZO28:UZR28"/>
    <mergeCell ref="VBS28:VBV28"/>
    <mergeCell ref="VBW28:VBZ28"/>
    <mergeCell ref="UZS28:UZV28"/>
    <mergeCell ref="UZW28:UZZ28"/>
    <mergeCell ref="VAA28:VAD28"/>
    <mergeCell ref="VAE28:VAH28"/>
    <mergeCell ref="VAI28:VAL28"/>
    <mergeCell ref="VAM28:VAP28"/>
    <mergeCell ref="VAQ28:VAT28"/>
    <mergeCell ref="VAU28:VAX28"/>
    <mergeCell ref="VAY28:VBB28"/>
    <mergeCell ref="VBC28:VBF28"/>
    <mergeCell ref="VBG28:VBJ28"/>
    <mergeCell ref="VBK28:VBN28"/>
    <mergeCell ref="VBO28:VBR28"/>
    <mergeCell ref="VCA28:VCD28"/>
    <mergeCell ref="VCE28:VCH28"/>
    <mergeCell ref="VCQ28:VCT28"/>
    <mergeCell ref="VCU28:VCX28"/>
    <mergeCell ref="VCY28:VDB28"/>
    <mergeCell ref="VDC28:VDF28"/>
    <mergeCell ref="VDG28:VDJ28"/>
    <mergeCell ref="VDK28:VDN28"/>
    <mergeCell ref="VDO28:VDR28"/>
    <mergeCell ref="VDS28:VDV28"/>
    <mergeCell ref="VDW28:VDZ28"/>
    <mergeCell ref="VEA28:VED28"/>
    <mergeCell ref="VEE28:VEH28"/>
    <mergeCell ref="VEI28:VEL28"/>
    <mergeCell ref="VEM28:VEP28"/>
    <mergeCell ref="VCI28:VCL28"/>
    <mergeCell ref="VCM28:VCP28"/>
    <mergeCell ref="VEQ28:VET28"/>
    <mergeCell ref="VEU28:VEX28"/>
    <mergeCell ref="VGY28:VHB28"/>
    <mergeCell ref="VHC28:VHF28"/>
    <mergeCell ref="VEY28:VFB28"/>
    <mergeCell ref="VFC28:VFF28"/>
    <mergeCell ref="VFG28:VFJ28"/>
    <mergeCell ref="VFK28:VFN28"/>
    <mergeCell ref="VFO28:VFR28"/>
    <mergeCell ref="VFS28:VFV28"/>
    <mergeCell ref="VFW28:VFZ28"/>
    <mergeCell ref="VGA28:VGD28"/>
    <mergeCell ref="VGE28:VGH28"/>
    <mergeCell ref="VGI28:VGL28"/>
    <mergeCell ref="VGM28:VGP28"/>
    <mergeCell ref="VGQ28:VGT28"/>
    <mergeCell ref="VGU28:VGX28"/>
    <mergeCell ref="VHG28:VHJ28"/>
    <mergeCell ref="VHK28:VHN28"/>
    <mergeCell ref="VHW28:VHZ28"/>
    <mergeCell ref="VIA28:VID28"/>
    <mergeCell ref="VIE28:VIH28"/>
    <mergeCell ref="VII28:VIL28"/>
    <mergeCell ref="VIM28:VIP28"/>
    <mergeCell ref="VIQ28:VIT28"/>
    <mergeCell ref="VIU28:VIX28"/>
    <mergeCell ref="VIY28:VJB28"/>
    <mergeCell ref="VJC28:VJF28"/>
    <mergeCell ref="VJG28:VJJ28"/>
    <mergeCell ref="VJK28:VJN28"/>
    <mergeCell ref="VJO28:VJR28"/>
    <mergeCell ref="VJS28:VJV28"/>
    <mergeCell ref="VHO28:VHR28"/>
    <mergeCell ref="VHS28:VHV28"/>
    <mergeCell ref="VJW28:VJZ28"/>
    <mergeCell ref="VKA28:VKD28"/>
    <mergeCell ref="VME28:VMH28"/>
    <mergeCell ref="VMI28:VML28"/>
    <mergeCell ref="VKE28:VKH28"/>
    <mergeCell ref="VKI28:VKL28"/>
    <mergeCell ref="VKM28:VKP28"/>
    <mergeCell ref="VKQ28:VKT28"/>
    <mergeCell ref="VKU28:VKX28"/>
    <mergeCell ref="VKY28:VLB28"/>
    <mergeCell ref="VLC28:VLF28"/>
    <mergeCell ref="VLG28:VLJ28"/>
    <mergeCell ref="VLK28:VLN28"/>
    <mergeCell ref="VLO28:VLR28"/>
    <mergeCell ref="VLS28:VLV28"/>
    <mergeCell ref="VLW28:VLZ28"/>
    <mergeCell ref="VMA28:VMD28"/>
    <mergeCell ref="VMM28:VMP28"/>
    <mergeCell ref="VMQ28:VMT28"/>
    <mergeCell ref="VNC28:VNF28"/>
    <mergeCell ref="VNG28:VNJ28"/>
    <mergeCell ref="VNK28:VNN28"/>
    <mergeCell ref="VNO28:VNR28"/>
    <mergeCell ref="VNS28:VNV28"/>
    <mergeCell ref="VNW28:VNZ28"/>
    <mergeCell ref="VOA28:VOD28"/>
    <mergeCell ref="VOE28:VOH28"/>
    <mergeCell ref="VOI28:VOL28"/>
    <mergeCell ref="VOM28:VOP28"/>
    <mergeCell ref="VOQ28:VOT28"/>
    <mergeCell ref="VOU28:VOX28"/>
    <mergeCell ref="VOY28:VPB28"/>
    <mergeCell ref="VMU28:VMX28"/>
    <mergeCell ref="VMY28:VNB28"/>
    <mergeCell ref="VPC28:VPF28"/>
    <mergeCell ref="VPG28:VPJ28"/>
    <mergeCell ref="VRK28:VRN28"/>
    <mergeCell ref="VRO28:VRR28"/>
    <mergeCell ref="VPK28:VPN28"/>
    <mergeCell ref="VPO28:VPR28"/>
    <mergeCell ref="VPS28:VPV28"/>
    <mergeCell ref="VPW28:VPZ28"/>
    <mergeCell ref="VQA28:VQD28"/>
    <mergeCell ref="VQE28:VQH28"/>
    <mergeCell ref="VQI28:VQL28"/>
    <mergeCell ref="VQM28:VQP28"/>
    <mergeCell ref="VQQ28:VQT28"/>
    <mergeCell ref="VQU28:VQX28"/>
    <mergeCell ref="VQY28:VRB28"/>
    <mergeCell ref="VRC28:VRF28"/>
    <mergeCell ref="VRG28:VRJ28"/>
    <mergeCell ref="VRS28:VRV28"/>
    <mergeCell ref="VRW28:VRZ28"/>
    <mergeCell ref="VSI28:VSL28"/>
    <mergeCell ref="VSM28:VSP28"/>
    <mergeCell ref="VSQ28:VST28"/>
    <mergeCell ref="VSU28:VSX28"/>
    <mergeCell ref="VSY28:VTB28"/>
    <mergeCell ref="VTC28:VTF28"/>
    <mergeCell ref="VTG28:VTJ28"/>
    <mergeCell ref="VTK28:VTN28"/>
    <mergeCell ref="VTO28:VTR28"/>
    <mergeCell ref="VTS28:VTV28"/>
    <mergeCell ref="VTW28:VTZ28"/>
    <mergeCell ref="VUA28:VUD28"/>
    <mergeCell ref="VUE28:VUH28"/>
    <mergeCell ref="VSA28:VSD28"/>
    <mergeCell ref="VSE28:VSH28"/>
    <mergeCell ref="VUI28:VUL28"/>
    <mergeCell ref="VUM28:VUP28"/>
    <mergeCell ref="VWQ28:VWT28"/>
    <mergeCell ref="VWU28:VWX28"/>
    <mergeCell ref="VUQ28:VUT28"/>
    <mergeCell ref="VUU28:VUX28"/>
    <mergeCell ref="VUY28:VVB28"/>
    <mergeCell ref="VVC28:VVF28"/>
    <mergeCell ref="VVG28:VVJ28"/>
    <mergeCell ref="VVK28:VVN28"/>
    <mergeCell ref="VVO28:VVR28"/>
    <mergeCell ref="VVS28:VVV28"/>
    <mergeCell ref="VVW28:VVZ28"/>
    <mergeCell ref="VWA28:VWD28"/>
    <mergeCell ref="VWE28:VWH28"/>
    <mergeCell ref="VWI28:VWL28"/>
    <mergeCell ref="VWM28:VWP28"/>
    <mergeCell ref="VWY28:VXB28"/>
    <mergeCell ref="VXC28:VXF28"/>
    <mergeCell ref="VXO28:VXR28"/>
    <mergeCell ref="VXS28:VXV28"/>
    <mergeCell ref="VXW28:VXZ28"/>
    <mergeCell ref="VYA28:VYD28"/>
    <mergeCell ref="VYE28:VYH28"/>
    <mergeCell ref="VYI28:VYL28"/>
    <mergeCell ref="VYM28:VYP28"/>
    <mergeCell ref="VYQ28:VYT28"/>
    <mergeCell ref="VYU28:VYX28"/>
    <mergeCell ref="VYY28:VZB28"/>
    <mergeCell ref="VZC28:VZF28"/>
    <mergeCell ref="VZG28:VZJ28"/>
    <mergeCell ref="VZK28:VZN28"/>
    <mergeCell ref="VXG28:VXJ28"/>
    <mergeCell ref="VXK28:VXN28"/>
    <mergeCell ref="VZO28:VZR28"/>
    <mergeCell ref="VZS28:VZV28"/>
    <mergeCell ref="WBW28:WBZ28"/>
    <mergeCell ref="WCA28:WCD28"/>
    <mergeCell ref="VZW28:VZZ28"/>
    <mergeCell ref="WAA28:WAD28"/>
    <mergeCell ref="WAE28:WAH28"/>
    <mergeCell ref="WAI28:WAL28"/>
    <mergeCell ref="WAM28:WAP28"/>
    <mergeCell ref="WAQ28:WAT28"/>
    <mergeCell ref="WAU28:WAX28"/>
    <mergeCell ref="WAY28:WBB28"/>
    <mergeCell ref="WBC28:WBF28"/>
    <mergeCell ref="WBG28:WBJ28"/>
    <mergeCell ref="WBK28:WBN28"/>
    <mergeCell ref="WBO28:WBR28"/>
    <mergeCell ref="WBS28:WBV28"/>
    <mergeCell ref="WCE28:WCH28"/>
    <mergeCell ref="WCI28:WCL28"/>
    <mergeCell ref="WCU28:WCX28"/>
    <mergeCell ref="WCY28:WDB28"/>
    <mergeCell ref="WDC28:WDF28"/>
    <mergeCell ref="WDG28:WDJ28"/>
    <mergeCell ref="WDK28:WDN28"/>
    <mergeCell ref="WDO28:WDR28"/>
    <mergeCell ref="WDS28:WDV28"/>
    <mergeCell ref="WDW28:WDZ28"/>
    <mergeCell ref="WEA28:WED28"/>
    <mergeCell ref="WEE28:WEH28"/>
    <mergeCell ref="WEI28:WEL28"/>
    <mergeCell ref="WEM28:WEP28"/>
    <mergeCell ref="WEQ28:WET28"/>
    <mergeCell ref="WCM28:WCP28"/>
    <mergeCell ref="WCQ28:WCT28"/>
    <mergeCell ref="WEU28:WEX28"/>
    <mergeCell ref="WEY28:WFB28"/>
    <mergeCell ref="WHC28:WHF28"/>
    <mergeCell ref="WHG28:WHJ28"/>
    <mergeCell ref="WFC28:WFF28"/>
    <mergeCell ref="WFG28:WFJ28"/>
    <mergeCell ref="WFK28:WFN28"/>
    <mergeCell ref="WFO28:WFR28"/>
    <mergeCell ref="WFS28:WFV28"/>
    <mergeCell ref="WFW28:WFZ28"/>
    <mergeCell ref="WGA28:WGD28"/>
    <mergeCell ref="WGE28:WGH28"/>
    <mergeCell ref="WGI28:WGL28"/>
    <mergeCell ref="WGM28:WGP28"/>
    <mergeCell ref="WGQ28:WGT28"/>
    <mergeCell ref="WGU28:WGX28"/>
    <mergeCell ref="WGY28:WHB28"/>
    <mergeCell ref="WHK28:WHN28"/>
    <mergeCell ref="WHO28:WHR28"/>
    <mergeCell ref="WIA28:WID28"/>
    <mergeCell ref="WIE28:WIH28"/>
    <mergeCell ref="WII28:WIL28"/>
    <mergeCell ref="WIM28:WIP28"/>
    <mergeCell ref="WIQ28:WIT28"/>
    <mergeCell ref="WIU28:WIX28"/>
    <mergeCell ref="WIY28:WJB28"/>
    <mergeCell ref="WJC28:WJF28"/>
    <mergeCell ref="WJG28:WJJ28"/>
    <mergeCell ref="WJK28:WJN28"/>
    <mergeCell ref="WJO28:WJR28"/>
    <mergeCell ref="WJS28:WJV28"/>
    <mergeCell ref="WJW28:WJZ28"/>
    <mergeCell ref="WHS28:WHV28"/>
    <mergeCell ref="WHW28:WHZ28"/>
    <mergeCell ref="WKA28:WKD28"/>
    <mergeCell ref="WKE28:WKH28"/>
    <mergeCell ref="WMI28:WML28"/>
    <mergeCell ref="WMM28:WMP28"/>
    <mergeCell ref="WKI28:WKL28"/>
    <mergeCell ref="WKM28:WKP28"/>
    <mergeCell ref="WKQ28:WKT28"/>
    <mergeCell ref="WKU28:WKX28"/>
    <mergeCell ref="WKY28:WLB28"/>
    <mergeCell ref="WLC28:WLF28"/>
    <mergeCell ref="WLG28:WLJ28"/>
    <mergeCell ref="WLK28:WLN28"/>
    <mergeCell ref="WLO28:WLR28"/>
    <mergeCell ref="WLS28:WLV28"/>
    <mergeCell ref="WLW28:WLZ28"/>
    <mergeCell ref="WMA28:WMD28"/>
    <mergeCell ref="WME28:WMH28"/>
    <mergeCell ref="WMQ28:WMT28"/>
    <mergeCell ref="WMU28:WMX28"/>
    <mergeCell ref="WNG28:WNJ28"/>
    <mergeCell ref="WNK28:WNN28"/>
    <mergeCell ref="WNO28:WNR28"/>
    <mergeCell ref="WNS28:WNV28"/>
    <mergeCell ref="WNW28:WNZ28"/>
    <mergeCell ref="WOA28:WOD28"/>
    <mergeCell ref="WOE28:WOH28"/>
    <mergeCell ref="WOI28:WOL28"/>
    <mergeCell ref="WOM28:WOP28"/>
    <mergeCell ref="WOQ28:WOT28"/>
    <mergeCell ref="WOU28:WOX28"/>
    <mergeCell ref="WOY28:WPB28"/>
    <mergeCell ref="WPC28:WPF28"/>
    <mergeCell ref="WMY28:WNB28"/>
    <mergeCell ref="WNC28:WNF28"/>
    <mergeCell ref="WPG28:WPJ28"/>
    <mergeCell ref="WPK28:WPN28"/>
    <mergeCell ref="WYU28:WYX28"/>
    <mergeCell ref="WYY28:WZB28"/>
    <mergeCell ref="WPO28:WPR28"/>
    <mergeCell ref="WPS28:WPV28"/>
    <mergeCell ref="WPW28:WPZ28"/>
    <mergeCell ref="WQA28:WQD28"/>
    <mergeCell ref="WQE28:WQH28"/>
    <mergeCell ref="WQI28:WQL28"/>
    <mergeCell ref="WQM28:WQP28"/>
    <mergeCell ref="WQQ28:WQT28"/>
    <mergeCell ref="WQU28:WQX28"/>
    <mergeCell ref="WQY28:WRB28"/>
    <mergeCell ref="WRC28:WRF28"/>
    <mergeCell ref="WRG28:WRJ28"/>
    <mergeCell ref="WRK28:WRN28"/>
    <mergeCell ref="WYM28:WYP28"/>
    <mergeCell ref="WYQ28:WYT28"/>
    <mergeCell ref="WZK28:WZN28"/>
    <mergeCell ref="WRO28:WRR28"/>
    <mergeCell ref="WRS28:WRV28"/>
    <mergeCell ref="WRW28:WRZ28"/>
    <mergeCell ref="WSA28:WSD28"/>
    <mergeCell ref="WSM28:WSP28"/>
    <mergeCell ref="WSQ28:WST28"/>
    <mergeCell ref="WSU28:WSX28"/>
    <mergeCell ref="WSY28:WTB28"/>
    <mergeCell ref="WTC28:WTF28"/>
    <mergeCell ref="WTG28:WTJ28"/>
    <mergeCell ref="WTK28:WTN28"/>
    <mergeCell ref="WTO28:WTR28"/>
    <mergeCell ref="WTS28:WTV28"/>
    <mergeCell ref="WTW28:WTZ28"/>
    <mergeCell ref="WUA28:WUD28"/>
    <mergeCell ref="WUE28:WUH28"/>
    <mergeCell ref="WUI28:WUL28"/>
    <mergeCell ref="WSE28:WSH28"/>
    <mergeCell ref="WSI28:WSL28"/>
    <mergeCell ref="XDC28:XDF28"/>
    <mergeCell ref="XDG28:XDJ28"/>
    <mergeCell ref="XDK28:XDN28"/>
    <mergeCell ref="XDO28:XDR28"/>
    <mergeCell ref="XDS28:XDV28"/>
    <mergeCell ref="WUM28:WUP28"/>
    <mergeCell ref="XDW28:XDZ28"/>
    <mergeCell ref="XEA28:XED28"/>
    <mergeCell ref="XEE28:XEH28"/>
    <mergeCell ref="WZO28:WZR28"/>
    <mergeCell ref="WVK28:WVN28"/>
    <mergeCell ref="WVO28:WVR28"/>
    <mergeCell ref="WVS28:WVV28"/>
    <mergeCell ref="WVW28:WVZ28"/>
    <mergeCell ref="WWA28:WWD28"/>
    <mergeCell ref="WWE28:WWH28"/>
    <mergeCell ref="WWI28:WWL28"/>
    <mergeCell ref="WWM28:WWP28"/>
    <mergeCell ref="WWQ28:WWT28"/>
    <mergeCell ref="WWU28:WWX28"/>
    <mergeCell ref="WWY28:WXB28"/>
    <mergeCell ref="WXC28:WXF28"/>
    <mergeCell ref="WXG28:WXJ28"/>
    <mergeCell ref="WXK28:WXN28"/>
    <mergeCell ref="WXO28:WXR28"/>
    <mergeCell ref="WXS28:WXV28"/>
    <mergeCell ref="WXW28:WXZ28"/>
    <mergeCell ref="WYA28:WYD28"/>
    <mergeCell ref="WYE28:WYH28"/>
    <mergeCell ref="WYI28:WYL28"/>
    <mergeCell ref="WZC28:WZF28"/>
    <mergeCell ref="WZG28:WZJ28"/>
    <mergeCell ref="WZS28:WZV28"/>
    <mergeCell ref="WUQ28:WUT28"/>
    <mergeCell ref="WUU28:WUX28"/>
    <mergeCell ref="WUY28:WVB28"/>
    <mergeCell ref="WVC28:WVF28"/>
    <mergeCell ref="WVG28:WVJ28"/>
    <mergeCell ref="XEI28:XEL28"/>
    <mergeCell ref="XEM28:XEP28"/>
    <mergeCell ref="XEQ28:XET28"/>
    <mergeCell ref="XEU28:XEX28"/>
    <mergeCell ref="XEY28:XFB28"/>
    <mergeCell ref="WZW28:WZZ28"/>
    <mergeCell ref="XAA28:XAD28"/>
    <mergeCell ref="XAE28:XAH28"/>
    <mergeCell ref="XAI28:XAL28"/>
    <mergeCell ref="XAM28:XAP28"/>
    <mergeCell ref="XAQ28:XAT28"/>
    <mergeCell ref="XAU28:XAX28"/>
    <mergeCell ref="XAY28:XBB28"/>
    <mergeCell ref="XBC28:XBF28"/>
    <mergeCell ref="XBG28:XBJ28"/>
    <mergeCell ref="XBK28:XBN28"/>
    <mergeCell ref="XBO28:XBR28"/>
    <mergeCell ref="XBS28:XBV28"/>
    <mergeCell ref="XBW28:XBZ28"/>
    <mergeCell ref="XCA28:XCD28"/>
    <mergeCell ref="XCE28:XCH28"/>
    <mergeCell ref="XCI28:XCL28"/>
    <mergeCell ref="XCM28:XCP28"/>
    <mergeCell ref="XCQ28:XCT28"/>
    <mergeCell ref="XCU28:XCX28"/>
    <mergeCell ref="XCY28:XDB28"/>
  </mergeCells>
  <phoneticPr fontId="1" type="noConversion"/>
  <conditionalFormatting sqref="C512:C516">
    <cfRule type="timePeriod" dxfId="18" priority="27" timePeriod="yesterday">
      <formula>FLOOR(C512,1)=TODAY()-1</formula>
    </cfRule>
  </conditionalFormatting>
  <conditionalFormatting sqref="C519:C522">
    <cfRule type="timePeriod" dxfId="17" priority="23" timePeriod="yesterday">
      <formula>FLOOR(C519,1)=TODAY()-1</formula>
    </cfRule>
  </conditionalFormatting>
  <conditionalFormatting sqref="C525:C538">
    <cfRule type="timePeriod" dxfId="16" priority="25" timePeriod="yesterday">
      <formula>FLOOR(C525,1)=TODAY()-1</formula>
    </cfRule>
  </conditionalFormatting>
  <conditionalFormatting sqref="C541:C550">
    <cfRule type="timePeriod" dxfId="15" priority="22" timePeriod="yesterday">
      <formula>FLOOR(C541,1)=TODAY()-1</formula>
    </cfRule>
  </conditionalFormatting>
  <conditionalFormatting sqref="C581:C582">
    <cfRule type="timePeriod" dxfId="14" priority="19" timePeriod="yesterday">
      <formula>FLOOR(C581,1)=TODAY()-1</formula>
    </cfRule>
  </conditionalFormatting>
  <conditionalFormatting sqref="C634">
    <cfRule type="timePeriod" dxfId="13" priority="18" timePeriod="yesterday">
      <formula>FLOOR(C634,1)=TODAY()-1</formula>
    </cfRule>
  </conditionalFormatting>
  <conditionalFormatting sqref="D403:D499 E491:F492 F493:F494 E495:F495 F496:F497 E498:F498 C500:C509 D598:D609">
    <cfRule type="timePeriod" dxfId="12" priority="28" timePeriod="yesterday">
      <formula>FLOOR(C403,1)=TODAY()-1</formula>
    </cfRule>
  </conditionalFormatting>
  <conditionalFormatting sqref="D510:D512 D517:D518 D523:D524 D539:D540 D551:D552 C553:C570 D572:D582 E581:F582">
    <cfRule type="timePeriod" dxfId="11" priority="44" timePeriod="yesterday">
      <formula>FLOOR(C510,1)=TODAY()-1</formula>
    </cfRule>
  </conditionalFormatting>
  <conditionalFormatting sqref="D584:D596">
    <cfRule type="timePeriod" dxfId="10" priority="12" timePeriod="yesterday">
      <formula>FLOOR(D584,1)=TODAY()-1</formula>
    </cfRule>
  </conditionalFormatting>
  <conditionalFormatting sqref="D611:D620 D622:D624">
    <cfRule type="timePeriod" dxfId="9" priority="10" timePeriod="yesterday">
      <formula>FLOOR(D611,1)=TODAY()-1</formula>
    </cfRule>
  </conditionalFormatting>
  <conditionalFormatting sqref="D626:D646">
    <cfRule type="timePeriod" dxfId="8" priority="15" timePeriod="yesterday">
      <formula>FLOOR(D626,1)=TODAY()-1</formula>
    </cfRule>
  </conditionalFormatting>
  <conditionalFormatting sqref="E436:E437">
    <cfRule type="timePeriod" dxfId="7" priority="1" timePeriod="yesterday">
      <formula>FLOOR(E436,1)=TODAY()-1</formula>
    </cfRule>
  </conditionalFormatting>
  <conditionalFormatting sqref="E444">
    <cfRule type="timePeriod" dxfId="6" priority="2" timePeriod="yesterday">
      <formula>FLOOR(E444,1)=TODAY()-1</formula>
    </cfRule>
  </conditionalFormatting>
  <conditionalFormatting sqref="E478:E479 E480:F481 E510:F510 E517:F517 E523:F523 E539:F539 E551:F551 E572:F572 E634:F635">
    <cfRule type="timePeriod" dxfId="5" priority="17" timePeriod="yesterday">
      <formula>FLOOR(E478,1)=TODAY()-1</formula>
    </cfRule>
  </conditionalFormatting>
  <conditionalFormatting sqref="E483:E484">
    <cfRule type="timePeriod" dxfId="4" priority="14" timePeriod="yesterday">
      <formula>FLOOR(E483,1)=TODAY()-1</formula>
    </cfRule>
  </conditionalFormatting>
  <conditionalFormatting sqref="E403:F403 E409 E410:F411 E418:F419 E425:F425 E431:F431 E470:F470 E472:E473">
    <cfRule type="timePeriod" dxfId="3" priority="16" timePeriod="yesterday">
      <formula>FLOOR(E403,1)=TODAY()-1</formula>
    </cfRule>
  </conditionalFormatting>
  <conditionalFormatting sqref="E445:F445">
    <cfRule type="timePeriod" dxfId="2" priority="7" timePeriod="yesterday">
      <formula>FLOOR(E445,1)=TODAY()-1</formula>
    </cfRule>
  </conditionalFormatting>
  <conditionalFormatting sqref="E450:F450">
    <cfRule type="timePeriod" dxfId="1" priority="9" timePeriod="yesterday">
      <formula>FLOOR(E450,1)=TODAY()-1</formula>
    </cfRule>
  </conditionalFormatting>
  <conditionalFormatting sqref="E460:F460">
    <cfRule type="timePeriod" dxfId="0" priority="8" timePeriod="yesterday">
      <formula>FLOOR(E460,1)=TODAY()-1</formula>
    </cfRule>
  </conditionalFormatting>
  <printOptions horizontalCentered="1"/>
  <pageMargins left="0.25" right="0.25" top="0.75" bottom="0.75" header="0.3" footer="0.3"/>
  <pageSetup paperSize="9" scale="71" fitToHeight="0" orientation="landscape" r:id="rId1"/>
  <rowBreaks count="2" manualBreakCount="2">
    <brk id="719" max="5" man="1"/>
    <brk id="732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AB52-F64F-4D12-BC3D-214175EB0345}">
  <dimension ref="A1:T749"/>
  <sheetViews>
    <sheetView showGridLines="0" rightToLeft="1" topLeftCell="B1" zoomScale="98" zoomScaleNormal="98" workbookViewId="0">
      <selection activeCell="J1" sqref="J1:J1048576"/>
    </sheetView>
  </sheetViews>
  <sheetFormatPr defaultColWidth="9.140625" defaultRowHeight="18.75"/>
  <cols>
    <col min="1" max="1" width="7.7109375" style="47" customWidth="1"/>
    <col min="2" max="2" width="13.5703125" style="47" customWidth="1"/>
    <col min="3" max="3" width="12.85546875" style="47" customWidth="1"/>
    <col min="4" max="4" width="48.42578125" style="47" bestFit="1" customWidth="1"/>
    <col min="5" max="5" width="16" style="47" customWidth="1"/>
    <col min="6" max="6" width="16.42578125" style="47" customWidth="1"/>
    <col min="7" max="7" width="16.5703125" style="47" customWidth="1"/>
    <col min="8" max="8" width="13.28515625" style="47" customWidth="1"/>
    <col min="9" max="9" width="15.7109375" style="48" customWidth="1"/>
    <col min="10" max="10" width="15.7109375" customWidth="1"/>
    <col min="11" max="11" width="9.140625" customWidth="1"/>
    <col min="12" max="12" width="15.42578125" style="124" customWidth="1"/>
    <col min="13" max="13" width="10.42578125" style="124" customWidth="1"/>
    <col min="14" max="14" width="28.85546875" style="29" customWidth="1"/>
    <col min="15" max="19" width="9.140625" style="29" customWidth="1"/>
    <col min="20" max="20" width="9.140625" style="29" hidden="1" customWidth="1"/>
    <col min="21" max="16384" width="9.140625" style="29"/>
  </cols>
  <sheetData>
    <row r="1" spans="1:20" ht="81" customHeight="1" thickBot="1">
      <c r="A1" s="259" t="s">
        <v>1149</v>
      </c>
      <c r="B1" s="260"/>
      <c r="C1" s="260"/>
      <c r="D1" s="260"/>
      <c r="E1" s="260"/>
      <c r="F1" s="260"/>
      <c r="G1" s="260"/>
      <c r="H1" s="260"/>
      <c r="I1" s="260"/>
      <c r="K1" s="29"/>
    </row>
    <row r="2" spans="1:20">
      <c r="J2" s="49"/>
      <c r="K2" s="29"/>
    </row>
    <row r="3" spans="1:20">
      <c r="A3" s="50" t="s">
        <v>0</v>
      </c>
      <c r="B3" s="50" t="s">
        <v>530</v>
      </c>
      <c r="C3" s="50" t="s">
        <v>1</v>
      </c>
      <c r="D3" s="50" t="s">
        <v>448</v>
      </c>
      <c r="E3" s="50" t="s">
        <v>767</v>
      </c>
      <c r="F3" s="50" t="s">
        <v>768</v>
      </c>
      <c r="G3" s="50" t="s">
        <v>769</v>
      </c>
      <c r="H3" s="50" t="s">
        <v>770</v>
      </c>
      <c r="I3" s="51" t="s">
        <v>771</v>
      </c>
      <c r="J3" s="166" t="s">
        <v>431</v>
      </c>
    </row>
    <row r="4" spans="1:20">
      <c r="A4" s="47">
        <v>1</v>
      </c>
      <c r="B4" s="47" t="s">
        <v>772</v>
      </c>
      <c r="C4" s="47">
        <v>9901010001</v>
      </c>
      <c r="D4" s="47" t="s">
        <v>773</v>
      </c>
      <c r="E4" s="47">
        <v>43</v>
      </c>
      <c r="F4" s="47">
        <v>43</v>
      </c>
      <c r="G4" s="47">
        <v>69</v>
      </c>
      <c r="I4" s="48">
        <v>103700000</v>
      </c>
      <c r="J4" s="167">
        <f>ROUND(((100%+$M$7)*Table30[[#This Row],[قیمت  (ریال)]])*(100%+$M$8),-6)</f>
        <v>124000000</v>
      </c>
      <c r="T4" s="29">
        <v>1</v>
      </c>
    </row>
    <row r="5" spans="1:20">
      <c r="A5" s="47">
        <v>2</v>
      </c>
      <c r="B5" s="47" t="s">
        <v>772</v>
      </c>
      <c r="C5" s="47">
        <v>9901010002</v>
      </c>
      <c r="D5" s="47" t="s">
        <v>774</v>
      </c>
      <c r="E5" s="47">
        <v>43</v>
      </c>
      <c r="F5" s="47">
        <v>43</v>
      </c>
      <c r="G5" s="47">
        <v>70</v>
      </c>
      <c r="I5" s="48">
        <v>103700000</v>
      </c>
      <c r="J5" s="167">
        <f>ROUND(((100%+$M$7)*Table30[[#This Row],[قیمت  (ریال)]])*(100%+$M$8),-6)</f>
        <v>124000000</v>
      </c>
      <c r="T5" s="29">
        <v>2</v>
      </c>
    </row>
    <row r="6" spans="1:20" ht="19.5" thickBot="1">
      <c r="A6" s="47">
        <v>3</v>
      </c>
      <c r="B6" s="47" t="s">
        <v>772</v>
      </c>
      <c r="C6" s="47">
        <v>9901010003</v>
      </c>
      <c r="D6" s="47" t="s">
        <v>775</v>
      </c>
      <c r="E6" s="47">
        <v>43</v>
      </c>
      <c r="F6" s="47">
        <v>43</v>
      </c>
      <c r="G6" s="47">
        <v>69</v>
      </c>
      <c r="I6" s="48">
        <v>103700000</v>
      </c>
      <c r="J6" s="167">
        <f>ROUND(((100%+$M$7)*Table30[[#This Row],[قیمت  (ریال)]])*(100%+$M$8),-6)</f>
        <v>124000000</v>
      </c>
      <c r="T6" s="29">
        <v>3</v>
      </c>
    </row>
    <row r="7" spans="1:20">
      <c r="A7" s="47">
        <v>4</v>
      </c>
      <c r="B7" s="47" t="s">
        <v>772</v>
      </c>
      <c r="C7" s="47">
        <v>9901010004</v>
      </c>
      <c r="D7" s="47" t="s">
        <v>776</v>
      </c>
      <c r="E7" s="47">
        <v>43</v>
      </c>
      <c r="F7" s="47">
        <v>43</v>
      </c>
      <c r="G7" s="47">
        <v>69</v>
      </c>
      <c r="I7" s="48">
        <v>103700000</v>
      </c>
      <c r="J7" s="167">
        <f>ROUND(((100%+$M$7)*Table30[[#This Row],[قیمت  (ریال)]])*(100%+$M$8),-6)</f>
        <v>124000000</v>
      </c>
      <c r="L7" s="120" t="s">
        <v>777</v>
      </c>
      <c r="M7" s="121">
        <v>0.2</v>
      </c>
      <c r="T7" s="29">
        <v>4</v>
      </c>
    </row>
    <row r="8" spans="1:20" ht="19.5" thickBot="1">
      <c r="A8" s="47">
        <v>5</v>
      </c>
      <c r="B8" s="47" t="s">
        <v>772</v>
      </c>
      <c r="C8" s="47">
        <v>9901010005</v>
      </c>
      <c r="D8" s="47" t="s">
        <v>778</v>
      </c>
      <c r="E8" s="47">
        <v>43</v>
      </c>
      <c r="F8" s="47">
        <v>43</v>
      </c>
      <c r="G8" s="47">
        <v>64</v>
      </c>
      <c r="I8" s="48">
        <v>103700000</v>
      </c>
      <c r="J8" s="167">
        <f>ROUND(((100%+$M$7)*Table30[[#This Row],[قیمت  (ریال)]])*(100%+$M$8),-6)</f>
        <v>124000000</v>
      </c>
      <c r="L8" s="122" t="s">
        <v>779</v>
      </c>
      <c r="M8" s="123">
        <v>0</v>
      </c>
      <c r="T8" s="29">
        <v>5</v>
      </c>
    </row>
    <row r="9" spans="1:20">
      <c r="A9" s="47">
        <v>6</v>
      </c>
      <c r="B9" s="47" t="s">
        <v>772</v>
      </c>
      <c r="C9" s="47">
        <v>9901010006</v>
      </c>
      <c r="D9" s="47" t="s">
        <v>780</v>
      </c>
      <c r="E9" s="47">
        <v>43</v>
      </c>
      <c r="F9" s="47">
        <v>43</v>
      </c>
      <c r="G9" s="47">
        <v>64</v>
      </c>
      <c r="I9" s="48">
        <v>103700000</v>
      </c>
      <c r="J9" s="167">
        <f>ROUND(((100%+$M$7)*Table30[[#This Row],[قیمت  (ریال)]])*(100%+$M$8),-6)</f>
        <v>124000000</v>
      </c>
      <c r="T9" s="29">
        <v>6</v>
      </c>
    </row>
    <row r="10" spans="1:20">
      <c r="A10" s="47">
        <v>7</v>
      </c>
      <c r="B10" s="47" t="s">
        <v>772</v>
      </c>
      <c r="C10" s="47">
        <v>9901010007</v>
      </c>
      <c r="D10" s="47" t="s">
        <v>781</v>
      </c>
      <c r="E10" s="47">
        <v>43</v>
      </c>
      <c r="F10" s="47">
        <v>43</v>
      </c>
      <c r="G10" s="47">
        <v>69</v>
      </c>
      <c r="I10" s="48">
        <v>103700000</v>
      </c>
      <c r="J10" s="167">
        <f>ROUND(((100%+$M$7)*Table30[[#This Row],[قیمت  (ریال)]])*(100%+$M$8),-6)</f>
        <v>124000000</v>
      </c>
      <c r="T10" s="29">
        <v>7</v>
      </c>
    </row>
    <row r="11" spans="1:20">
      <c r="A11" s="47">
        <v>8</v>
      </c>
      <c r="B11" s="47" t="s">
        <v>772</v>
      </c>
      <c r="C11" s="47">
        <v>9901010008</v>
      </c>
      <c r="D11" s="47" t="s">
        <v>782</v>
      </c>
      <c r="E11" s="47">
        <v>43</v>
      </c>
      <c r="F11" s="47">
        <v>43</v>
      </c>
      <c r="G11" s="47">
        <v>69</v>
      </c>
      <c r="I11" s="48">
        <v>103700000</v>
      </c>
      <c r="J11" s="167">
        <f>ROUND(((100%+$M$7)*Table30[[#This Row],[قیمت  (ریال)]])*(100%+$M$8),-6)</f>
        <v>124000000</v>
      </c>
      <c r="T11" s="29">
        <v>8</v>
      </c>
    </row>
    <row r="12" spans="1:20">
      <c r="A12" s="47">
        <v>9</v>
      </c>
      <c r="B12" s="47" t="s">
        <v>772</v>
      </c>
      <c r="C12" s="47">
        <v>9901010009</v>
      </c>
      <c r="D12" s="47" t="s">
        <v>783</v>
      </c>
      <c r="E12" s="47">
        <v>43</v>
      </c>
      <c r="F12" s="47">
        <v>43</v>
      </c>
      <c r="G12" s="47">
        <v>65</v>
      </c>
      <c r="I12" s="48">
        <v>103700000</v>
      </c>
      <c r="J12" s="167">
        <f>ROUND(((100%+$M$7)*Table30[[#This Row],[قیمت  (ریال)]])*(100%+$M$8),-6)</f>
        <v>124000000</v>
      </c>
      <c r="T12" s="29">
        <v>9</v>
      </c>
    </row>
    <row r="13" spans="1:20">
      <c r="A13" s="47">
        <v>10</v>
      </c>
      <c r="B13" s="47" t="s">
        <v>772</v>
      </c>
      <c r="C13" s="47">
        <v>9901010010</v>
      </c>
      <c r="D13" s="47" t="s">
        <v>784</v>
      </c>
      <c r="E13" s="47">
        <v>22</v>
      </c>
      <c r="F13" s="47">
        <v>22</v>
      </c>
      <c r="G13" s="47">
        <v>63</v>
      </c>
      <c r="I13" s="48">
        <v>82600000</v>
      </c>
      <c r="J13" s="167">
        <f>ROUND(((100%+$M$7)*Table30[[#This Row],[قیمت  (ریال)]])*(100%+$M$8),-6)</f>
        <v>99000000</v>
      </c>
      <c r="T13" s="29">
        <v>10</v>
      </c>
    </row>
    <row r="14" spans="1:20">
      <c r="A14" s="47">
        <v>11</v>
      </c>
      <c r="B14" s="47" t="s">
        <v>772</v>
      </c>
      <c r="C14" s="47">
        <v>9901010011</v>
      </c>
      <c r="D14" s="47" t="s">
        <v>785</v>
      </c>
      <c r="E14" s="47">
        <v>35</v>
      </c>
      <c r="F14" s="47">
        <v>35</v>
      </c>
      <c r="G14" s="47">
        <v>64</v>
      </c>
      <c r="I14" s="48">
        <v>103700000</v>
      </c>
      <c r="J14" s="167">
        <f>ROUND(((100%+$M$7)*Table30[[#This Row],[قیمت  (ریال)]])*(100%+$M$8),-6)</f>
        <v>124000000</v>
      </c>
      <c r="T14" s="29">
        <v>11</v>
      </c>
    </row>
    <row r="15" spans="1:20">
      <c r="A15" s="47">
        <v>12</v>
      </c>
      <c r="B15" s="47" t="s">
        <v>772</v>
      </c>
      <c r="C15" s="47">
        <v>9901010012</v>
      </c>
      <c r="D15" s="47" t="s">
        <v>786</v>
      </c>
      <c r="E15" s="47">
        <v>43</v>
      </c>
      <c r="F15" s="47">
        <v>43</v>
      </c>
      <c r="G15" s="47">
        <v>70</v>
      </c>
      <c r="I15" s="48">
        <v>103700000</v>
      </c>
      <c r="J15" s="167">
        <f>ROUND(((100%+$M$7)*Table30[[#This Row],[قیمت  (ریال)]])*(100%+$M$8),-6)</f>
        <v>124000000</v>
      </c>
      <c r="T15" s="29">
        <v>12</v>
      </c>
    </row>
    <row r="16" spans="1:20">
      <c r="A16" s="47">
        <v>13</v>
      </c>
      <c r="B16" s="47" t="s">
        <v>772</v>
      </c>
      <c r="C16" s="47">
        <v>9901010013</v>
      </c>
      <c r="D16" s="47" t="s">
        <v>787</v>
      </c>
      <c r="E16" s="47">
        <v>43</v>
      </c>
      <c r="F16" s="47">
        <v>43</v>
      </c>
      <c r="G16" s="47">
        <v>70</v>
      </c>
      <c r="I16" s="48">
        <v>103700000</v>
      </c>
      <c r="J16" s="167">
        <f>ROUND(((100%+$M$7)*Table30[[#This Row],[قیمت  (ریال)]])*(100%+$M$8),-6)</f>
        <v>124000000</v>
      </c>
      <c r="T16" s="29">
        <v>13</v>
      </c>
    </row>
    <row r="17" spans="1:20">
      <c r="A17" s="47">
        <v>14</v>
      </c>
      <c r="B17" s="47" t="s">
        <v>772</v>
      </c>
      <c r="C17" s="47">
        <v>9901010014</v>
      </c>
      <c r="D17" s="47" t="s">
        <v>1290</v>
      </c>
      <c r="E17" s="47">
        <v>35</v>
      </c>
      <c r="F17" s="47">
        <v>35</v>
      </c>
      <c r="G17" s="47">
        <v>46</v>
      </c>
      <c r="I17" s="48">
        <v>108000000</v>
      </c>
      <c r="J17" s="167">
        <f>ROUND(((100%+$M$7)*Table30[[#This Row],[قیمت  (ریال)]])*(100%+$M$8),-6)</f>
        <v>130000000</v>
      </c>
      <c r="T17" s="29">
        <v>14</v>
      </c>
    </row>
    <row r="18" spans="1:20">
      <c r="A18" s="47">
        <v>15</v>
      </c>
      <c r="B18" s="47" t="s">
        <v>772</v>
      </c>
      <c r="C18" s="47">
        <v>9901010015</v>
      </c>
      <c r="D18" s="47" t="s">
        <v>1291</v>
      </c>
      <c r="E18" s="47">
        <v>35</v>
      </c>
      <c r="F18" s="47">
        <v>35</v>
      </c>
      <c r="G18" s="47">
        <v>54</v>
      </c>
      <c r="I18" s="48">
        <v>108000000</v>
      </c>
      <c r="J18" s="167">
        <f>ROUND(((100%+$M$7)*Table30[[#This Row],[قیمت  (ریال)]])*(100%+$M$8),-6)</f>
        <v>130000000</v>
      </c>
      <c r="T18" s="29">
        <v>15</v>
      </c>
    </row>
    <row r="19" spans="1:20">
      <c r="A19" s="47">
        <v>16</v>
      </c>
      <c r="B19" s="47" t="s">
        <v>772</v>
      </c>
      <c r="C19" s="47">
        <v>9901010016</v>
      </c>
      <c r="D19" s="47" t="s">
        <v>1292</v>
      </c>
      <c r="E19" s="47" t="s">
        <v>1293</v>
      </c>
      <c r="I19" s="48">
        <v>135800000</v>
      </c>
      <c r="J19" s="167">
        <f>ROUND(((100%+$M$7)*Table30[[#This Row],[قیمت  (ریال)]])*(100%+$M$8),-6)</f>
        <v>163000000</v>
      </c>
      <c r="T19" s="29">
        <v>16</v>
      </c>
    </row>
    <row r="20" spans="1:20">
      <c r="A20" s="47">
        <v>17</v>
      </c>
      <c r="B20" s="47" t="s">
        <v>772</v>
      </c>
      <c r="C20" s="47">
        <v>9901010018</v>
      </c>
      <c r="D20" s="47" t="s">
        <v>1294</v>
      </c>
      <c r="E20" s="47" t="s">
        <v>1295</v>
      </c>
      <c r="I20" s="48">
        <v>94300000</v>
      </c>
      <c r="J20" s="167">
        <f>ROUND(((100%+$M$7)*Table30[[#This Row],[قیمت  (ریال)]])*(100%+$M$8),-6)</f>
        <v>113000000</v>
      </c>
      <c r="T20" s="29">
        <v>17</v>
      </c>
    </row>
    <row r="21" spans="1:20">
      <c r="A21" s="47">
        <v>18</v>
      </c>
      <c r="B21" s="47" t="s">
        <v>772</v>
      </c>
      <c r="C21" s="47">
        <v>9901010019</v>
      </c>
      <c r="D21" s="47" t="s">
        <v>788</v>
      </c>
      <c r="E21" s="47">
        <v>30</v>
      </c>
      <c r="F21" s="47">
        <v>30</v>
      </c>
      <c r="G21" s="47">
        <v>59</v>
      </c>
      <c r="I21" s="48">
        <v>72000000</v>
      </c>
      <c r="J21" s="167">
        <f>ROUND(((100%+$M$7)*Table30[[#This Row],[قیمت  (ریال)]])*(100%+$M$8),-6)</f>
        <v>86000000</v>
      </c>
      <c r="T21" s="29">
        <v>18</v>
      </c>
    </row>
    <row r="22" spans="1:20">
      <c r="A22" s="47">
        <v>19</v>
      </c>
      <c r="B22" s="47" t="s">
        <v>772</v>
      </c>
      <c r="C22" s="47">
        <v>9901010020</v>
      </c>
      <c r="D22" s="47" t="s">
        <v>789</v>
      </c>
      <c r="E22" s="47">
        <v>35</v>
      </c>
      <c r="F22" s="47">
        <v>35</v>
      </c>
      <c r="G22" s="47">
        <v>65</v>
      </c>
      <c r="I22" s="48">
        <v>114000000</v>
      </c>
      <c r="J22" s="167">
        <f>ROUND(((100%+$M$7)*Table30[[#This Row],[قیمت  (ریال)]])*(100%+$M$8),-6)</f>
        <v>137000000</v>
      </c>
      <c r="T22" s="29">
        <v>19</v>
      </c>
    </row>
    <row r="23" spans="1:20">
      <c r="A23" s="47">
        <v>20</v>
      </c>
      <c r="B23" s="47" t="s">
        <v>772</v>
      </c>
      <c r="C23" s="47">
        <v>9901010021</v>
      </c>
      <c r="D23" s="47" t="s">
        <v>790</v>
      </c>
      <c r="E23" s="47">
        <v>45</v>
      </c>
      <c r="F23" s="47">
        <v>45</v>
      </c>
      <c r="G23" s="47">
        <v>85</v>
      </c>
      <c r="I23" s="48">
        <v>82600000</v>
      </c>
      <c r="J23" s="167">
        <f>ROUND(((100%+$M$7)*Table30[[#This Row],[قیمت  (ریال)]])*(100%+$M$8),-6)</f>
        <v>99000000</v>
      </c>
      <c r="T23" s="29">
        <v>20</v>
      </c>
    </row>
    <row r="24" spans="1:20">
      <c r="A24" s="47">
        <v>21</v>
      </c>
      <c r="B24" s="47" t="s">
        <v>772</v>
      </c>
      <c r="C24" s="47">
        <v>9901010022</v>
      </c>
      <c r="D24" s="47" t="s">
        <v>1296</v>
      </c>
      <c r="E24" s="47">
        <v>45</v>
      </c>
      <c r="F24" s="47">
        <v>45</v>
      </c>
      <c r="G24" s="47">
        <v>55</v>
      </c>
      <c r="I24" s="48">
        <v>137600000</v>
      </c>
      <c r="J24" s="167">
        <f>ROUND(((100%+$M$7)*Table30[[#This Row],[قیمت  (ریال)]])*(100%+$M$8),-6)</f>
        <v>165000000</v>
      </c>
      <c r="T24" s="29">
        <v>21</v>
      </c>
    </row>
    <row r="25" spans="1:20">
      <c r="A25" s="47">
        <v>22</v>
      </c>
      <c r="B25" s="47" t="s">
        <v>772</v>
      </c>
      <c r="C25" s="47">
        <v>9901010023</v>
      </c>
      <c r="D25" s="47" t="s">
        <v>1297</v>
      </c>
      <c r="E25" s="47">
        <v>45</v>
      </c>
      <c r="F25" s="47">
        <v>45</v>
      </c>
      <c r="G25" s="47">
        <v>50</v>
      </c>
      <c r="I25" s="48">
        <v>137600000</v>
      </c>
      <c r="J25" s="167">
        <f>ROUND(((100%+$M$7)*Table30[[#This Row],[قیمت  (ریال)]])*(100%+$M$8),-6)</f>
        <v>165000000</v>
      </c>
      <c r="T25" s="29">
        <v>22</v>
      </c>
    </row>
    <row r="26" spans="1:20">
      <c r="A26" s="47">
        <v>23</v>
      </c>
      <c r="B26" s="47" t="s">
        <v>772</v>
      </c>
      <c r="C26" s="47">
        <v>9901010024</v>
      </c>
      <c r="D26" s="47" t="s">
        <v>791</v>
      </c>
      <c r="E26" s="47">
        <v>45</v>
      </c>
      <c r="F26" s="47">
        <v>45</v>
      </c>
      <c r="G26" s="47">
        <v>48</v>
      </c>
      <c r="I26" s="48">
        <v>105200000</v>
      </c>
      <c r="J26" s="167">
        <f>ROUND(((100%+$M$7)*Table30[[#This Row],[قیمت  (ریال)]])*(100%+$M$8),-6)</f>
        <v>126000000</v>
      </c>
      <c r="T26" s="29">
        <v>23</v>
      </c>
    </row>
    <row r="27" spans="1:20">
      <c r="A27" s="47">
        <v>24</v>
      </c>
      <c r="B27" s="47" t="s">
        <v>772</v>
      </c>
      <c r="C27" s="47">
        <v>9901010025</v>
      </c>
      <c r="D27" s="47" t="s">
        <v>792</v>
      </c>
      <c r="E27" s="47">
        <v>45</v>
      </c>
      <c r="F27" s="47">
        <v>45</v>
      </c>
      <c r="G27" s="47">
        <v>48</v>
      </c>
      <c r="I27" s="48">
        <v>105200000</v>
      </c>
      <c r="J27" s="167">
        <f>ROUND(((100%+$M$7)*Table30[[#This Row],[قیمت  (ریال)]])*(100%+$M$8),-6)</f>
        <v>126000000</v>
      </c>
      <c r="T27" s="29">
        <v>24</v>
      </c>
    </row>
    <row r="28" spans="1:20">
      <c r="A28" s="47">
        <v>25</v>
      </c>
      <c r="B28" s="47" t="s">
        <v>772</v>
      </c>
      <c r="C28" s="47">
        <v>9901010026</v>
      </c>
      <c r="D28" s="47" t="s">
        <v>793</v>
      </c>
      <c r="E28" s="47">
        <v>45</v>
      </c>
      <c r="F28" s="47">
        <v>45</v>
      </c>
      <c r="G28" s="47">
        <v>52</v>
      </c>
      <c r="I28" s="48">
        <v>105200000</v>
      </c>
      <c r="J28" s="167">
        <f>ROUND(((100%+$M$7)*Table30[[#This Row],[قیمت  (ریال)]])*(100%+$M$8),-6)</f>
        <v>126000000</v>
      </c>
      <c r="T28" s="29">
        <v>25</v>
      </c>
    </row>
    <row r="29" spans="1:20">
      <c r="A29" s="47">
        <v>26</v>
      </c>
      <c r="B29" s="47" t="s">
        <v>772</v>
      </c>
      <c r="C29" s="47">
        <v>9901010027</v>
      </c>
      <c r="D29" s="47" t="s">
        <v>794</v>
      </c>
      <c r="E29" s="47" t="s">
        <v>261</v>
      </c>
      <c r="F29" s="47" t="s">
        <v>261</v>
      </c>
      <c r="G29" s="47" t="s">
        <v>261</v>
      </c>
      <c r="I29" s="48">
        <v>72000000</v>
      </c>
      <c r="J29" s="167">
        <f>ROUND(((100%+$M$7)*Table30[[#This Row],[قیمت  (ریال)]])*(100%+$M$8),-6)</f>
        <v>86000000</v>
      </c>
      <c r="T29" s="29">
        <v>26</v>
      </c>
    </row>
    <row r="30" spans="1:20">
      <c r="A30" s="47">
        <v>27</v>
      </c>
      <c r="B30" s="47" t="s">
        <v>772</v>
      </c>
      <c r="C30" s="47">
        <v>9901010029</v>
      </c>
      <c r="D30" s="47" t="s">
        <v>795</v>
      </c>
      <c r="E30" s="47">
        <v>22</v>
      </c>
      <c r="F30" s="47">
        <v>22</v>
      </c>
      <c r="G30" s="47">
        <v>59</v>
      </c>
      <c r="I30" s="48">
        <v>72000000</v>
      </c>
      <c r="J30" s="167">
        <f>ROUND(((100%+$M$7)*Table30[[#This Row],[قیمت  (ریال)]])*(100%+$M$8),-6)</f>
        <v>86000000</v>
      </c>
      <c r="T30" s="29">
        <v>27</v>
      </c>
    </row>
    <row r="31" spans="1:20">
      <c r="A31" s="47">
        <v>28</v>
      </c>
      <c r="B31" s="47" t="s">
        <v>772</v>
      </c>
      <c r="C31" s="47">
        <v>9901010030</v>
      </c>
      <c r="D31" s="47" t="s">
        <v>796</v>
      </c>
      <c r="E31" s="47">
        <v>35</v>
      </c>
      <c r="F31" s="47">
        <v>35</v>
      </c>
      <c r="G31" s="47">
        <v>39</v>
      </c>
      <c r="I31" s="48">
        <v>102900000</v>
      </c>
      <c r="J31" s="167">
        <f>ROUND(((100%+$M$7)*Table30[[#This Row],[قیمت  (ریال)]])*(100%+$M$8),-6)</f>
        <v>123000000</v>
      </c>
      <c r="T31" s="29">
        <v>28</v>
      </c>
    </row>
    <row r="32" spans="1:20">
      <c r="A32" s="47">
        <v>29</v>
      </c>
      <c r="B32" s="47" t="s">
        <v>772</v>
      </c>
      <c r="C32" s="47">
        <v>9901010031</v>
      </c>
      <c r="D32" s="47" t="s">
        <v>797</v>
      </c>
      <c r="E32" s="47">
        <v>42</v>
      </c>
      <c r="F32" s="47">
        <v>26</v>
      </c>
      <c r="G32" s="47">
        <v>67</v>
      </c>
      <c r="I32" s="48">
        <v>82600000</v>
      </c>
      <c r="J32" s="167">
        <f>ROUND(((100%+$M$7)*Table30[[#This Row],[قیمت  (ریال)]])*(100%+$M$8),-6)</f>
        <v>99000000</v>
      </c>
      <c r="T32" s="29">
        <v>29</v>
      </c>
    </row>
    <row r="33" spans="1:20">
      <c r="A33" s="47">
        <v>30</v>
      </c>
      <c r="B33" s="47" t="s">
        <v>772</v>
      </c>
      <c r="C33" s="47">
        <v>9901010032</v>
      </c>
      <c r="D33" s="47" t="s">
        <v>798</v>
      </c>
      <c r="E33" s="47">
        <v>40</v>
      </c>
      <c r="F33" s="47">
        <v>40</v>
      </c>
      <c r="G33" s="47">
        <v>75</v>
      </c>
      <c r="I33" s="48">
        <v>144000000</v>
      </c>
      <c r="J33" s="167">
        <f>ROUND(((100%+$M$7)*Table30[[#This Row],[قیمت  (ریال)]])*(100%+$M$8),-6)</f>
        <v>173000000</v>
      </c>
      <c r="T33" s="29">
        <v>30</v>
      </c>
    </row>
    <row r="34" spans="1:20">
      <c r="A34" s="47">
        <v>31</v>
      </c>
      <c r="B34" s="47" t="s">
        <v>772</v>
      </c>
      <c r="C34" s="47">
        <v>9901010075</v>
      </c>
      <c r="D34" s="47" t="s">
        <v>799</v>
      </c>
      <c r="E34" s="47">
        <v>30</v>
      </c>
      <c r="F34" s="47">
        <v>20</v>
      </c>
      <c r="G34" s="47">
        <v>60</v>
      </c>
      <c r="I34" s="48">
        <v>118700000</v>
      </c>
      <c r="J34" s="167">
        <f>ROUND(((100%+$M$7)*Table30[[#This Row],[قیمت  (ریال)]])*(100%+$M$8),-6)</f>
        <v>142000000</v>
      </c>
      <c r="T34" s="29">
        <v>31</v>
      </c>
    </row>
    <row r="35" spans="1:20">
      <c r="A35" s="47">
        <v>32</v>
      </c>
      <c r="B35" s="47" t="s">
        <v>772</v>
      </c>
      <c r="C35" s="47">
        <v>9901010076</v>
      </c>
      <c r="D35" s="47" t="s">
        <v>800</v>
      </c>
      <c r="E35" s="47">
        <v>35</v>
      </c>
      <c r="F35" s="47">
        <v>15</v>
      </c>
      <c r="G35" s="47">
        <v>52</v>
      </c>
      <c r="I35" s="48">
        <v>118700000</v>
      </c>
      <c r="J35" s="167">
        <f>ROUND(((100%+$M$7)*Table30[[#This Row],[قیمت  (ریال)]])*(100%+$M$8),-6)</f>
        <v>142000000</v>
      </c>
      <c r="T35" s="29">
        <v>32</v>
      </c>
    </row>
    <row r="36" spans="1:20">
      <c r="A36" s="47">
        <v>33</v>
      </c>
      <c r="B36" s="47" t="s">
        <v>772</v>
      </c>
      <c r="C36" s="47">
        <v>9901010077</v>
      </c>
      <c r="D36" s="47" t="s">
        <v>801</v>
      </c>
      <c r="E36" s="47">
        <v>35</v>
      </c>
      <c r="F36" s="47">
        <v>20</v>
      </c>
      <c r="G36" s="47">
        <v>59</v>
      </c>
      <c r="I36" s="48">
        <v>135200000</v>
      </c>
      <c r="J36" s="167">
        <f>ROUND(((100%+$M$7)*Table30[[#This Row],[قیمت  (ریال)]])*(100%+$M$8),-6)</f>
        <v>162000000</v>
      </c>
      <c r="T36" s="29">
        <v>33</v>
      </c>
    </row>
    <row r="37" spans="1:20">
      <c r="A37" s="47">
        <v>34</v>
      </c>
      <c r="B37" s="47" t="s">
        <v>772</v>
      </c>
      <c r="C37" s="47">
        <v>9901010084</v>
      </c>
      <c r="D37" s="47" t="s">
        <v>802</v>
      </c>
      <c r="E37" s="47">
        <v>30</v>
      </c>
      <c r="F37" s="47">
        <v>20</v>
      </c>
      <c r="G37" s="47">
        <v>60</v>
      </c>
      <c r="I37" s="48">
        <v>117800000</v>
      </c>
      <c r="J37" s="167">
        <f>ROUND(((100%+$M$7)*Table30[[#This Row],[قیمت  (ریال)]])*(100%+$M$8),-6)</f>
        <v>141000000</v>
      </c>
      <c r="T37" s="29">
        <v>34</v>
      </c>
    </row>
    <row r="38" spans="1:20">
      <c r="A38" s="47">
        <v>35</v>
      </c>
      <c r="B38" s="47" t="s">
        <v>772</v>
      </c>
      <c r="C38" s="47">
        <v>9901010085</v>
      </c>
      <c r="D38" s="47" t="s">
        <v>803</v>
      </c>
      <c r="E38" s="47">
        <v>35</v>
      </c>
      <c r="F38" s="47">
        <v>15</v>
      </c>
      <c r="G38" s="47">
        <v>52</v>
      </c>
      <c r="I38" s="48">
        <v>117800000</v>
      </c>
      <c r="J38" s="167">
        <f>ROUND(((100%+$M$7)*Table30[[#This Row],[قیمت  (ریال)]])*(100%+$M$8),-6)</f>
        <v>141000000</v>
      </c>
      <c r="T38" s="29">
        <v>35</v>
      </c>
    </row>
    <row r="39" spans="1:20">
      <c r="A39" s="47">
        <v>36</v>
      </c>
      <c r="B39" s="47" t="s">
        <v>772</v>
      </c>
      <c r="C39" s="47">
        <v>9901010086</v>
      </c>
      <c r="D39" s="47" t="s">
        <v>804</v>
      </c>
      <c r="E39" s="47">
        <v>35</v>
      </c>
      <c r="F39" s="47">
        <v>20</v>
      </c>
      <c r="G39" s="47">
        <v>59</v>
      </c>
      <c r="I39" s="48">
        <v>135200000</v>
      </c>
      <c r="J39" s="167">
        <f>ROUND(((100%+$M$7)*Table30[[#This Row],[قیمت  (ریال)]])*(100%+$M$8),-6)</f>
        <v>162000000</v>
      </c>
      <c r="T39" s="29">
        <v>36</v>
      </c>
    </row>
    <row r="40" spans="1:20">
      <c r="A40" s="47">
        <v>37</v>
      </c>
      <c r="B40" s="47" t="s">
        <v>772</v>
      </c>
      <c r="C40" s="47">
        <v>9901010087</v>
      </c>
      <c r="D40" s="47" t="s">
        <v>805</v>
      </c>
      <c r="E40" s="47">
        <v>30</v>
      </c>
      <c r="F40" s="47">
        <v>20</v>
      </c>
      <c r="G40" s="47">
        <v>60</v>
      </c>
      <c r="I40" s="48">
        <v>117200000</v>
      </c>
      <c r="J40" s="167">
        <f>ROUND(((100%+$M$7)*Table30[[#This Row],[قیمت  (ریال)]])*(100%+$M$8),-6)</f>
        <v>141000000</v>
      </c>
      <c r="T40" s="29">
        <v>37</v>
      </c>
    </row>
    <row r="41" spans="1:20">
      <c r="A41" s="47">
        <v>38</v>
      </c>
      <c r="B41" s="47" t="s">
        <v>772</v>
      </c>
      <c r="C41" s="47">
        <v>9901010088</v>
      </c>
      <c r="D41" s="47" t="s">
        <v>806</v>
      </c>
      <c r="E41" s="47">
        <v>35</v>
      </c>
      <c r="F41" s="47">
        <v>15</v>
      </c>
      <c r="G41" s="47">
        <v>52</v>
      </c>
      <c r="I41" s="48">
        <v>117200000</v>
      </c>
      <c r="J41" s="167">
        <f>ROUND(((100%+$M$7)*Table30[[#This Row],[قیمت  (ریال)]])*(100%+$M$8),-6)</f>
        <v>141000000</v>
      </c>
      <c r="T41" s="29">
        <v>38</v>
      </c>
    </row>
    <row r="42" spans="1:20">
      <c r="A42" s="47">
        <v>39</v>
      </c>
      <c r="B42" s="47" t="s">
        <v>772</v>
      </c>
      <c r="C42" s="47">
        <v>9901010089</v>
      </c>
      <c r="D42" s="47" t="s">
        <v>807</v>
      </c>
      <c r="E42" s="47">
        <v>35</v>
      </c>
      <c r="F42" s="47">
        <v>20</v>
      </c>
      <c r="G42" s="47">
        <v>59</v>
      </c>
      <c r="I42" s="48">
        <v>135200000</v>
      </c>
      <c r="J42" s="167">
        <f>ROUND(((100%+$M$7)*Table30[[#This Row],[قیمت  (ریال)]])*(100%+$M$8),-6)</f>
        <v>162000000</v>
      </c>
      <c r="T42" s="29">
        <v>39</v>
      </c>
    </row>
    <row r="43" spans="1:20">
      <c r="A43" s="47">
        <v>40</v>
      </c>
      <c r="B43" s="47" t="s">
        <v>772</v>
      </c>
      <c r="C43" s="47">
        <v>9901010090</v>
      </c>
      <c r="D43" s="47" t="s">
        <v>808</v>
      </c>
      <c r="E43" s="47">
        <v>30</v>
      </c>
      <c r="F43" s="47">
        <v>20</v>
      </c>
      <c r="G43" s="47">
        <v>60</v>
      </c>
      <c r="I43" s="48">
        <v>117200000</v>
      </c>
      <c r="J43" s="167">
        <f>ROUND(((100%+$M$7)*Table30[[#This Row],[قیمت  (ریال)]])*(100%+$M$8),-6)</f>
        <v>141000000</v>
      </c>
      <c r="T43" s="29">
        <v>40</v>
      </c>
    </row>
    <row r="44" spans="1:20">
      <c r="A44" s="47">
        <v>41</v>
      </c>
      <c r="B44" s="47" t="s">
        <v>772</v>
      </c>
      <c r="C44" s="47">
        <v>9901010091</v>
      </c>
      <c r="D44" s="47" t="s">
        <v>809</v>
      </c>
      <c r="E44" s="47">
        <v>35</v>
      </c>
      <c r="F44" s="47">
        <v>15</v>
      </c>
      <c r="G44" s="47">
        <v>52</v>
      </c>
      <c r="I44" s="48">
        <v>117200000</v>
      </c>
      <c r="J44" s="167">
        <f>ROUND(((100%+$M$7)*Table30[[#This Row],[قیمت  (ریال)]])*(100%+$M$8),-6)</f>
        <v>141000000</v>
      </c>
      <c r="T44" s="29">
        <v>41</v>
      </c>
    </row>
    <row r="45" spans="1:20">
      <c r="A45" s="47">
        <v>42</v>
      </c>
      <c r="B45" s="47" t="s">
        <v>772</v>
      </c>
      <c r="C45" s="47">
        <v>9901010092</v>
      </c>
      <c r="D45" s="47" t="s">
        <v>810</v>
      </c>
      <c r="E45" s="47">
        <v>35</v>
      </c>
      <c r="F45" s="47">
        <v>20</v>
      </c>
      <c r="G45" s="47">
        <v>59</v>
      </c>
      <c r="I45" s="48">
        <v>135200000</v>
      </c>
      <c r="J45" s="167">
        <f>ROUND(((100%+$M$7)*Table30[[#This Row],[قیمت  (ریال)]])*(100%+$M$8),-6)</f>
        <v>162000000</v>
      </c>
      <c r="T45" s="29">
        <v>42</v>
      </c>
    </row>
    <row r="46" spans="1:20">
      <c r="A46" s="47">
        <v>43</v>
      </c>
      <c r="B46" s="47" t="s">
        <v>772</v>
      </c>
      <c r="C46" s="47">
        <v>9901010093</v>
      </c>
      <c r="D46" s="47" t="s">
        <v>811</v>
      </c>
      <c r="E46" s="47">
        <v>40</v>
      </c>
      <c r="F46" s="47">
        <v>40</v>
      </c>
      <c r="G46" s="47">
        <v>67</v>
      </c>
      <c r="I46" s="48">
        <v>109700000</v>
      </c>
      <c r="J46" s="167">
        <f>ROUND(((100%+$M$7)*Table30[[#This Row],[قیمت  (ریال)]])*(100%+$M$8),-6)</f>
        <v>132000000</v>
      </c>
      <c r="T46" s="29">
        <v>43</v>
      </c>
    </row>
    <row r="47" spans="1:20">
      <c r="A47" s="47">
        <v>44</v>
      </c>
      <c r="B47" s="47" t="s">
        <v>772</v>
      </c>
      <c r="C47" s="47">
        <v>9901010094</v>
      </c>
      <c r="D47" s="47" t="s">
        <v>812</v>
      </c>
      <c r="E47" s="47">
        <v>40</v>
      </c>
      <c r="F47" s="47">
        <v>40</v>
      </c>
      <c r="G47" s="47">
        <v>62</v>
      </c>
      <c r="I47" s="48">
        <v>109700000</v>
      </c>
      <c r="J47" s="167">
        <f>ROUND(((100%+$M$7)*Table30[[#This Row],[قیمت  (ریال)]])*(100%+$M$8),-6)</f>
        <v>132000000</v>
      </c>
      <c r="T47" s="29">
        <v>44</v>
      </c>
    </row>
    <row r="48" spans="1:20">
      <c r="A48" s="47">
        <v>45</v>
      </c>
      <c r="B48" s="47" t="s">
        <v>772</v>
      </c>
      <c r="C48" s="47">
        <v>9901010095</v>
      </c>
      <c r="D48" s="47" t="s">
        <v>813</v>
      </c>
      <c r="E48" s="47">
        <v>22</v>
      </c>
      <c r="F48" s="47">
        <v>22</v>
      </c>
      <c r="G48" s="47">
        <v>42</v>
      </c>
      <c r="I48" s="48">
        <v>72000000</v>
      </c>
      <c r="J48" s="167">
        <f>ROUND(((100%+$M$7)*Table30[[#This Row],[قیمت  (ریال)]])*(100%+$M$8),-6)</f>
        <v>86000000</v>
      </c>
      <c r="T48" s="29">
        <v>45</v>
      </c>
    </row>
    <row r="49" spans="1:20">
      <c r="A49" s="47">
        <v>46</v>
      </c>
      <c r="B49" s="47" t="s">
        <v>772</v>
      </c>
      <c r="C49" s="47">
        <v>9901010096</v>
      </c>
      <c r="D49" s="47" t="s">
        <v>814</v>
      </c>
      <c r="E49" s="47">
        <v>25</v>
      </c>
      <c r="F49" s="47">
        <v>25</v>
      </c>
      <c r="G49" s="47">
        <v>51</v>
      </c>
      <c r="I49" s="48">
        <v>81000000</v>
      </c>
      <c r="J49" s="167">
        <f>ROUND(((100%+$M$7)*Table30[[#This Row],[قیمت  (ریال)]])*(100%+$M$8),-6)</f>
        <v>97000000</v>
      </c>
      <c r="T49" s="29">
        <v>46</v>
      </c>
    </row>
    <row r="50" spans="1:20">
      <c r="A50" s="47">
        <v>47</v>
      </c>
      <c r="B50" s="47" t="s">
        <v>772</v>
      </c>
      <c r="C50" s="47">
        <v>9901010097</v>
      </c>
      <c r="D50" s="47" t="s">
        <v>815</v>
      </c>
      <c r="E50" s="47">
        <v>35</v>
      </c>
      <c r="F50" s="47">
        <v>35</v>
      </c>
      <c r="G50" s="47">
        <v>75</v>
      </c>
      <c r="I50" s="48">
        <v>106700000</v>
      </c>
      <c r="J50" s="167">
        <f>ROUND(((100%+$M$7)*Table30[[#This Row],[قیمت  (ریال)]])*(100%+$M$8),-6)</f>
        <v>128000000</v>
      </c>
      <c r="T50" s="29">
        <v>47</v>
      </c>
    </row>
    <row r="51" spans="1:20">
      <c r="A51" s="47">
        <v>48</v>
      </c>
      <c r="B51" s="47" t="s">
        <v>772</v>
      </c>
      <c r="C51" s="47">
        <v>9901010098</v>
      </c>
      <c r="D51" s="47" t="s">
        <v>816</v>
      </c>
      <c r="E51" s="47">
        <v>26</v>
      </c>
      <c r="F51" s="47">
        <v>26</v>
      </c>
      <c r="G51" s="47">
        <v>54</v>
      </c>
      <c r="I51" s="48">
        <v>135200000</v>
      </c>
      <c r="J51" s="167">
        <f>ROUND(((100%+$M$7)*Table30[[#This Row],[قیمت  (ریال)]])*(100%+$M$8),-6)</f>
        <v>162000000</v>
      </c>
      <c r="T51" s="29">
        <v>48</v>
      </c>
    </row>
    <row r="52" spans="1:20">
      <c r="A52" s="47">
        <v>49</v>
      </c>
      <c r="B52" s="47" t="s">
        <v>772</v>
      </c>
      <c r="C52" s="47">
        <v>9901010099</v>
      </c>
      <c r="D52" s="47" t="s">
        <v>817</v>
      </c>
      <c r="E52" s="47">
        <v>26</v>
      </c>
      <c r="F52" s="47">
        <v>26</v>
      </c>
      <c r="G52" s="47">
        <v>54</v>
      </c>
      <c r="I52" s="48">
        <v>135200000</v>
      </c>
      <c r="J52" s="167">
        <f>ROUND(((100%+$M$7)*Table30[[#This Row],[قیمت  (ریال)]])*(100%+$M$8),-6)</f>
        <v>162000000</v>
      </c>
      <c r="T52" s="29">
        <v>49</v>
      </c>
    </row>
    <row r="53" spans="1:20">
      <c r="A53" s="47">
        <v>50</v>
      </c>
      <c r="B53" s="47" t="s">
        <v>772</v>
      </c>
      <c r="C53" s="47">
        <v>9901010100</v>
      </c>
      <c r="D53" s="47" t="s">
        <v>818</v>
      </c>
      <c r="E53" s="47">
        <v>26</v>
      </c>
      <c r="F53" s="47">
        <v>26</v>
      </c>
      <c r="G53" s="47">
        <v>54</v>
      </c>
      <c r="I53" s="48">
        <v>135200000</v>
      </c>
      <c r="J53" s="167">
        <f>ROUND(((100%+$M$7)*Table30[[#This Row],[قیمت  (ریال)]])*(100%+$M$8),-6)</f>
        <v>162000000</v>
      </c>
      <c r="T53" s="29">
        <v>50</v>
      </c>
    </row>
    <row r="54" spans="1:20">
      <c r="A54" s="47">
        <v>51</v>
      </c>
      <c r="B54" s="47" t="s">
        <v>772</v>
      </c>
      <c r="C54" s="47">
        <v>9901010120</v>
      </c>
      <c r="D54" s="47" t="s">
        <v>819</v>
      </c>
      <c r="E54" s="47">
        <v>35</v>
      </c>
      <c r="F54" s="47">
        <v>35</v>
      </c>
      <c r="G54" s="47">
        <v>55</v>
      </c>
      <c r="I54" s="48">
        <v>103700000</v>
      </c>
      <c r="J54" s="167">
        <f>ROUND(((100%+$M$7)*Table30[[#This Row],[قیمت  (ریال)]])*(100%+$M$8),-6)</f>
        <v>124000000</v>
      </c>
      <c r="T54" s="29">
        <v>51</v>
      </c>
    </row>
    <row r="55" spans="1:20">
      <c r="A55" s="47">
        <v>52</v>
      </c>
      <c r="B55" s="47" t="s">
        <v>772</v>
      </c>
      <c r="C55" s="47">
        <v>9901010121</v>
      </c>
      <c r="D55" s="47" t="s">
        <v>1298</v>
      </c>
      <c r="E55" s="47">
        <v>35</v>
      </c>
      <c r="F55" s="47">
        <v>35</v>
      </c>
      <c r="G55" s="47">
        <v>60</v>
      </c>
      <c r="I55" s="48">
        <v>135800000</v>
      </c>
      <c r="J55" s="167">
        <f>ROUND(((100%+$M$7)*Table30[[#This Row],[قیمت  (ریال)]])*(100%+$M$8),-6)</f>
        <v>163000000</v>
      </c>
      <c r="T55" s="29">
        <v>52</v>
      </c>
    </row>
    <row r="56" spans="1:20">
      <c r="A56" s="47">
        <v>53</v>
      </c>
      <c r="B56" s="47" t="s">
        <v>772</v>
      </c>
      <c r="C56" s="47">
        <v>9901010135</v>
      </c>
      <c r="D56" s="47" t="s">
        <v>820</v>
      </c>
      <c r="E56" s="47">
        <v>26</v>
      </c>
      <c r="F56" s="47">
        <v>26</v>
      </c>
      <c r="G56" s="47">
        <v>54</v>
      </c>
      <c r="I56" s="48">
        <v>135200000</v>
      </c>
      <c r="J56" s="167">
        <f>ROUND(((100%+$M$7)*Table30[[#This Row],[قیمت  (ریال)]])*(100%+$M$8),-6)</f>
        <v>162000000</v>
      </c>
      <c r="T56" s="29">
        <v>53</v>
      </c>
    </row>
    <row r="57" spans="1:20">
      <c r="A57" s="47">
        <v>54</v>
      </c>
      <c r="B57" s="47" t="s">
        <v>772</v>
      </c>
      <c r="C57" s="47">
        <v>9901010137</v>
      </c>
      <c r="D57" s="47" t="s">
        <v>821</v>
      </c>
      <c r="E57" s="47">
        <v>40</v>
      </c>
      <c r="F57" s="47">
        <v>40</v>
      </c>
      <c r="G57" s="47">
        <v>64</v>
      </c>
      <c r="I57" s="48">
        <v>184800000</v>
      </c>
      <c r="J57" s="167">
        <f>ROUND(((100%+$M$7)*Table30[[#This Row],[قیمت  (ریال)]])*(100%+$M$8),-6)</f>
        <v>222000000</v>
      </c>
      <c r="T57" s="29">
        <v>54</v>
      </c>
    </row>
    <row r="58" spans="1:20">
      <c r="A58" s="47">
        <v>55</v>
      </c>
      <c r="B58" s="47" t="s">
        <v>772</v>
      </c>
      <c r="C58" s="47">
        <v>9901010138</v>
      </c>
      <c r="D58" s="47" t="s">
        <v>822</v>
      </c>
      <c r="E58" s="47">
        <v>35</v>
      </c>
      <c r="F58" s="47">
        <v>35</v>
      </c>
      <c r="G58" s="47">
        <v>68</v>
      </c>
      <c r="I58" s="48">
        <v>198200000</v>
      </c>
      <c r="J58" s="167">
        <f>ROUND(((100%+$M$7)*Table30[[#This Row],[قیمت  (ریال)]])*(100%+$M$8),-6)</f>
        <v>238000000</v>
      </c>
      <c r="T58" s="29">
        <v>55</v>
      </c>
    </row>
    <row r="59" spans="1:20">
      <c r="A59" s="47">
        <v>56</v>
      </c>
      <c r="B59" s="47" t="s">
        <v>772</v>
      </c>
      <c r="C59" s="47">
        <v>9901010139</v>
      </c>
      <c r="D59" s="47" t="s">
        <v>823</v>
      </c>
      <c r="E59" s="47">
        <v>34</v>
      </c>
      <c r="F59" s="47">
        <v>34</v>
      </c>
      <c r="G59" s="47">
        <v>68</v>
      </c>
      <c r="I59" s="48">
        <v>174000000</v>
      </c>
      <c r="J59" s="167">
        <f>ROUND(((100%+$M$7)*Table30[[#This Row],[قیمت  (ریال)]])*(100%+$M$8),-6)</f>
        <v>209000000</v>
      </c>
      <c r="T59" s="29">
        <v>56</v>
      </c>
    </row>
    <row r="60" spans="1:20">
      <c r="A60" s="47">
        <v>57</v>
      </c>
      <c r="B60" s="47" t="s">
        <v>772</v>
      </c>
      <c r="C60" s="47">
        <v>9901010142</v>
      </c>
      <c r="D60" s="47" t="s">
        <v>824</v>
      </c>
      <c r="E60" s="47">
        <v>30</v>
      </c>
      <c r="F60" s="47">
        <v>30</v>
      </c>
      <c r="G60" s="47">
        <v>53</v>
      </c>
      <c r="I60" s="48">
        <v>112600000</v>
      </c>
      <c r="J60" s="167">
        <f>ROUND(((100%+$M$7)*Table30[[#This Row],[قیمت  (ریال)]])*(100%+$M$8),-6)</f>
        <v>135000000</v>
      </c>
      <c r="T60" s="29">
        <v>57</v>
      </c>
    </row>
    <row r="61" spans="1:20">
      <c r="A61" s="47">
        <v>58</v>
      </c>
      <c r="B61" s="47" t="s">
        <v>772</v>
      </c>
      <c r="C61" s="47">
        <v>9901010151</v>
      </c>
      <c r="D61" s="47" t="s">
        <v>825</v>
      </c>
      <c r="E61" s="47" t="s">
        <v>261</v>
      </c>
      <c r="F61" s="47" t="s">
        <v>261</v>
      </c>
      <c r="G61" s="47" t="s">
        <v>261</v>
      </c>
      <c r="I61" s="48">
        <v>258300000</v>
      </c>
      <c r="J61" s="167">
        <f>ROUND(((100%+$M$7)*Table30[[#This Row],[قیمت  (ریال)]])*(100%+$M$8),-6)</f>
        <v>310000000</v>
      </c>
      <c r="T61" s="29">
        <v>58</v>
      </c>
    </row>
    <row r="62" spans="1:20">
      <c r="A62" s="47">
        <v>59</v>
      </c>
      <c r="B62" s="47" t="s">
        <v>772</v>
      </c>
      <c r="C62" s="47">
        <v>9901010169</v>
      </c>
      <c r="D62" s="47" t="s">
        <v>1299</v>
      </c>
      <c r="E62" s="47">
        <v>40</v>
      </c>
      <c r="F62" s="47">
        <v>40</v>
      </c>
      <c r="G62" s="47">
        <v>52</v>
      </c>
      <c r="I62" s="48">
        <v>137600000</v>
      </c>
      <c r="J62" s="167">
        <f>ROUND(((100%+$M$7)*Table30[[#This Row],[قیمت  (ریال)]])*(100%+$M$8),-6)</f>
        <v>165000000</v>
      </c>
      <c r="T62" s="29">
        <v>59</v>
      </c>
    </row>
    <row r="63" spans="1:20">
      <c r="A63" s="47">
        <v>60</v>
      </c>
      <c r="B63" s="47" t="s">
        <v>772</v>
      </c>
      <c r="C63" s="47">
        <v>9901010176</v>
      </c>
      <c r="D63" s="47" t="s">
        <v>826</v>
      </c>
      <c r="E63" s="47" t="s">
        <v>261</v>
      </c>
      <c r="F63" s="47" t="s">
        <v>261</v>
      </c>
      <c r="G63" s="47" t="s">
        <v>261</v>
      </c>
      <c r="I63" s="48">
        <v>93000000</v>
      </c>
      <c r="J63" s="167">
        <f>ROUND(((100%+$M$7)*Table30[[#This Row],[قیمت  (ریال)]])*(100%+$M$8),-6)</f>
        <v>112000000</v>
      </c>
      <c r="T63" s="29">
        <v>60</v>
      </c>
    </row>
    <row r="64" spans="1:20">
      <c r="A64" s="47">
        <v>61</v>
      </c>
      <c r="B64" s="47" t="s">
        <v>772</v>
      </c>
      <c r="C64" s="47">
        <v>9901010177</v>
      </c>
      <c r="D64" s="47" t="s">
        <v>827</v>
      </c>
      <c r="E64" s="47" t="s">
        <v>261</v>
      </c>
      <c r="F64" s="47" t="s">
        <v>261</v>
      </c>
      <c r="G64" s="47" t="s">
        <v>261</v>
      </c>
      <c r="I64" s="48">
        <v>93000000</v>
      </c>
      <c r="J64" s="167">
        <f>ROUND(((100%+$M$7)*Table30[[#This Row],[قیمت  (ریال)]])*(100%+$M$8),-6)</f>
        <v>112000000</v>
      </c>
      <c r="T64" s="29">
        <v>61</v>
      </c>
    </row>
    <row r="65" spans="1:20">
      <c r="A65" s="47">
        <v>62</v>
      </c>
      <c r="B65" s="47" t="s">
        <v>772</v>
      </c>
      <c r="C65" s="47">
        <v>9901010187</v>
      </c>
      <c r="D65" s="47" t="s">
        <v>828</v>
      </c>
      <c r="E65" s="47" t="s">
        <v>261</v>
      </c>
      <c r="F65" s="47" t="s">
        <v>261</v>
      </c>
      <c r="G65" s="47" t="s">
        <v>261</v>
      </c>
      <c r="I65" s="48">
        <v>105200000</v>
      </c>
      <c r="J65" s="167">
        <f>ROUND(((100%+$M$7)*Table30[[#This Row],[قیمت  (ریال)]])*(100%+$M$8),-6)</f>
        <v>126000000</v>
      </c>
      <c r="T65" s="29">
        <v>62</v>
      </c>
    </row>
    <row r="66" spans="1:20">
      <c r="A66" s="47">
        <v>63</v>
      </c>
      <c r="B66" s="47" t="s">
        <v>772</v>
      </c>
      <c r="C66" s="47">
        <v>9901010191</v>
      </c>
      <c r="D66" s="47" t="s">
        <v>1300</v>
      </c>
      <c r="E66" s="47" t="s">
        <v>261</v>
      </c>
      <c r="I66" s="48">
        <v>177000000</v>
      </c>
      <c r="J66" s="167">
        <f>ROUND(((100%+$M$7)*Table30[[#This Row],[قیمت  (ریال)]])*(100%+$M$8),-6)</f>
        <v>212000000</v>
      </c>
      <c r="T66" s="29">
        <v>63</v>
      </c>
    </row>
    <row r="67" spans="1:20">
      <c r="A67" s="47">
        <v>64</v>
      </c>
      <c r="B67" s="47" t="s">
        <v>772</v>
      </c>
      <c r="C67" s="47">
        <v>9901010193</v>
      </c>
      <c r="D67" s="47" t="s">
        <v>829</v>
      </c>
      <c r="I67" s="48">
        <v>135200000</v>
      </c>
      <c r="J67" s="167">
        <f>ROUND(((100%+$M$7)*Table30[[#This Row],[قیمت  (ریال)]])*(100%+$M$8),-6)</f>
        <v>162000000</v>
      </c>
      <c r="T67" s="29">
        <v>64</v>
      </c>
    </row>
    <row r="68" spans="1:20">
      <c r="A68" s="47">
        <v>65</v>
      </c>
      <c r="B68" s="47" t="s">
        <v>772</v>
      </c>
      <c r="C68" s="47">
        <v>9901010196</v>
      </c>
      <c r="D68" s="47" t="s">
        <v>1301</v>
      </c>
      <c r="E68" s="47" t="s">
        <v>261</v>
      </c>
      <c r="F68" s="47" t="s">
        <v>261</v>
      </c>
      <c r="G68" s="47" t="s">
        <v>261</v>
      </c>
      <c r="I68" s="48">
        <v>295000000</v>
      </c>
      <c r="J68" s="167">
        <f>ROUND(((100%+$M$7)*Table30[[#This Row],[قیمت  (ریال)]])*(100%+$M$8),-6)</f>
        <v>354000000</v>
      </c>
      <c r="T68" s="29">
        <v>65</v>
      </c>
    </row>
    <row r="69" spans="1:20">
      <c r="A69" s="47">
        <v>66</v>
      </c>
      <c r="B69" s="47" t="s">
        <v>772</v>
      </c>
      <c r="C69" s="47">
        <v>9901010198</v>
      </c>
      <c r="D69" s="47" t="s">
        <v>1302</v>
      </c>
      <c r="E69" s="47" t="s">
        <v>261</v>
      </c>
      <c r="F69" s="47" t="s">
        <v>261</v>
      </c>
      <c r="G69" s="47" t="s">
        <v>261</v>
      </c>
      <c r="I69" s="48">
        <v>141600000</v>
      </c>
      <c r="J69" s="167">
        <f>ROUND(((100%+$M$7)*Table30[[#This Row],[قیمت  (ریال)]])*(100%+$M$8),-6)</f>
        <v>170000000</v>
      </c>
      <c r="T69" s="29">
        <v>66</v>
      </c>
    </row>
    <row r="70" spans="1:20">
      <c r="A70" s="47">
        <v>67</v>
      </c>
      <c r="B70" s="47" t="s">
        <v>772</v>
      </c>
      <c r="C70" s="47">
        <v>9901010200</v>
      </c>
      <c r="D70" s="47" t="s">
        <v>830</v>
      </c>
      <c r="E70" s="47" t="s">
        <v>261</v>
      </c>
      <c r="F70" s="47" t="s">
        <v>261</v>
      </c>
      <c r="G70" s="47" t="s">
        <v>261</v>
      </c>
      <c r="I70" s="48">
        <v>112600000</v>
      </c>
      <c r="J70" s="167">
        <f>ROUND(((100%+$M$7)*Table30[[#This Row],[قیمت  (ریال)]])*(100%+$M$8),-6)</f>
        <v>135000000</v>
      </c>
      <c r="T70" s="29">
        <v>67</v>
      </c>
    </row>
    <row r="71" spans="1:20">
      <c r="A71" s="47">
        <v>68</v>
      </c>
      <c r="B71" s="47" t="s">
        <v>772</v>
      </c>
      <c r="C71" s="47">
        <v>9901010201</v>
      </c>
      <c r="D71" s="47" t="s">
        <v>831</v>
      </c>
      <c r="I71" s="48">
        <v>108000000</v>
      </c>
      <c r="J71" s="167">
        <f>ROUND(((100%+$M$7)*Table30[[#This Row],[قیمت  (ریال)]])*(100%+$M$8),-6)</f>
        <v>130000000</v>
      </c>
      <c r="T71" s="29">
        <v>68</v>
      </c>
    </row>
    <row r="72" spans="1:20">
      <c r="A72" s="47">
        <v>69</v>
      </c>
      <c r="B72" s="47" t="s">
        <v>772</v>
      </c>
      <c r="C72" s="47">
        <v>9901010210</v>
      </c>
      <c r="D72" s="47" t="s">
        <v>832</v>
      </c>
      <c r="I72" s="48">
        <v>105200000</v>
      </c>
      <c r="J72" s="167">
        <f>ROUND(((100%+$M$7)*Table30[[#This Row],[قیمت  (ریال)]])*(100%+$M$8),-6)</f>
        <v>126000000</v>
      </c>
      <c r="T72" s="29">
        <v>69</v>
      </c>
    </row>
    <row r="73" spans="1:20">
      <c r="J73" s="167"/>
    </row>
    <row r="74" spans="1:20">
      <c r="J74" s="167"/>
    </row>
    <row r="75" spans="1:20">
      <c r="J75" s="167"/>
    </row>
    <row r="76" spans="1:20">
      <c r="J76" s="167"/>
    </row>
    <row r="77" spans="1:20">
      <c r="J77" s="167"/>
    </row>
    <row r="78" spans="1:20">
      <c r="J78" s="167"/>
    </row>
    <row r="79" spans="1:20">
      <c r="J79" s="167"/>
    </row>
    <row r="80" spans="1:20">
      <c r="J80" s="167"/>
    </row>
    <row r="81" spans="1:20">
      <c r="J81" s="167"/>
    </row>
    <row r="82" spans="1:20">
      <c r="J82" s="167"/>
    </row>
    <row r="83" spans="1:20">
      <c r="J83" s="167"/>
    </row>
    <row r="84" spans="1:20">
      <c r="J84" s="167"/>
    </row>
    <row r="85" spans="1:20">
      <c r="J85" s="167"/>
    </row>
    <row r="86" spans="1:20">
      <c r="J86" s="167"/>
    </row>
    <row r="87" spans="1:20" ht="19.5" thickBot="1">
      <c r="J87" s="168"/>
    </row>
    <row r="88" spans="1:20">
      <c r="J88" s="168"/>
      <c r="L88" s="120" t="s">
        <v>777</v>
      </c>
      <c r="M88" s="121">
        <v>0.2</v>
      </c>
    </row>
    <row r="89" spans="1:20" ht="19.5" thickBot="1">
      <c r="A89" s="50" t="s">
        <v>0</v>
      </c>
      <c r="B89" s="50" t="s">
        <v>530</v>
      </c>
      <c r="C89" s="50" t="s">
        <v>1</v>
      </c>
      <c r="D89" s="50" t="s">
        <v>448</v>
      </c>
      <c r="E89" s="50" t="s">
        <v>767</v>
      </c>
      <c r="F89" s="50" t="s">
        <v>768</v>
      </c>
      <c r="G89" s="50" t="s">
        <v>769</v>
      </c>
      <c r="H89" s="50" t="s">
        <v>770</v>
      </c>
      <c r="I89" s="51" t="s">
        <v>251</v>
      </c>
      <c r="J89" s="166" t="s">
        <v>431</v>
      </c>
      <c r="L89" s="122" t="s">
        <v>779</v>
      </c>
      <c r="M89" s="123">
        <v>0</v>
      </c>
    </row>
    <row r="90" spans="1:20">
      <c r="A90" s="47">
        <v>1</v>
      </c>
      <c r="B90" s="47" t="s">
        <v>833</v>
      </c>
      <c r="C90" s="47">
        <v>9901010068</v>
      </c>
      <c r="D90" s="47" t="s">
        <v>834</v>
      </c>
      <c r="E90" s="47">
        <v>65</v>
      </c>
      <c r="F90" s="47">
        <v>22</v>
      </c>
      <c r="G90" s="47">
        <v>165</v>
      </c>
      <c r="I90" s="48">
        <v>247800000</v>
      </c>
      <c r="J90" s="167">
        <f>ROUND(((100%+$M$88)*Table3331[[#This Row],[قیمت (ریال)]])*(100%+$M$89),-6)</f>
        <v>297000000</v>
      </c>
      <c r="T90" s="29">
        <v>70</v>
      </c>
    </row>
    <row r="91" spans="1:20">
      <c r="A91" s="47">
        <v>2</v>
      </c>
      <c r="B91" s="47" t="s">
        <v>833</v>
      </c>
      <c r="C91" s="47">
        <v>9901010069</v>
      </c>
      <c r="D91" s="47" t="s">
        <v>1303</v>
      </c>
      <c r="E91" s="47">
        <v>21</v>
      </c>
      <c r="F91" s="47">
        <v>14</v>
      </c>
      <c r="G91" s="47">
        <v>160</v>
      </c>
      <c r="I91" s="48">
        <v>298800000</v>
      </c>
      <c r="J91" s="167">
        <f>ROUND(((100%+$M$88)*Table3331[[#This Row],[قیمت (ریال)]])*(100%+$M$89),-6)</f>
        <v>359000000</v>
      </c>
      <c r="T91" s="29">
        <v>71</v>
      </c>
    </row>
    <row r="92" spans="1:20">
      <c r="A92" s="47">
        <v>3</v>
      </c>
      <c r="B92" s="47" t="s">
        <v>833</v>
      </c>
      <c r="C92" s="47">
        <v>9901010070</v>
      </c>
      <c r="D92" s="47" t="s">
        <v>835</v>
      </c>
      <c r="E92" s="47">
        <v>18.5</v>
      </c>
      <c r="F92" s="47">
        <v>12</v>
      </c>
      <c r="G92" s="47">
        <v>78</v>
      </c>
      <c r="I92" s="48">
        <v>247800000</v>
      </c>
      <c r="J92" s="167">
        <f>ROUND(((100%+$M$88)*Table3331[[#This Row],[قیمت (ریال)]])*(100%+$M$89),-6)</f>
        <v>297000000</v>
      </c>
      <c r="T92" s="29">
        <v>72</v>
      </c>
    </row>
    <row r="93" spans="1:20">
      <c r="A93" s="47">
        <v>4</v>
      </c>
      <c r="B93" s="47" t="s">
        <v>833</v>
      </c>
      <c r="C93" s="47">
        <v>9901010117</v>
      </c>
      <c r="D93" s="47" t="s">
        <v>1304</v>
      </c>
      <c r="E93" s="47">
        <v>46</v>
      </c>
      <c r="F93" s="47">
        <v>15</v>
      </c>
      <c r="G93" s="47">
        <v>150</v>
      </c>
      <c r="I93" s="48">
        <v>460000000</v>
      </c>
      <c r="J93" s="167">
        <f>ROUND(((100%+$M$88)*Table3331[[#This Row],[قیمت (ریال)]])*(100%+$M$89),-6)</f>
        <v>552000000</v>
      </c>
      <c r="T93" s="29">
        <v>73</v>
      </c>
    </row>
    <row r="94" spans="1:20">
      <c r="A94" s="47">
        <v>5</v>
      </c>
      <c r="B94" s="47" t="s">
        <v>833</v>
      </c>
      <c r="C94" s="47">
        <v>9901010140</v>
      </c>
      <c r="D94" s="47" t="s">
        <v>836</v>
      </c>
      <c r="E94" s="47">
        <v>46</v>
      </c>
      <c r="F94" s="47">
        <v>46</v>
      </c>
      <c r="G94" s="47">
        <v>122</v>
      </c>
      <c r="I94" s="48">
        <v>277900000</v>
      </c>
      <c r="J94" s="167">
        <f>ROUND(((100%+$M$88)*Table3331[[#This Row],[قیمت (ریال)]])*(100%+$M$89),-6)</f>
        <v>333000000</v>
      </c>
      <c r="T94" s="29">
        <v>74</v>
      </c>
    </row>
    <row r="95" spans="1:20">
      <c r="A95" s="47">
        <v>6</v>
      </c>
      <c r="B95" s="47" t="s">
        <v>833</v>
      </c>
      <c r="C95" s="47">
        <v>9901010159</v>
      </c>
      <c r="D95" s="47" t="s">
        <v>837</v>
      </c>
      <c r="E95" s="47" t="s">
        <v>261</v>
      </c>
      <c r="F95" s="47" t="s">
        <v>261</v>
      </c>
      <c r="G95" s="47" t="s">
        <v>261</v>
      </c>
      <c r="I95" s="48">
        <v>247800000</v>
      </c>
      <c r="J95" s="167">
        <f>ROUND(((100%+$M$88)*Table3331[[#This Row],[قیمت (ریال)]])*(100%+$M$89),-6)</f>
        <v>297000000</v>
      </c>
      <c r="T95" s="29">
        <v>75</v>
      </c>
    </row>
    <row r="96" spans="1:20">
      <c r="A96" s="47">
        <v>7</v>
      </c>
      <c r="B96" s="47" t="s">
        <v>833</v>
      </c>
      <c r="C96" s="47">
        <v>9901010192</v>
      </c>
      <c r="D96" s="47" t="s">
        <v>1305</v>
      </c>
      <c r="E96" s="47" t="s">
        <v>261</v>
      </c>
      <c r="F96" s="47" t="s">
        <v>261</v>
      </c>
      <c r="G96" s="47" t="s">
        <v>261</v>
      </c>
      <c r="I96" s="48">
        <v>271200000</v>
      </c>
      <c r="J96" s="167">
        <f>ROUND(((100%+$M$88)*Table3331[[#This Row],[قیمت (ریال)]])*(100%+$M$89),-6)</f>
        <v>325000000</v>
      </c>
      <c r="T96" s="29">
        <v>76</v>
      </c>
    </row>
    <row r="97" spans="1:20">
      <c r="A97" s="47">
        <v>8</v>
      </c>
      <c r="B97" s="47" t="s">
        <v>833</v>
      </c>
      <c r="C97" s="47">
        <v>9901010214</v>
      </c>
      <c r="D97" s="47" t="s">
        <v>838</v>
      </c>
      <c r="I97" s="48">
        <v>90000000</v>
      </c>
      <c r="J97" s="167">
        <f>ROUND(((100%+$M$88)*Table3331[[#This Row],[قیمت (ریال)]])*(100%+$M$89),-6)</f>
        <v>108000000</v>
      </c>
      <c r="T97" s="29">
        <v>77</v>
      </c>
    </row>
    <row r="98" spans="1:20">
      <c r="A98" s="47">
        <v>9</v>
      </c>
      <c r="B98" s="47" t="s">
        <v>833</v>
      </c>
      <c r="C98" s="47">
        <v>9901010215</v>
      </c>
      <c r="D98" s="47" t="s">
        <v>839</v>
      </c>
      <c r="I98" s="48">
        <v>75000000</v>
      </c>
      <c r="J98" s="167">
        <f>ROUND(((100%+$M$88)*Table3331[[#This Row],[قیمت (ریال)]])*(100%+$M$89),-6)</f>
        <v>90000000</v>
      </c>
      <c r="T98" s="29">
        <v>78</v>
      </c>
    </row>
    <row r="99" spans="1:20">
      <c r="A99" s="47">
        <v>10</v>
      </c>
      <c r="B99" s="47" t="s">
        <v>833</v>
      </c>
      <c r="C99" s="47">
        <v>9901010216</v>
      </c>
      <c r="D99" s="47" t="s">
        <v>840</v>
      </c>
      <c r="I99" s="48">
        <v>90000000</v>
      </c>
      <c r="J99" s="167">
        <f>ROUND(((100%+$M$88)*Table3331[[#This Row],[قیمت (ریال)]])*(100%+$M$89),-6)</f>
        <v>108000000</v>
      </c>
      <c r="T99" s="29">
        <v>79</v>
      </c>
    </row>
    <row r="100" spans="1:20">
      <c r="A100" s="47">
        <v>11</v>
      </c>
      <c r="B100" s="47" t="s">
        <v>833</v>
      </c>
      <c r="C100" s="47">
        <v>9901010217</v>
      </c>
      <c r="D100" s="47" t="s">
        <v>841</v>
      </c>
      <c r="I100" s="48">
        <v>75000000</v>
      </c>
      <c r="J100" s="167">
        <f>ROUND(((100%+$M$88)*Table3331[[#This Row],[قیمت (ریال)]])*(100%+$M$89),-6)</f>
        <v>90000000</v>
      </c>
      <c r="T100" s="29">
        <v>80</v>
      </c>
    </row>
    <row r="101" spans="1:20">
      <c r="A101" s="47">
        <v>12</v>
      </c>
      <c r="B101" s="47" t="s">
        <v>833</v>
      </c>
      <c r="C101" s="47">
        <v>9901010218</v>
      </c>
      <c r="D101" s="47" t="s">
        <v>1306</v>
      </c>
      <c r="I101" s="48">
        <v>285000000</v>
      </c>
      <c r="J101" s="167">
        <f>ROUND(((100%+$M$88)*Table3331[[#This Row],[قیمت (ریال)]])*(100%+$M$89),-6)</f>
        <v>342000000</v>
      </c>
      <c r="T101" s="29">
        <v>81</v>
      </c>
    </row>
    <row r="102" spans="1:20">
      <c r="J102" s="168"/>
    </row>
    <row r="103" spans="1:20">
      <c r="J103" s="168"/>
    </row>
    <row r="104" spans="1:20">
      <c r="J104" s="168"/>
    </row>
    <row r="105" spans="1:20">
      <c r="J105" s="168"/>
    </row>
    <row r="106" spans="1:20" ht="19.5" thickBot="1">
      <c r="J106" s="168"/>
    </row>
    <row r="107" spans="1:20">
      <c r="A107" s="50" t="s">
        <v>0</v>
      </c>
      <c r="B107" s="50" t="s">
        <v>530</v>
      </c>
      <c r="C107" s="50" t="s">
        <v>1</v>
      </c>
      <c r="D107" s="50" t="s">
        <v>448</v>
      </c>
      <c r="E107" s="50" t="s">
        <v>767</v>
      </c>
      <c r="F107" s="50" t="s">
        <v>768</v>
      </c>
      <c r="G107" s="50" t="s">
        <v>769</v>
      </c>
      <c r="H107" s="50" t="s">
        <v>770</v>
      </c>
      <c r="I107" s="51" t="s">
        <v>251</v>
      </c>
      <c r="J107" s="166" t="s">
        <v>431</v>
      </c>
      <c r="L107" s="120" t="s">
        <v>777</v>
      </c>
      <c r="M107" s="121">
        <v>0.2</v>
      </c>
    </row>
    <row r="108" spans="1:20" ht="19.5" thickBot="1">
      <c r="A108" s="47">
        <v>1</v>
      </c>
      <c r="B108" s="47" t="s">
        <v>842</v>
      </c>
      <c r="C108" s="47">
        <v>9901010111</v>
      </c>
      <c r="D108" s="47" t="s">
        <v>1307</v>
      </c>
      <c r="E108" s="47">
        <v>80</v>
      </c>
      <c r="F108" s="47">
        <v>95</v>
      </c>
      <c r="G108" s="47">
        <v>95</v>
      </c>
      <c r="I108" s="48">
        <v>1061400000</v>
      </c>
      <c r="J108" s="167">
        <f>ROUND(((100%+$M$107)*Table34[[#This Row],[قیمت (ریال)]])*(100%+$M$108),-6)</f>
        <v>1274000000</v>
      </c>
      <c r="L108" s="122" t="s">
        <v>779</v>
      </c>
      <c r="M108" s="123">
        <v>0</v>
      </c>
      <c r="T108" s="29">
        <v>82</v>
      </c>
    </row>
    <row r="109" spans="1:20">
      <c r="A109" s="47">
        <v>2</v>
      </c>
      <c r="B109" s="47" t="s">
        <v>842</v>
      </c>
      <c r="C109" s="47">
        <v>9901010113</v>
      </c>
      <c r="D109" s="47" t="s">
        <v>1308</v>
      </c>
      <c r="E109" s="47" t="s">
        <v>1309</v>
      </c>
      <c r="I109" s="48">
        <v>152200000</v>
      </c>
      <c r="J109" s="167">
        <f>ROUND(((100%+$M$107)*Table34[[#This Row],[قیمت (ریال)]])*(100%+$M$108),-6)</f>
        <v>183000000</v>
      </c>
      <c r="T109" s="29">
        <v>83</v>
      </c>
    </row>
    <row r="110" spans="1:20">
      <c r="A110" s="47">
        <v>3</v>
      </c>
      <c r="B110" s="47" t="s">
        <v>842</v>
      </c>
      <c r="C110" s="47">
        <v>9901010114</v>
      </c>
      <c r="D110" s="47" t="s">
        <v>1310</v>
      </c>
      <c r="E110" s="47">
        <v>95</v>
      </c>
      <c r="F110" s="47">
        <v>60</v>
      </c>
      <c r="G110" s="47">
        <v>110</v>
      </c>
      <c r="I110" s="48">
        <v>613200000</v>
      </c>
      <c r="J110" s="167">
        <f>ROUND(((100%+$M$107)*Table34[[#This Row],[قیمت (ریال)]])*(100%+$M$108),-6)</f>
        <v>736000000</v>
      </c>
      <c r="T110" s="29">
        <v>84</v>
      </c>
    </row>
    <row r="111" spans="1:20">
      <c r="A111" s="47">
        <v>4</v>
      </c>
      <c r="B111" s="47" t="s">
        <v>842</v>
      </c>
      <c r="C111" s="47">
        <v>9901010116</v>
      </c>
      <c r="D111" s="47" t="s">
        <v>1311</v>
      </c>
      <c r="E111" s="47">
        <v>65</v>
      </c>
      <c r="F111" s="47">
        <v>110</v>
      </c>
      <c r="G111" s="47">
        <v>110</v>
      </c>
      <c r="I111" s="48">
        <v>271200000</v>
      </c>
      <c r="J111" s="167">
        <f>ROUND(((100%+$M$107)*Table34[[#This Row],[قیمت (ریال)]])*(100%+$M$108),-6)</f>
        <v>325000000</v>
      </c>
      <c r="T111" s="29">
        <v>85</v>
      </c>
    </row>
    <row r="112" spans="1:20">
      <c r="A112" s="47">
        <v>5</v>
      </c>
      <c r="B112" s="47" t="s">
        <v>842</v>
      </c>
      <c r="C112" s="47">
        <v>9901010143</v>
      </c>
      <c r="D112" s="47" t="s">
        <v>1312</v>
      </c>
      <c r="E112" s="47" t="s">
        <v>261</v>
      </c>
      <c r="F112" s="47" t="s">
        <v>261</v>
      </c>
      <c r="G112" s="47" t="s">
        <v>261</v>
      </c>
      <c r="I112" s="48">
        <v>688000000</v>
      </c>
      <c r="J112" s="167">
        <f>ROUND(((100%+$M$107)*Table34[[#This Row],[قیمت (ریال)]])*(100%+$M$108),-6)</f>
        <v>826000000</v>
      </c>
      <c r="T112" s="29">
        <v>86</v>
      </c>
    </row>
    <row r="113" spans="1:20">
      <c r="A113" s="47">
        <v>6</v>
      </c>
      <c r="B113" s="47" t="s">
        <v>842</v>
      </c>
      <c r="C113" s="47">
        <v>9901010149</v>
      </c>
      <c r="D113" s="47" t="s">
        <v>1313</v>
      </c>
      <c r="E113" s="47" t="s">
        <v>1314</v>
      </c>
      <c r="I113" s="48">
        <v>805900000</v>
      </c>
      <c r="J113" s="167">
        <f>ROUND(((100%+$M$107)*Table34[[#This Row],[قیمت (ریال)]])*(100%+$M$108),-6)</f>
        <v>967000000</v>
      </c>
      <c r="T113" s="29">
        <v>87</v>
      </c>
    </row>
    <row r="114" spans="1:20">
      <c r="A114" s="47">
        <v>7</v>
      </c>
      <c r="B114" s="47" t="s">
        <v>842</v>
      </c>
      <c r="C114" s="47">
        <v>9901010150</v>
      </c>
      <c r="D114" s="47" t="s">
        <v>1315</v>
      </c>
      <c r="E114" s="47" t="s">
        <v>1316</v>
      </c>
      <c r="I114" s="48">
        <v>1002500000</v>
      </c>
      <c r="J114" s="167">
        <f>ROUND(((100%+$M$107)*Table34[[#This Row],[قیمت (ریال)]])*(100%+$M$108),-6)</f>
        <v>1203000000</v>
      </c>
      <c r="T114" s="29">
        <v>88</v>
      </c>
    </row>
    <row r="115" spans="1:20">
      <c r="A115" s="47">
        <v>8</v>
      </c>
      <c r="B115" s="47" t="s">
        <v>842</v>
      </c>
      <c r="C115" s="47">
        <v>9901010155</v>
      </c>
      <c r="D115" s="47" t="s">
        <v>1317</v>
      </c>
      <c r="E115" s="47" t="s">
        <v>261</v>
      </c>
      <c r="F115" s="47" t="s">
        <v>261</v>
      </c>
      <c r="G115" s="47" t="s">
        <v>261</v>
      </c>
      <c r="I115" s="48">
        <v>786200000</v>
      </c>
      <c r="J115" s="167">
        <f>ROUND(((100%+$M$107)*Table34[[#This Row],[قیمت (ریال)]])*(100%+$M$108),-6)</f>
        <v>943000000</v>
      </c>
      <c r="T115" s="29">
        <v>89</v>
      </c>
    </row>
    <row r="116" spans="1:20">
      <c r="A116" s="47">
        <v>9</v>
      </c>
      <c r="B116" s="47" t="s">
        <v>842</v>
      </c>
      <c r="C116" s="47">
        <v>9901010156</v>
      </c>
      <c r="D116" s="47" t="s">
        <v>843</v>
      </c>
      <c r="E116" s="47" t="s">
        <v>261</v>
      </c>
      <c r="F116" s="47" t="s">
        <v>261</v>
      </c>
      <c r="G116" s="47" t="s">
        <v>261</v>
      </c>
      <c r="I116" s="48">
        <v>578200000</v>
      </c>
      <c r="J116" s="167">
        <f>ROUND(((100%+$M$107)*Table34[[#This Row],[قیمت (ریال)]])*(100%+$M$108),-6)</f>
        <v>694000000</v>
      </c>
      <c r="T116" s="29">
        <v>90</v>
      </c>
    </row>
    <row r="117" spans="1:20">
      <c r="A117" s="47">
        <v>10</v>
      </c>
      <c r="B117" s="47" t="s">
        <v>842</v>
      </c>
      <c r="C117" s="47">
        <v>9901010157</v>
      </c>
      <c r="D117" s="47" t="s">
        <v>1318</v>
      </c>
      <c r="E117" s="47" t="s">
        <v>261</v>
      </c>
      <c r="F117" s="47" t="s">
        <v>261</v>
      </c>
      <c r="G117" s="47" t="s">
        <v>261</v>
      </c>
      <c r="I117" s="48">
        <v>756800000</v>
      </c>
      <c r="J117" s="167">
        <f>ROUND(((100%+$M$107)*Table34[[#This Row],[قیمت (ریال)]])*(100%+$M$108),-6)</f>
        <v>908000000</v>
      </c>
      <c r="T117" s="29">
        <v>91</v>
      </c>
    </row>
    <row r="118" spans="1:20">
      <c r="A118" s="47">
        <v>11</v>
      </c>
      <c r="B118" s="47" t="s">
        <v>842</v>
      </c>
      <c r="C118" s="47">
        <v>9901010158</v>
      </c>
      <c r="D118" s="47" t="s">
        <v>844</v>
      </c>
      <c r="E118" s="47" t="s">
        <v>261</v>
      </c>
      <c r="F118" s="47" t="s">
        <v>261</v>
      </c>
      <c r="G118" s="47" t="s">
        <v>261</v>
      </c>
      <c r="I118" s="48">
        <v>777800000</v>
      </c>
      <c r="J118" s="167">
        <f>ROUND(((100%+$M$107)*Table34[[#This Row],[قیمت (ریال)]])*(100%+$M$108),-6)</f>
        <v>933000000</v>
      </c>
      <c r="T118" s="29">
        <v>92</v>
      </c>
    </row>
    <row r="119" spans="1:20">
      <c r="A119" s="47">
        <v>12</v>
      </c>
      <c r="B119" s="47" t="s">
        <v>842</v>
      </c>
      <c r="C119" s="47">
        <v>9901010160</v>
      </c>
      <c r="D119" s="47" t="s">
        <v>845</v>
      </c>
      <c r="E119" s="47" t="s">
        <v>261</v>
      </c>
      <c r="F119" s="47" t="s">
        <v>261</v>
      </c>
      <c r="G119" s="47" t="s">
        <v>261</v>
      </c>
      <c r="I119" s="48">
        <v>540500000</v>
      </c>
      <c r="J119" s="167">
        <f>ROUND(((100%+$M$107)*Table34[[#This Row],[قیمت (ریال)]])*(100%+$M$108),-6)</f>
        <v>649000000</v>
      </c>
      <c r="T119" s="29">
        <v>93</v>
      </c>
    </row>
    <row r="120" spans="1:20">
      <c r="A120" s="47">
        <v>13</v>
      </c>
      <c r="B120" s="47" t="s">
        <v>842</v>
      </c>
      <c r="C120" s="47">
        <v>9901010161</v>
      </c>
      <c r="D120" s="47" t="s">
        <v>846</v>
      </c>
      <c r="E120" s="47" t="s">
        <v>261</v>
      </c>
      <c r="F120" s="47" t="s">
        <v>261</v>
      </c>
      <c r="G120" s="47" t="s">
        <v>261</v>
      </c>
      <c r="I120" s="48">
        <v>540500000</v>
      </c>
      <c r="J120" s="167">
        <f>ROUND(((100%+$M$107)*Table34[[#This Row],[قیمت (ریال)]])*(100%+$M$108),-6)</f>
        <v>649000000</v>
      </c>
      <c r="T120" s="29">
        <v>94</v>
      </c>
    </row>
    <row r="121" spans="1:20">
      <c r="A121" s="47">
        <v>14</v>
      </c>
      <c r="B121" s="47" t="s">
        <v>842</v>
      </c>
      <c r="C121" s="47">
        <v>9901010163</v>
      </c>
      <c r="D121" s="47" t="s">
        <v>1319</v>
      </c>
      <c r="E121" s="47" t="s">
        <v>1320</v>
      </c>
      <c r="I121" s="48">
        <v>963200000</v>
      </c>
      <c r="J121" s="167">
        <f>ROUND(((100%+$M$107)*Table34[[#This Row],[قیمت (ریال)]])*(100%+$M$108),-6)</f>
        <v>1156000000</v>
      </c>
      <c r="T121" s="29">
        <v>95</v>
      </c>
    </row>
    <row r="122" spans="1:20">
      <c r="A122" s="47">
        <v>15</v>
      </c>
      <c r="B122" s="47" t="s">
        <v>842</v>
      </c>
      <c r="C122" s="47">
        <v>9901010164</v>
      </c>
      <c r="D122" s="47" t="s">
        <v>1321</v>
      </c>
      <c r="E122" s="47" t="s">
        <v>1322</v>
      </c>
      <c r="I122" s="48">
        <v>908000000</v>
      </c>
      <c r="J122" s="167">
        <f>ROUND(((100%+$M$107)*Table34[[#This Row],[قیمت (ریال)]])*(100%+$M$108),-6)</f>
        <v>1090000000</v>
      </c>
      <c r="T122" s="29">
        <v>96</v>
      </c>
    </row>
    <row r="123" spans="1:20">
      <c r="A123" s="47">
        <v>16</v>
      </c>
      <c r="B123" s="47" t="s">
        <v>842</v>
      </c>
      <c r="C123" s="47">
        <v>9901010168</v>
      </c>
      <c r="D123" s="47" t="s">
        <v>1323</v>
      </c>
      <c r="E123" s="47" t="s">
        <v>261</v>
      </c>
      <c r="F123" s="47" t="s">
        <v>261</v>
      </c>
      <c r="G123" s="47" t="s">
        <v>261</v>
      </c>
      <c r="I123" s="48">
        <v>1486000000</v>
      </c>
      <c r="J123" s="167">
        <f>ROUND(((100%+$M$107)*Table34[[#This Row],[قیمت (ریال)]])*(100%+$M$108),-6)</f>
        <v>1783000000</v>
      </c>
      <c r="T123" s="29">
        <v>97</v>
      </c>
    </row>
    <row r="124" spans="1:20">
      <c r="A124" s="47">
        <v>17</v>
      </c>
      <c r="B124" s="47" t="s">
        <v>842</v>
      </c>
      <c r="C124" s="47">
        <v>9901010179</v>
      </c>
      <c r="D124" s="47" t="s">
        <v>1324</v>
      </c>
      <c r="E124" s="47" t="s">
        <v>261</v>
      </c>
      <c r="F124" s="47" t="s">
        <v>261</v>
      </c>
      <c r="G124" s="47" t="s">
        <v>261</v>
      </c>
      <c r="I124" s="48">
        <v>943400000</v>
      </c>
      <c r="J124" s="167">
        <f>ROUND(((100%+$M$107)*Table34[[#This Row],[قیمت (ریال)]])*(100%+$M$108),-6)</f>
        <v>1132000000</v>
      </c>
      <c r="T124" s="29">
        <v>98</v>
      </c>
    </row>
    <row r="125" spans="1:20">
      <c r="A125" s="47">
        <v>18</v>
      </c>
      <c r="B125" s="47" t="s">
        <v>842</v>
      </c>
      <c r="C125" s="47">
        <v>9901010181</v>
      </c>
      <c r="D125" s="47" t="s">
        <v>1325</v>
      </c>
      <c r="E125" s="47" t="s">
        <v>261</v>
      </c>
      <c r="F125" s="47" t="s">
        <v>261</v>
      </c>
      <c r="G125" s="47" t="s">
        <v>261</v>
      </c>
      <c r="I125" s="48">
        <v>974900000</v>
      </c>
      <c r="J125" s="167">
        <f>ROUND(((100%+$M$107)*Table34[[#This Row],[قیمت (ریال)]])*(100%+$M$108),-6)</f>
        <v>1170000000</v>
      </c>
      <c r="T125" s="29">
        <v>99</v>
      </c>
    </row>
    <row r="126" spans="1:20">
      <c r="A126" s="47">
        <v>19</v>
      </c>
      <c r="B126" s="47" t="s">
        <v>842</v>
      </c>
      <c r="C126" s="47">
        <v>9901010194</v>
      </c>
      <c r="D126" s="47" t="s">
        <v>1326</v>
      </c>
      <c r="E126" s="47" t="s">
        <v>1327</v>
      </c>
      <c r="I126" s="48">
        <v>703700000</v>
      </c>
      <c r="J126" s="167">
        <f>ROUND(((100%+$M$107)*Table34[[#This Row],[قیمت (ریال)]])*(100%+$M$108),-6)</f>
        <v>844000000</v>
      </c>
      <c r="T126" s="29">
        <v>100</v>
      </c>
    </row>
    <row r="127" spans="1:20">
      <c r="A127" s="47">
        <v>20</v>
      </c>
      <c r="B127" s="47" t="s">
        <v>842</v>
      </c>
      <c r="C127" s="47">
        <v>9901010195</v>
      </c>
      <c r="D127" s="47" t="s">
        <v>1328</v>
      </c>
      <c r="E127" s="47" t="s">
        <v>1329</v>
      </c>
      <c r="I127" s="48">
        <v>1014200000</v>
      </c>
      <c r="J127" s="167">
        <f>ROUND(((100%+$M$107)*Table34[[#This Row],[قیمت (ریال)]])*(100%+$M$108),-6)</f>
        <v>1217000000</v>
      </c>
      <c r="T127" s="29">
        <v>101</v>
      </c>
    </row>
    <row r="128" spans="1:20">
      <c r="A128" s="47">
        <v>21</v>
      </c>
      <c r="B128" s="47" t="s">
        <v>842</v>
      </c>
      <c r="C128" s="47">
        <v>9901010212</v>
      </c>
      <c r="D128" s="47" t="s">
        <v>1330</v>
      </c>
      <c r="E128" s="47" t="s">
        <v>1331</v>
      </c>
      <c r="I128" s="48">
        <v>786200000</v>
      </c>
      <c r="J128" s="167">
        <f>ROUND(((100%+$M$107)*Table34[[#This Row],[قیمت (ریال)]])*(100%+$M$108),-6)</f>
        <v>943000000</v>
      </c>
      <c r="T128" s="29">
        <v>102</v>
      </c>
    </row>
    <row r="129" spans="1:20">
      <c r="J129" s="167"/>
    </row>
    <row r="130" spans="1:20">
      <c r="J130" s="168"/>
    </row>
    <row r="131" spans="1:20">
      <c r="J131" s="168"/>
    </row>
    <row r="132" spans="1:20">
      <c r="J132" s="168"/>
    </row>
    <row r="133" spans="1:20">
      <c r="J133" s="168"/>
    </row>
    <row r="134" spans="1:20" ht="19.5" thickBot="1">
      <c r="J134" s="168"/>
    </row>
    <row r="135" spans="1:20">
      <c r="A135" s="50" t="s">
        <v>0</v>
      </c>
      <c r="B135" s="50" t="s">
        <v>530</v>
      </c>
      <c r="C135" s="50" t="s">
        <v>1</v>
      </c>
      <c r="D135" s="50" t="s">
        <v>448</v>
      </c>
      <c r="E135" s="50" t="s">
        <v>767</v>
      </c>
      <c r="F135" s="50" t="s">
        <v>768</v>
      </c>
      <c r="G135" s="50" t="s">
        <v>769</v>
      </c>
      <c r="H135" s="50" t="s">
        <v>770</v>
      </c>
      <c r="I135" s="51" t="s">
        <v>251</v>
      </c>
      <c r="J135" s="166" t="s">
        <v>431</v>
      </c>
      <c r="L135" s="120" t="s">
        <v>777</v>
      </c>
      <c r="M135" s="121">
        <v>0.2</v>
      </c>
    </row>
    <row r="136" spans="1:20" ht="19.5" thickBot="1">
      <c r="A136" s="47">
        <v>1</v>
      </c>
      <c r="B136" s="47" t="s">
        <v>847</v>
      </c>
      <c r="C136" s="47">
        <v>9901010033</v>
      </c>
      <c r="D136" s="47" t="s">
        <v>848</v>
      </c>
      <c r="E136" s="47">
        <v>13.5</v>
      </c>
      <c r="F136" s="47">
        <v>13.5</v>
      </c>
      <c r="G136" s="47">
        <v>18</v>
      </c>
      <c r="I136" s="48">
        <v>40600000</v>
      </c>
      <c r="J136" s="167">
        <f>ROUND(((100%+$M$135)*Table35[[#This Row],[قیمت (ریال)]])*(100%+$M$136),-6)</f>
        <v>49000000</v>
      </c>
      <c r="L136" s="122" t="s">
        <v>779</v>
      </c>
      <c r="M136" s="123">
        <v>0</v>
      </c>
      <c r="T136" s="29">
        <v>103</v>
      </c>
    </row>
    <row r="137" spans="1:20">
      <c r="A137" s="47">
        <v>2</v>
      </c>
      <c r="B137" s="47" t="s">
        <v>847</v>
      </c>
      <c r="C137" s="47">
        <v>9901010034</v>
      </c>
      <c r="D137" s="47" t="s">
        <v>849</v>
      </c>
      <c r="E137" s="47">
        <v>6.5</v>
      </c>
      <c r="F137" s="47">
        <v>6.5</v>
      </c>
      <c r="G137" s="47">
        <v>27.5</v>
      </c>
      <c r="I137" s="48">
        <v>37600000</v>
      </c>
      <c r="J137" s="167">
        <f>ROUND(((100%+$M$135)*Table35[[#This Row],[قیمت (ریال)]])*(100%+$M$136),-6)</f>
        <v>45000000</v>
      </c>
      <c r="T137" s="29">
        <v>104</v>
      </c>
    </row>
    <row r="138" spans="1:20">
      <c r="A138" s="47">
        <v>3</v>
      </c>
      <c r="B138" s="47" t="s">
        <v>847</v>
      </c>
      <c r="C138" s="47">
        <v>9901010035</v>
      </c>
      <c r="D138" s="47" t="s">
        <v>850</v>
      </c>
      <c r="E138" s="47">
        <v>11</v>
      </c>
      <c r="F138" s="47">
        <v>11</v>
      </c>
      <c r="G138" s="47">
        <v>22</v>
      </c>
      <c r="I138" s="48">
        <v>40600000</v>
      </c>
      <c r="J138" s="167">
        <f>ROUND(((100%+$M$135)*Table35[[#This Row],[قیمت (ریال)]])*(100%+$M$136),-6)</f>
        <v>49000000</v>
      </c>
      <c r="T138" s="29">
        <v>105</v>
      </c>
    </row>
    <row r="139" spans="1:20">
      <c r="A139" s="47">
        <v>4</v>
      </c>
      <c r="B139" s="47" t="s">
        <v>847</v>
      </c>
      <c r="C139" s="47">
        <v>9901010036</v>
      </c>
      <c r="D139" s="47" t="s">
        <v>851</v>
      </c>
      <c r="E139" s="47">
        <v>11</v>
      </c>
      <c r="F139" s="47">
        <v>11</v>
      </c>
      <c r="G139" s="47">
        <v>11</v>
      </c>
      <c r="I139" s="48">
        <v>31600000</v>
      </c>
      <c r="J139" s="167">
        <f>ROUND(((100%+$M$135)*Table35[[#This Row],[قیمت (ریال)]])*(100%+$M$136),-6)</f>
        <v>38000000</v>
      </c>
      <c r="T139" s="29">
        <v>106</v>
      </c>
    </row>
    <row r="140" spans="1:20">
      <c r="A140" s="47">
        <v>5</v>
      </c>
      <c r="B140" s="47" t="s">
        <v>847</v>
      </c>
      <c r="C140" s="47">
        <v>9901010072</v>
      </c>
      <c r="D140" s="47" t="s">
        <v>852</v>
      </c>
      <c r="E140" s="47">
        <v>110</v>
      </c>
      <c r="I140" s="48">
        <v>198200000</v>
      </c>
      <c r="J140" s="167">
        <f>ROUND(((100%+$M$135)*Table35[[#This Row],[قیمت (ریال)]])*(100%+$M$136),-6)</f>
        <v>238000000</v>
      </c>
      <c r="T140" s="29">
        <v>107</v>
      </c>
    </row>
    <row r="141" spans="1:20">
      <c r="A141" s="47">
        <v>6</v>
      </c>
      <c r="B141" s="47" t="s">
        <v>847</v>
      </c>
      <c r="C141" s="47">
        <v>9901010073</v>
      </c>
      <c r="D141" s="47" t="s">
        <v>853</v>
      </c>
      <c r="E141" s="47">
        <v>60</v>
      </c>
      <c r="I141" s="48">
        <v>168200000</v>
      </c>
      <c r="J141" s="167">
        <f>ROUND(((100%+$M$135)*Table35[[#This Row],[قیمت (ریال)]])*(100%+$M$136),-6)</f>
        <v>202000000</v>
      </c>
      <c r="T141" s="29">
        <v>108</v>
      </c>
    </row>
    <row r="142" spans="1:20">
      <c r="A142" s="47">
        <v>7</v>
      </c>
      <c r="B142" s="47" t="s">
        <v>847</v>
      </c>
      <c r="C142" s="47">
        <v>9901010074</v>
      </c>
      <c r="D142" s="47" t="s">
        <v>854</v>
      </c>
      <c r="E142" s="47">
        <v>9</v>
      </c>
      <c r="F142" s="47">
        <v>9</v>
      </c>
      <c r="G142" s="47">
        <v>20</v>
      </c>
      <c r="I142" s="48">
        <v>93800000</v>
      </c>
      <c r="J142" s="167">
        <f>ROUND(((100%+$M$135)*Table35[[#This Row],[قیمت (ریال)]])*(100%+$M$136),-6)</f>
        <v>113000000</v>
      </c>
      <c r="T142" s="29">
        <v>109</v>
      </c>
    </row>
    <row r="143" spans="1:20">
      <c r="A143" s="47">
        <v>8</v>
      </c>
      <c r="B143" s="47" t="s">
        <v>847</v>
      </c>
      <c r="C143" s="47">
        <v>9901010102</v>
      </c>
      <c r="D143" s="47" t="s">
        <v>1332</v>
      </c>
      <c r="E143" s="47" t="s">
        <v>1333</v>
      </c>
      <c r="I143" s="48">
        <v>127900000</v>
      </c>
      <c r="J143" s="167">
        <f>ROUND(((100%+$M$135)*Table35[[#This Row],[قیمت (ریال)]])*(100%+$M$136),-6)</f>
        <v>153000000</v>
      </c>
      <c r="T143" s="29">
        <v>110</v>
      </c>
    </row>
    <row r="144" spans="1:20">
      <c r="A144" s="47">
        <v>9</v>
      </c>
      <c r="B144" s="47" t="s">
        <v>847</v>
      </c>
      <c r="C144" s="47">
        <v>9901010105</v>
      </c>
      <c r="D144" s="47" t="s">
        <v>1334</v>
      </c>
      <c r="E144" s="47" t="s">
        <v>1335</v>
      </c>
      <c r="I144" s="48">
        <v>167200000</v>
      </c>
      <c r="J144" s="167">
        <f>ROUND(((100%+$M$135)*Table35[[#This Row],[قیمت (ریال)]])*(100%+$M$136),-6)</f>
        <v>201000000</v>
      </c>
      <c r="T144" s="29">
        <v>111</v>
      </c>
    </row>
    <row r="145" spans="1:20">
      <c r="A145" s="47">
        <v>10</v>
      </c>
      <c r="B145" s="47" t="s">
        <v>847</v>
      </c>
      <c r="C145" s="47">
        <v>9901010110</v>
      </c>
      <c r="D145" s="47" t="s">
        <v>1336</v>
      </c>
      <c r="E145" s="47">
        <v>25</v>
      </c>
      <c r="F145" s="47">
        <v>10</v>
      </c>
      <c r="G145" s="47">
        <v>160</v>
      </c>
      <c r="I145" s="48">
        <v>268800000</v>
      </c>
      <c r="J145" s="167">
        <f>ROUND(((100%+$M$135)*Table35[[#This Row],[قیمت (ریال)]])*(100%+$M$136),-6)</f>
        <v>323000000</v>
      </c>
      <c r="T145" s="29">
        <v>112</v>
      </c>
    </row>
    <row r="146" spans="1:20">
      <c r="A146" s="47">
        <v>11</v>
      </c>
      <c r="B146" s="47" t="s">
        <v>847</v>
      </c>
      <c r="C146" s="47">
        <v>9901010167</v>
      </c>
      <c r="D146" s="47" t="s">
        <v>1337</v>
      </c>
      <c r="E146" s="47" t="s">
        <v>261</v>
      </c>
      <c r="F146" s="47" t="s">
        <v>261</v>
      </c>
      <c r="G146" s="47" t="s">
        <v>261</v>
      </c>
      <c r="I146" s="48">
        <v>3066400000</v>
      </c>
      <c r="J146" s="167">
        <f>ROUND(((100%+$M$135)*Table35[[#This Row],[قیمت (ریال)]])*(100%+$M$136),-6)</f>
        <v>3680000000</v>
      </c>
      <c r="T146" s="29">
        <v>113</v>
      </c>
    </row>
    <row r="147" spans="1:20">
      <c r="J147" s="167"/>
    </row>
    <row r="148" spans="1:20">
      <c r="J148" s="167"/>
    </row>
    <row r="149" spans="1:20" ht="19.5" thickBot="1">
      <c r="J149" s="168"/>
    </row>
    <row r="150" spans="1:20">
      <c r="J150" s="168"/>
      <c r="L150" s="120" t="s">
        <v>777</v>
      </c>
      <c r="M150" s="121">
        <v>0.2</v>
      </c>
    </row>
    <row r="151" spans="1:20" ht="19.5" thickBot="1">
      <c r="A151" s="50" t="s">
        <v>0</v>
      </c>
      <c r="B151" s="50" t="s">
        <v>530</v>
      </c>
      <c r="C151" s="50" t="s">
        <v>1</v>
      </c>
      <c r="D151" s="50" t="s">
        <v>448</v>
      </c>
      <c r="E151" s="50" t="s">
        <v>767</v>
      </c>
      <c r="F151" s="50" t="s">
        <v>768</v>
      </c>
      <c r="G151" s="50" t="s">
        <v>769</v>
      </c>
      <c r="H151" s="50" t="s">
        <v>770</v>
      </c>
      <c r="I151" s="51" t="s">
        <v>251</v>
      </c>
      <c r="J151" s="166" t="s">
        <v>431</v>
      </c>
      <c r="L151" s="122" t="s">
        <v>779</v>
      </c>
      <c r="M151" s="123">
        <v>0</v>
      </c>
    </row>
    <row r="152" spans="1:20">
      <c r="A152" s="47">
        <v>1</v>
      </c>
      <c r="B152" s="47" t="s">
        <v>855</v>
      </c>
      <c r="C152" s="47">
        <v>9901010166</v>
      </c>
      <c r="D152" s="47" t="s">
        <v>1338</v>
      </c>
      <c r="F152" s="47" t="s">
        <v>261</v>
      </c>
      <c r="G152" s="47" t="s">
        <v>261</v>
      </c>
      <c r="I152" s="48">
        <v>403000000</v>
      </c>
      <c r="J152" s="167">
        <f>ROUND(((100%+$M$150)*Table3636[[#This Row],[قیمت (ریال)]])*(100%+$M$151),-6)</f>
        <v>484000000</v>
      </c>
      <c r="T152" s="29">
        <v>114</v>
      </c>
    </row>
    <row r="153" spans="1:20">
      <c r="A153" s="47">
        <v>2</v>
      </c>
      <c r="B153" s="47" t="s">
        <v>855</v>
      </c>
      <c r="C153" s="47">
        <v>9901010219</v>
      </c>
      <c r="D153" s="47" t="s">
        <v>856</v>
      </c>
      <c r="I153" s="48">
        <v>105200000</v>
      </c>
      <c r="J153" s="167">
        <f>ROUND(((100%+$M$150)*Table3636[[#This Row],[قیمت (ریال)]])*(100%+$M$151),-6)</f>
        <v>126000000</v>
      </c>
      <c r="T153" s="29">
        <v>115</v>
      </c>
    </row>
    <row r="154" spans="1:20">
      <c r="A154" s="47">
        <v>3</v>
      </c>
      <c r="B154" s="47" t="s">
        <v>855</v>
      </c>
      <c r="C154" s="47">
        <v>9901010220</v>
      </c>
      <c r="D154" s="47" t="s">
        <v>1339</v>
      </c>
      <c r="I154" s="48">
        <v>491500000</v>
      </c>
      <c r="J154" s="167">
        <f>ROUND(((100%+$M$150)*Table3636[[#This Row],[قیمت (ریال)]])*(100%+$M$151),-6)</f>
        <v>590000000</v>
      </c>
      <c r="T154" s="29">
        <v>116</v>
      </c>
    </row>
    <row r="155" spans="1:20">
      <c r="A155" s="47">
        <v>4</v>
      </c>
      <c r="B155" s="47" t="s">
        <v>855</v>
      </c>
      <c r="C155" s="47">
        <v>9901010222</v>
      </c>
      <c r="D155" s="47" t="s">
        <v>1340</v>
      </c>
      <c r="I155" s="48">
        <v>165000000</v>
      </c>
      <c r="J155" s="167">
        <f>ROUND(((100%+$M$150)*Table3636[[#This Row],[قیمت (ریال)]])*(100%+$M$151),-6)</f>
        <v>198000000</v>
      </c>
      <c r="T155" s="29">
        <v>117</v>
      </c>
    </row>
    <row r="156" spans="1:20">
      <c r="A156" s="47">
        <v>5</v>
      </c>
      <c r="B156" s="47" t="s">
        <v>855</v>
      </c>
      <c r="C156" s="47">
        <v>9901010223</v>
      </c>
      <c r="D156" s="47" t="s">
        <v>1341</v>
      </c>
      <c r="I156" s="48">
        <v>157200000</v>
      </c>
      <c r="J156" s="167">
        <f>ROUND(((100%+$M$150)*Table3636[[#This Row],[قیمت (ریال)]])*(100%+$M$151),-6)</f>
        <v>189000000</v>
      </c>
      <c r="L156" s="10"/>
      <c r="M156" s="146"/>
      <c r="T156" s="29">
        <v>118</v>
      </c>
    </row>
    <row r="157" spans="1:20">
      <c r="A157" s="47">
        <v>6</v>
      </c>
      <c r="B157" s="47" t="s">
        <v>855</v>
      </c>
      <c r="C157" s="47">
        <v>9901010224</v>
      </c>
      <c r="D157" s="47" t="s">
        <v>1342</v>
      </c>
      <c r="I157" s="48">
        <v>141600000</v>
      </c>
      <c r="J157" s="167">
        <f>ROUND(((100%+$M$150)*Table3636[[#This Row],[قیمت (ریال)]])*(100%+$M$151),-6)</f>
        <v>170000000</v>
      </c>
      <c r="L157" s="10"/>
      <c r="M157" s="146"/>
      <c r="T157" s="29">
        <v>119</v>
      </c>
    </row>
    <row r="158" spans="1:20">
      <c r="J158" s="167"/>
    </row>
    <row r="159" spans="1:20">
      <c r="J159" s="167"/>
    </row>
    <row r="160" spans="1:20">
      <c r="J160" s="167"/>
    </row>
    <row r="161" spans="1:20" ht="22.5" customHeight="1">
      <c r="J161" s="168"/>
    </row>
    <row r="162" spans="1:20">
      <c r="J162" s="168"/>
    </row>
    <row r="163" spans="1:20" ht="19.5" thickBot="1">
      <c r="J163" s="168"/>
    </row>
    <row r="164" spans="1:20">
      <c r="A164" s="50" t="s">
        <v>0</v>
      </c>
      <c r="B164" s="50" t="s">
        <v>530</v>
      </c>
      <c r="C164" s="50" t="s">
        <v>1</v>
      </c>
      <c r="D164" s="50" t="s">
        <v>448</v>
      </c>
      <c r="E164" s="50" t="s">
        <v>767</v>
      </c>
      <c r="F164" s="50" t="s">
        <v>768</v>
      </c>
      <c r="G164" s="50" t="s">
        <v>769</v>
      </c>
      <c r="H164" s="50" t="s">
        <v>770</v>
      </c>
      <c r="I164" s="51" t="s">
        <v>251</v>
      </c>
      <c r="J164" s="166" t="s">
        <v>431</v>
      </c>
      <c r="L164" s="120" t="s">
        <v>777</v>
      </c>
      <c r="M164" s="121">
        <v>0.2</v>
      </c>
    </row>
    <row r="165" spans="1:20" ht="19.5" thickBot="1">
      <c r="A165" s="47">
        <v>1</v>
      </c>
      <c r="B165" s="47" t="s">
        <v>857</v>
      </c>
      <c r="C165" s="47">
        <v>9901030363</v>
      </c>
      <c r="D165" s="47" t="s">
        <v>1343</v>
      </c>
      <c r="E165" s="47">
        <v>46.5</v>
      </c>
      <c r="F165" s="47">
        <v>180</v>
      </c>
      <c r="G165" s="47">
        <v>45</v>
      </c>
      <c r="I165" s="48">
        <v>1366000000</v>
      </c>
      <c r="J165" s="167">
        <f>ROUND(((100%+$M$164)*Table3743[[#This Row],[قیمت (ریال)]])*(100%+$M$165),-6)</f>
        <v>1639000000</v>
      </c>
      <c r="L165" s="122" t="s">
        <v>779</v>
      </c>
      <c r="M165" s="123">
        <v>0</v>
      </c>
      <c r="T165" s="29">
        <v>120</v>
      </c>
    </row>
    <row r="166" spans="1:20">
      <c r="A166" s="47">
        <v>2</v>
      </c>
      <c r="B166" s="47" t="s">
        <v>857</v>
      </c>
      <c r="C166" s="47">
        <v>9901030386</v>
      </c>
      <c r="D166" s="47" t="s">
        <v>858</v>
      </c>
      <c r="E166" s="47" t="s">
        <v>261</v>
      </c>
      <c r="F166" s="47" t="s">
        <v>261</v>
      </c>
      <c r="G166" s="47" t="s">
        <v>261</v>
      </c>
      <c r="I166" s="48">
        <v>1240300000</v>
      </c>
      <c r="J166" s="167">
        <f>ROUND(((100%+$M$164)*Table3743[[#This Row],[قیمت (ریال)]])*(100%+$M$165),-6)</f>
        <v>1488000000</v>
      </c>
      <c r="T166" s="29">
        <v>121</v>
      </c>
    </row>
    <row r="167" spans="1:20">
      <c r="A167" s="47">
        <v>3</v>
      </c>
      <c r="B167" s="47" t="s">
        <v>857</v>
      </c>
      <c r="C167" s="47">
        <v>9901030387</v>
      </c>
      <c r="D167" s="47" t="s">
        <v>859</v>
      </c>
      <c r="E167" s="47" t="s">
        <v>261</v>
      </c>
      <c r="F167" s="47" t="s">
        <v>261</v>
      </c>
      <c r="G167" s="47" t="s">
        <v>261</v>
      </c>
      <c r="I167" s="48">
        <v>725300000</v>
      </c>
      <c r="J167" s="167">
        <f>ROUND(((100%+$M$164)*Table3743[[#This Row],[قیمت (ریال)]])*(100%+$M$165),-6)</f>
        <v>870000000</v>
      </c>
      <c r="T167" s="29">
        <v>122</v>
      </c>
    </row>
    <row r="168" spans="1:20">
      <c r="A168" s="47">
        <v>4</v>
      </c>
      <c r="B168" s="47" t="s">
        <v>857</v>
      </c>
      <c r="C168" s="47">
        <v>9901030469</v>
      </c>
      <c r="D168" s="47" t="s">
        <v>1344</v>
      </c>
      <c r="I168" s="48">
        <v>658600000</v>
      </c>
      <c r="J168" s="167">
        <f>ROUND(((100%+$M$164)*Table3743[[#This Row],[قیمت (ریال)]])*(100%+$M$165),-6)</f>
        <v>790000000</v>
      </c>
      <c r="T168" s="29">
        <v>123</v>
      </c>
    </row>
    <row r="169" spans="1:20">
      <c r="J169" s="167"/>
    </row>
    <row r="170" spans="1:20">
      <c r="J170" s="167"/>
    </row>
    <row r="171" spans="1:20">
      <c r="J171" s="167"/>
    </row>
    <row r="172" spans="1:20" ht="19.5" thickBot="1">
      <c r="J172" s="168"/>
    </row>
    <row r="173" spans="1:20">
      <c r="A173" s="50" t="s">
        <v>0</v>
      </c>
      <c r="B173" s="50" t="s">
        <v>530</v>
      </c>
      <c r="C173" s="50" t="s">
        <v>1</v>
      </c>
      <c r="D173" s="50" t="s">
        <v>448</v>
      </c>
      <c r="E173" s="50" t="s">
        <v>767</v>
      </c>
      <c r="F173" s="50" t="s">
        <v>768</v>
      </c>
      <c r="G173" s="50" t="s">
        <v>769</v>
      </c>
      <c r="H173" s="50" t="s">
        <v>770</v>
      </c>
      <c r="I173" s="51" t="s">
        <v>251</v>
      </c>
      <c r="J173" s="166" t="s">
        <v>431</v>
      </c>
      <c r="L173" s="120" t="s">
        <v>777</v>
      </c>
      <c r="M173" s="121">
        <v>0.2</v>
      </c>
    </row>
    <row r="174" spans="1:20" ht="19.5" thickBot="1">
      <c r="A174" s="47">
        <v>1</v>
      </c>
      <c r="B174" s="47" t="s">
        <v>860</v>
      </c>
      <c r="C174" s="47">
        <v>9901030003</v>
      </c>
      <c r="D174" s="47" t="s">
        <v>1345</v>
      </c>
      <c r="E174" s="47" t="s">
        <v>261</v>
      </c>
      <c r="F174" s="47" t="s">
        <v>261</v>
      </c>
      <c r="G174" s="47" t="s">
        <v>261</v>
      </c>
      <c r="I174" s="48">
        <v>184000000</v>
      </c>
      <c r="J174" s="167">
        <f>ROUND(((100%+$M$173)*Table3945[[#This Row],[قیمت (ریال)]])*(100%+$M$174),-6)</f>
        <v>221000000</v>
      </c>
      <c r="L174" s="122" t="s">
        <v>779</v>
      </c>
      <c r="M174" s="123">
        <v>0</v>
      </c>
      <c r="T174" s="29">
        <v>124</v>
      </c>
    </row>
    <row r="175" spans="1:20">
      <c r="A175" s="47">
        <v>2</v>
      </c>
      <c r="B175" s="47" t="s">
        <v>860</v>
      </c>
      <c r="C175" s="47">
        <v>9901030409</v>
      </c>
      <c r="D175" s="47" t="s">
        <v>861</v>
      </c>
      <c r="E175" s="47">
        <v>25</v>
      </c>
      <c r="F175" s="47">
        <v>30</v>
      </c>
      <c r="G175" s="47">
        <v>50</v>
      </c>
      <c r="I175" s="48">
        <v>310900000</v>
      </c>
      <c r="J175" s="167">
        <f>ROUND(((100%+$M$173)*Table3945[[#This Row],[قیمت (ریال)]])*(100%+$M$174),-6)</f>
        <v>373000000</v>
      </c>
      <c r="T175" s="29">
        <v>125</v>
      </c>
    </row>
    <row r="176" spans="1:20">
      <c r="A176" s="47">
        <v>3</v>
      </c>
      <c r="B176" s="47" t="s">
        <v>860</v>
      </c>
      <c r="C176" s="47">
        <v>9901030410</v>
      </c>
      <c r="D176" s="47" t="s">
        <v>1346</v>
      </c>
      <c r="E176" s="47">
        <v>25</v>
      </c>
      <c r="F176" s="47">
        <v>30</v>
      </c>
      <c r="G176" s="47">
        <v>50</v>
      </c>
      <c r="I176" s="48">
        <v>406800000</v>
      </c>
      <c r="J176" s="167">
        <f>ROUND(((100%+$M$173)*Table3945[[#This Row],[قیمت (ریال)]])*(100%+$M$174),-6)</f>
        <v>488000000</v>
      </c>
      <c r="T176" s="29">
        <v>126</v>
      </c>
    </row>
    <row r="177" spans="1:20">
      <c r="A177" s="47">
        <v>4</v>
      </c>
      <c r="B177" s="47" t="s">
        <v>860</v>
      </c>
      <c r="C177" s="47">
        <v>9901030411</v>
      </c>
      <c r="D177" s="47" t="s">
        <v>1347</v>
      </c>
      <c r="E177" s="47">
        <v>25</v>
      </c>
      <c r="F177" s="47">
        <v>30</v>
      </c>
      <c r="G177" s="47">
        <v>50</v>
      </c>
      <c r="I177" s="48">
        <v>406800000</v>
      </c>
      <c r="J177" s="167">
        <f>ROUND(((100%+$M$173)*Table3945[[#This Row],[قیمت (ریال)]])*(100%+$M$174),-6)</f>
        <v>488000000</v>
      </c>
      <c r="T177" s="29">
        <v>127</v>
      </c>
    </row>
    <row r="178" spans="1:20">
      <c r="A178" s="47">
        <v>5</v>
      </c>
      <c r="B178" s="47" t="s">
        <v>860</v>
      </c>
      <c r="C178" s="47">
        <v>9901030412</v>
      </c>
      <c r="D178" s="47" t="s">
        <v>862</v>
      </c>
      <c r="E178" s="47">
        <v>25</v>
      </c>
      <c r="F178" s="47">
        <v>30</v>
      </c>
      <c r="G178" s="47">
        <v>50</v>
      </c>
      <c r="I178" s="48">
        <v>310900000</v>
      </c>
      <c r="J178" s="167">
        <f>ROUND(((100%+$M$173)*Table3945[[#This Row],[قیمت (ریال)]])*(100%+$M$174),-6)</f>
        <v>373000000</v>
      </c>
      <c r="T178" s="29">
        <v>128</v>
      </c>
    </row>
    <row r="179" spans="1:20">
      <c r="A179" s="47">
        <v>6</v>
      </c>
      <c r="B179" s="47" t="s">
        <v>860</v>
      </c>
      <c r="C179" s="47">
        <v>9901030455</v>
      </c>
      <c r="D179" s="47" t="s">
        <v>1348</v>
      </c>
      <c r="E179" s="47" t="s">
        <v>261</v>
      </c>
      <c r="F179" s="47" t="s">
        <v>261</v>
      </c>
      <c r="G179" s="47" t="s">
        <v>261</v>
      </c>
      <c r="I179" s="48">
        <v>424600000</v>
      </c>
      <c r="J179" s="167">
        <f>ROUND(((100%+$M$173)*Table3945[[#This Row],[قیمت (ریال)]])*(100%+$M$174),-6)</f>
        <v>510000000</v>
      </c>
      <c r="T179" s="29">
        <v>129</v>
      </c>
    </row>
    <row r="180" spans="1:20">
      <c r="A180" s="47">
        <v>7</v>
      </c>
      <c r="B180" s="47" t="s">
        <v>860</v>
      </c>
      <c r="C180" s="47">
        <v>9901030458</v>
      </c>
      <c r="D180" s="47" t="s">
        <v>1349</v>
      </c>
      <c r="E180" s="47" t="s">
        <v>261</v>
      </c>
      <c r="F180" s="47" t="s">
        <v>261</v>
      </c>
      <c r="G180" s="47" t="s">
        <v>261</v>
      </c>
      <c r="I180" s="48">
        <v>424600000</v>
      </c>
      <c r="J180" s="167">
        <f>ROUND(((100%+$M$173)*Table3945[[#This Row],[قیمت (ریال)]])*(100%+$M$174),-6)</f>
        <v>510000000</v>
      </c>
      <c r="T180" s="29">
        <v>130</v>
      </c>
    </row>
    <row r="181" spans="1:20">
      <c r="J181" s="167"/>
    </row>
    <row r="182" spans="1:20">
      <c r="J182" s="168"/>
    </row>
    <row r="183" spans="1:20">
      <c r="J183" s="168"/>
    </row>
    <row r="184" spans="1:20" ht="19.5" thickBot="1">
      <c r="J184" s="168"/>
    </row>
    <row r="185" spans="1:20">
      <c r="A185" s="50" t="s">
        <v>0</v>
      </c>
      <c r="B185" s="50" t="s">
        <v>530</v>
      </c>
      <c r="C185" s="50" t="s">
        <v>1</v>
      </c>
      <c r="D185" s="50" t="s">
        <v>448</v>
      </c>
      <c r="E185" s="50" t="s">
        <v>767</v>
      </c>
      <c r="F185" s="50" t="s">
        <v>768</v>
      </c>
      <c r="G185" s="50" t="s">
        <v>769</v>
      </c>
      <c r="H185" s="50" t="s">
        <v>770</v>
      </c>
      <c r="I185" s="51" t="s">
        <v>251</v>
      </c>
      <c r="J185" s="166" t="s">
        <v>431</v>
      </c>
      <c r="L185" s="120" t="s">
        <v>777</v>
      </c>
      <c r="M185" s="121">
        <v>0.2</v>
      </c>
    </row>
    <row r="186" spans="1:20" ht="19.5" thickBot="1">
      <c r="A186" s="47">
        <v>1</v>
      </c>
      <c r="B186" s="47" t="s">
        <v>863</v>
      </c>
      <c r="C186" s="47">
        <v>9901020006</v>
      </c>
      <c r="D186" s="47" t="s">
        <v>864</v>
      </c>
      <c r="E186" s="47" t="s">
        <v>261</v>
      </c>
      <c r="F186" s="47" t="s">
        <v>261</v>
      </c>
      <c r="G186" s="47" t="s">
        <v>261</v>
      </c>
      <c r="I186" s="48">
        <v>55900000</v>
      </c>
      <c r="J186" s="167">
        <f>ROUND(((100%+$M$185)*Table4046[[#This Row],[قیمت (ریال)]])*(100%+$M$186),-6)</f>
        <v>67000000</v>
      </c>
      <c r="L186" s="122" t="s">
        <v>779</v>
      </c>
      <c r="M186" s="123">
        <v>0</v>
      </c>
      <c r="T186" s="29">
        <v>131</v>
      </c>
    </row>
    <row r="187" spans="1:20">
      <c r="A187" s="47">
        <v>2</v>
      </c>
      <c r="B187" s="47" t="s">
        <v>863</v>
      </c>
      <c r="C187" s="47">
        <v>9901020009</v>
      </c>
      <c r="D187" s="47" t="s">
        <v>1350</v>
      </c>
      <c r="E187" s="47" t="s">
        <v>261</v>
      </c>
      <c r="F187" s="47" t="s">
        <v>261</v>
      </c>
      <c r="G187" s="47" t="s">
        <v>261</v>
      </c>
      <c r="I187" s="48">
        <v>73200000</v>
      </c>
      <c r="J187" s="167">
        <f>ROUND(((100%+$M$185)*Table4046[[#This Row],[قیمت (ریال)]])*(100%+$M$186),-6)</f>
        <v>88000000</v>
      </c>
      <c r="T187" s="29">
        <v>132</v>
      </c>
    </row>
    <row r="188" spans="1:20">
      <c r="A188" s="47">
        <v>3</v>
      </c>
      <c r="B188" s="47" t="s">
        <v>863</v>
      </c>
      <c r="C188" s="47">
        <v>9901020012</v>
      </c>
      <c r="D188" s="47" t="s">
        <v>865</v>
      </c>
      <c r="E188" s="47" t="s">
        <v>261</v>
      </c>
      <c r="F188" s="47" t="s">
        <v>261</v>
      </c>
      <c r="G188" s="47" t="s">
        <v>261</v>
      </c>
      <c r="I188" s="48">
        <v>55900000</v>
      </c>
      <c r="J188" s="167">
        <f>ROUND(((100%+$M$185)*Table4046[[#This Row],[قیمت (ریال)]])*(100%+$M$186),-6)</f>
        <v>67000000</v>
      </c>
      <c r="T188" s="29">
        <v>133</v>
      </c>
    </row>
    <row r="189" spans="1:20">
      <c r="A189" s="47">
        <v>4</v>
      </c>
      <c r="B189" s="47" t="s">
        <v>863</v>
      </c>
      <c r="C189" s="47">
        <v>9901020023</v>
      </c>
      <c r="D189" s="47" t="s">
        <v>866</v>
      </c>
      <c r="E189" s="47" t="s">
        <v>261</v>
      </c>
      <c r="F189" s="47" t="s">
        <v>261</v>
      </c>
      <c r="G189" s="47" t="s">
        <v>261</v>
      </c>
      <c r="I189" s="48">
        <v>55900000</v>
      </c>
      <c r="J189" s="167">
        <f>ROUND(((100%+$M$185)*Table4046[[#This Row],[قیمت (ریال)]])*(100%+$M$186),-6)</f>
        <v>67000000</v>
      </c>
      <c r="T189" s="29">
        <v>134</v>
      </c>
    </row>
    <row r="190" spans="1:20">
      <c r="A190" s="47">
        <v>5</v>
      </c>
      <c r="B190" s="47" t="s">
        <v>863</v>
      </c>
      <c r="C190" s="47">
        <v>9901020034</v>
      </c>
      <c r="D190" s="47" t="s">
        <v>1351</v>
      </c>
      <c r="E190" s="47" t="s">
        <v>261</v>
      </c>
      <c r="F190" s="47" t="s">
        <v>261</v>
      </c>
      <c r="G190" s="47" t="s">
        <v>261</v>
      </c>
      <c r="I190" s="48">
        <v>87400000</v>
      </c>
      <c r="J190" s="167">
        <f>ROUND(((100%+$M$185)*Table4046[[#This Row],[قیمت (ریال)]])*(100%+$M$186),-6)</f>
        <v>105000000</v>
      </c>
      <c r="T190" s="29">
        <v>135</v>
      </c>
    </row>
    <row r="191" spans="1:20">
      <c r="A191" s="47">
        <v>6</v>
      </c>
      <c r="B191" s="47" t="s">
        <v>863</v>
      </c>
      <c r="C191" s="47">
        <v>9901020035</v>
      </c>
      <c r="D191" s="47" t="s">
        <v>867</v>
      </c>
      <c r="E191" s="47" t="s">
        <v>261</v>
      </c>
      <c r="F191" s="47" t="s">
        <v>261</v>
      </c>
      <c r="G191" s="47" t="s">
        <v>261</v>
      </c>
      <c r="I191" s="48">
        <v>66800000</v>
      </c>
      <c r="J191" s="167">
        <f>ROUND(((100%+$M$185)*Table4046[[#This Row],[قیمت (ریال)]])*(100%+$M$186),-6)</f>
        <v>80000000</v>
      </c>
      <c r="T191" s="29">
        <v>136</v>
      </c>
    </row>
    <row r="192" spans="1:20">
      <c r="A192" s="47">
        <v>7</v>
      </c>
      <c r="B192" s="47" t="s">
        <v>863</v>
      </c>
      <c r="C192" s="47">
        <v>9901020036</v>
      </c>
      <c r="D192" s="47" t="s">
        <v>868</v>
      </c>
      <c r="E192" s="47" t="s">
        <v>261</v>
      </c>
      <c r="F192" s="47" t="s">
        <v>261</v>
      </c>
      <c r="G192" s="47" t="s">
        <v>261</v>
      </c>
      <c r="I192" s="48">
        <v>66800000</v>
      </c>
      <c r="J192" s="167">
        <f>ROUND(((100%+$M$185)*Table4046[[#This Row],[قیمت (ریال)]])*(100%+$M$186),-6)</f>
        <v>80000000</v>
      </c>
      <c r="T192" s="29">
        <v>137</v>
      </c>
    </row>
    <row r="193" spans="1:20">
      <c r="A193" s="47">
        <v>8</v>
      </c>
      <c r="B193" s="47" t="s">
        <v>863</v>
      </c>
      <c r="C193" s="47">
        <v>9901020037</v>
      </c>
      <c r="D193" s="47" t="s">
        <v>869</v>
      </c>
      <c r="E193" s="47" t="s">
        <v>261</v>
      </c>
      <c r="F193" s="47" t="s">
        <v>261</v>
      </c>
      <c r="G193" s="47" t="s">
        <v>261</v>
      </c>
      <c r="I193" s="48">
        <v>66800000</v>
      </c>
      <c r="J193" s="167">
        <f>ROUND(((100%+$M$185)*Table4046[[#This Row],[قیمت (ریال)]])*(100%+$M$186),-6)</f>
        <v>80000000</v>
      </c>
      <c r="T193" s="29">
        <v>138</v>
      </c>
    </row>
    <row r="194" spans="1:20">
      <c r="A194" s="47">
        <v>9</v>
      </c>
      <c r="B194" s="47" t="s">
        <v>863</v>
      </c>
      <c r="C194" s="47">
        <v>9901020039</v>
      </c>
      <c r="D194" s="47" t="s">
        <v>870</v>
      </c>
      <c r="E194" s="47" t="s">
        <v>261</v>
      </c>
      <c r="F194" s="47" t="s">
        <v>261</v>
      </c>
      <c r="G194" s="47" t="s">
        <v>261</v>
      </c>
      <c r="I194" s="48">
        <v>66800000</v>
      </c>
      <c r="J194" s="167">
        <f>ROUND(((100%+$M$185)*Table4046[[#This Row],[قیمت (ریال)]])*(100%+$M$186),-6)</f>
        <v>80000000</v>
      </c>
      <c r="T194" s="29">
        <v>139</v>
      </c>
    </row>
    <row r="195" spans="1:20">
      <c r="A195" s="47">
        <v>10</v>
      </c>
      <c r="B195" s="47" t="s">
        <v>863</v>
      </c>
      <c r="C195" s="47">
        <v>9901020040</v>
      </c>
      <c r="D195" s="47" t="s">
        <v>1352</v>
      </c>
      <c r="E195" s="47" t="s">
        <v>261</v>
      </c>
      <c r="F195" s="47" t="s">
        <v>261</v>
      </c>
      <c r="G195" s="47" t="s">
        <v>261</v>
      </c>
      <c r="I195" s="48">
        <v>87400000</v>
      </c>
      <c r="J195" s="167">
        <f>ROUND(((100%+$M$185)*Table4046[[#This Row],[قیمت (ریال)]])*(100%+$M$186),-6)</f>
        <v>105000000</v>
      </c>
      <c r="T195" s="29">
        <v>140</v>
      </c>
    </row>
    <row r="196" spans="1:20">
      <c r="A196" s="47">
        <v>11</v>
      </c>
      <c r="B196" s="47" t="s">
        <v>863</v>
      </c>
      <c r="C196" s="47">
        <v>9901020056</v>
      </c>
      <c r="D196" s="47" t="s">
        <v>871</v>
      </c>
      <c r="E196" s="47" t="s">
        <v>261</v>
      </c>
      <c r="F196" s="47" t="s">
        <v>261</v>
      </c>
      <c r="G196" s="47" t="s">
        <v>261</v>
      </c>
      <c r="I196" s="48">
        <v>127700000</v>
      </c>
      <c r="J196" s="167">
        <f>ROUND(((100%+$M$185)*Table4046[[#This Row],[قیمت (ریال)]])*(100%+$M$186),-6)</f>
        <v>153000000</v>
      </c>
      <c r="T196" s="29">
        <v>141</v>
      </c>
    </row>
    <row r="197" spans="1:20">
      <c r="A197" s="47">
        <v>12</v>
      </c>
      <c r="B197" s="47" t="s">
        <v>863</v>
      </c>
      <c r="C197" s="47">
        <v>9901020057</v>
      </c>
      <c r="D197" s="47" t="s">
        <v>1353</v>
      </c>
      <c r="E197" s="47" t="s">
        <v>261</v>
      </c>
      <c r="F197" s="47" t="s">
        <v>261</v>
      </c>
      <c r="G197" s="47" t="s">
        <v>261</v>
      </c>
      <c r="I197" s="48">
        <v>167200000</v>
      </c>
      <c r="J197" s="167">
        <f>ROUND(((100%+$M$185)*Table4046[[#This Row],[قیمت (ریال)]])*(100%+$M$186),-6)</f>
        <v>201000000</v>
      </c>
      <c r="T197" s="29">
        <v>142</v>
      </c>
    </row>
    <row r="198" spans="1:20">
      <c r="A198" s="47">
        <v>13</v>
      </c>
      <c r="B198" s="47" t="s">
        <v>863</v>
      </c>
      <c r="C198" s="47">
        <v>9901020089</v>
      </c>
      <c r="D198" s="47" t="s">
        <v>1354</v>
      </c>
      <c r="E198" s="47" t="s">
        <v>261</v>
      </c>
      <c r="F198" s="47" t="s">
        <v>261</v>
      </c>
      <c r="G198" s="47" t="s">
        <v>261</v>
      </c>
      <c r="I198" s="48">
        <v>87400000</v>
      </c>
      <c r="J198" s="167">
        <f>ROUND(((100%+$M$185)*Table4046[[#This Row],[قیمت (ریال)]])*(100%+$M$186),-6)</f>
        <v>105000000</v>
      </c>
      <c r="T198" s="29">
        <v>143</v>
      </c>
    </row>
    <row r="199" spans="1:20" customFormat="1">
      <c r="A199" s="47">
        <v>14</v>
      </c>
      <c r="B199" s="47" t="s">
        <v>863</v>
      </c>
      <c r="C199" s="47">
        <v>9901020090</v>
      </c>
      <c r="D199" s="47" t="s">
        <v>872</v>
      </c>
      <c r="E199" s="47" t="s">
        <v>261</v>
      </c>
      <c r="F199" s="47" t="s">
        <v>261</v>
      </c>
      <c r="G199" s="47" t="s">
        <v>261</v>
      </c>
      <c r="H199" s="47"/>
      <c r="I199" s="48">
        <v>66800000</v>
      </c>
      <c r="J199" s="167">
        <f>ROUND(((100%+$M$185)*Table4046[[#This Row],[قیمت (ریال)]])*(100%+$M$186),-6)</f>
        <v>80000000</v>
      </c>
      <c r="L199" s="10"/>
      <c r="M199" s="10"/>
      <c r="N199" s="29"/>
      <c r="T199" s="29">
        <v>144</v>
      </c>
    </row>
    <row r="200" spans="1:20" customFormat="1">
      <c r="A200" s="47">
        <v>15</v>
      </c>
      <c r="B200" s="47" t="s">
        <v>863</v>
      </c>
      <c r="C200" s="47">
        <v>9901020091</v>
      </c>
      <c r="D200" s="47" t="s">
        <v>873</v>
      </c>
      <c r="E200" s="47" t="s">
        <v>261</v>
      </c>
      <c r="F200" s="47" t="s">
        <v>261</v>
      </c>
      <c r="G200" s="47" t="s">
        <v>261</v>
      </c>
      <c r="H200" s="47"/>
      <c r="I200" s="48">
        <v>66800000</v>
      </c>
      <c r="J200" s="167">
        <f>ROUND(((100%+$M$185)*Table4046[[#This Row],[قیمت (ریال)]])*(100%+$M$186),-6)</f>
        <v>80000000</v>
      </c>
      <c r="L200" s="124"/>
      <c r="M200" s="124"/>
      <c r="N200" s="29"/>
      <c r="T200" s="29">
        <v>145</v>
      </c>
    </row>
    <row r="201" spans="1:20" customFormat="1">
      <c r="A201" s="47">
        <v>16</v>
      </c>
      <c r="B201" s="47" t="s">
        <v>863</v>
      </c>
      <c r="C201" s="47">
        <v>9901020110</v>
      </c>
      <c r="D201" s="47" t="s">
        <v>874</v>
      </c>
      <c r="E201" s="47" t="s">
        <v>875</v>
      </c>
      <c r="F201" s="47"/>
      <c r="G201" s="47"/>
      <c r="H201" s="47"/>
      <c r="I201" s="48">
        <v>96000000</v>
      </c>
      <c r="J201" s="167">
        <f>ROUND(((100%+$M$185)*Table4046[[#This Row],[قیمت (ریال)]])*(100%+$M$186),-6)</f>
        <v>115000000</v>
      </c>
      <c r="L201" s="124"/>
      <c r="M201" s="124"/>
      <c r="N201" s="29"/>
      <c r="T201" s="29">
        <v>146</v>
      </c>
    </row>
    <row r="202" spans="1:20" customFormat="1">
      <c r="A202" s="47">
        <v>17</v>
      </c>
      <c r="B202" s="47" t="s">
        <v>863</v>
      </c>
      <c r="C202" s="47">
        <v>9901020112</v>
      </c>
      <c r="D202" s="47" t="s">
        <v>1355</v>
      </c>
      <c r="E202" s="47"/>
      <c r="F202" s="47"/>
      <c r="G202" s="47"/>
      <c r="H202" s="47"/>
      <c r="I202" s="48">
        <v>216200000</v>
      </c>
      <c r="J202" s="167">
        <f>ROUND(((100%+$M$185)*Table4046[[#This Row],[قیمت (ریال)]])*(100%+$M$186),-6)</f>
        <v>259000000</v>
      </c>
      <c r="L202" s="10"/>
      <c r="M202" s="10"/>
      <c r="N202" s="29"/>
      <c r="T202" s="29">
        <v>147</v>
      </c>
    </row>
    <row r="203" spans="1:20" customFormat="1">
      <c r="A203" s="47">
        <v>18</v>
      </c>
      <c r="B203" s="47" t="s">
        <v>863</v>
      </c>
      <c r="C203" s="47">
        <v>9901020113</v>
      </c>
      <c r="D203" s="47" t="s">
        <v>1356</v>
      </c>
      <c r="E203" s="47"/>
      <c r="F203" s="47"/>
      <c r="G203" s="47"/>
      <c r="H203" s="47"/>
      <c r="I203" s="48">
        <v>216200000</v>
      </c>
      <c r="J203" s="167">
        <f>ROUND(((100%+$M$185)*Table4046[[#This Row],[قیمت (ریال)]])*(100%+$M$186),-6)</f>
        <v>259000000</v>
      </c>
      <c r="L203" s="10"/>
      <c r="M203" s="10"/>
      <c r="N203" s="29"/>
      <c r="T203" s="29">
        <v>148</v>
      </c>
    </row>
    <row r="204" spans="1:20" customFormat="1">
      <c r="A204" s="47"/>
      <c r="B204" s="47"/>
      <c r="C204" s="47"/>
      <c r="D204" s="47"/>
      <c r="E204" s="47"/>
      <c r="F204" s="47"/>
      <c r="G204" s="47"/>
      <c r="H204" s="47"/>
      <c r="I204" s="48"/>
      <c r="J204" s="167"/>
      <c r="L204" s="10"/>
      <c r="M204" s="10"/>
      <c r="N204" s="29"/>
    </row>
    <row r="205" spans="1:20" customFormat="1">
      <c r="A205" s="47"/>
      <c r="B205" s="47"/>
      <c r="C205" s="47"/>
      <c r="D205" s="47"/>
      <c r="E205" s="47"/>
      <c r="F205" s="47"/>
      <c r="G205" s="47"/>
      <c r="H205" s="47"/>
      <c r="I205" s="48"/>
      <c r="J205" s="167"/>
      <c r="L205" s="10"/>
      <c r="M205" s="10"/>
      <c r="N205" s="29"/>
    </row>
    <row r="206" spans="1:20" customFormat="1">
      <c r="A206" s="47"/>
      <c r="B206" s="47"/>
      <c r="C206" s="47"/>
      <c r="D206" s="47"/>
      <c r="E206" s="47"/>
      <c r="F206" s="47"/>
      <c r="G206" s="47"/>
      <c r="H206" s="47"/>
      <c r="I206" s="48"/>
      <c r="J206" s="167"/>
      <c r="L206" s="10"/>
      <c r="M206" s="10"/>
      <c r="N206" s="29"/>
    </row>
    <row r="207" spans="1:20" customFormat="1">
      <c r="A207" s="47"/>
      <c r="B207" s="47"/>
      <c r="C207" s="47"/>
      <c r="D207" s="47"/>
      <c r="E207" s="47"/>
      <c r="F207" s="47"/>
      <c r="G207" s="47"/>
      <c r="H207" s="47"/>
      <c r="I207" s="48"/>
      <c r="J207" s="168"/>
      <c r="L207" s="10"/>
      <c r="M207" s="10"/>
      <c r="N207" s="29"/>
    </row>
    <row r="208" spans="1:20" customFormat="1">
      <c r="A208" s="47"/>
      <c r="B208" s="47"/>
      <c r="C208" s="47"/>
      <c r="D208" s="47"/>
      <c r="E208" s="47"/>
      <c r="F208" s="47"/>
      <c r="G208" s="47"/>
      <c r="H208" s="47"/>
      <c r="I208" s="48"/>
      <c r="J208" s="168"/>
      <c r="L208" s="10"/>
      <c r="M208" s="10"/>
      <c r="N208" s="29"/>
    </row>
    <row r="209" spans="1:20" customFormat="1" ht="19.5" thickBot="1">
      <c r="A209" s="47"/>
      <c r="B209" s="47"/>
      <c r="C209" s="47"/>
      <c r="D209" s="47"/>
      <c r="E209" s="47"/>
      <c r="F209" s="47"/>
      <c r="G209" s="47"/>
      <c r="H209" s="47"/>
      <c r="I209" s="48"/>
      <c r="J209" s="168"/>
      <c r="L209" s="10"/>
      <c r="M209" s="10"/>
      <c r="N209" s="29"/>
    </row>
    <row r="210" spans="1:20" customFormat="1">
      <c r="A210" s="50" t="s">
        <v>0</v>
      </c>
      <c r="B210" s="50" t="s">
        <v>530</v>
      </c>
      <c r="C210" s="50" t="s">
        <v>1</v>
      </c>
      <c r="D210" s="50" t="s">
        <v>448</v>
      </c>
      <c r="E210" s="50" t="s">
        <v>767</v>
      </c>
      <c r="F210" s="50" t="s">
        <v>768</v>
      </c>
      <c r="G210" s="50" t="s">
        <v>769</v>
      </c>
      <c r="H210" s="50" t="s">
        <v>770</v>
      </c>
      <c r="I210" s="51" t="s">
        <v>251</v>
      </c>
      <c r="J210" s="166" t="s">
        <v>431</v>
      </c>
      <c r="L210" s="120" t="s">
        <v>777</v>
      </c>
      <c r="M210" s="121">
        <v>0.2</v>
      </c>
      <c r="N210" s="29"/>
    </row>
    <row r="211" spans="1:20" customFormat="1" ht="19.5" thickBot="1">
      <c r="A211" s="47">
        <v>1</v>
      </c>
      <c r="B211" s="47" t="s">
        <v>876</v>
      </c>
      <c r="C211" s="47">
        <v>9901020041</v>
      </c>
      <c r="D211" s="47" t="s">
        <v>877</v>
      </c>
      <c r="E211" s="47" t="s">
        <v>878</v>
      </c>
      <c r="F211" s="47"/>
      <c r="G211" s="47"/>
      <c r="H211" s="47"/>
      <c r="I211" s="48">
        <v>46900000</v>
      </c>
      <c r="J211" s="167">
        <f>ROUND(((100%+$M$210)*Table4150[[#This Row],[قیمت (ریال)]])*(100%+$M$211),-6)</f>
        <v>56000000</v>
      </c>
      <c r="L211" s="122" t="s">
        <v>779</v>
      </c>
      <c r="M211" s="123">
        <v>0</v>
      </c>
      <c r="N211" s="29"/>
      <c r="T211">
        <v>149</v>
      </c>
    </row>
    <row r="212" spans="1:20" customFormat="1">
      <c r="A212" s="47">
        <v>2</v>
      </c>
      <c r="B212" s="47" t="s">
        <v>876</v>
      </c>
      <c r="C212" s="47">
        <v>9901020042</v>
      </c>
      <c r="D212" s="47" t="s">
        <v>879</v>
      </c>
      <c r="E212" s="47" t="s">
        <v>878</v>
      </c>
      <c r="F212" s="47"/>
      <c r="G212" s="47"/>
      <c r="H212" s="47"/>
      <c r="I212" s="48">
        <v>40600000</v>
      </c>
      <c r="J212" s="167">
        <f>ROUND(((100%+$M$210)*Table4150[[#This Row],[قیمت (ریال)]])*(100%+$M$211),-6)</f>
        <v>49000000</v>
      </c>
      <c r="L212" s="10"/>
      <c r="M212" s="10"/>
      <c r="N212" s="29"/>
      <c r="T212">
        <v>150</v>
      </c>
    </row>
    <row r="213" spans="1:20" customFormat="1">
      <c r="A213" s="47">
        <v>3</v>
      </c>
      <c r="B213" s="47" t="s">
        <v>876</v>
      </c>
      <c r="C213" s="47">
        <v>9901020044</v>
      </c>
      <c r="D213" s="47" t="s">
        <v>880</v>
      </c>
      <c r="E213" s="47" t="s">
        <v>878</v>
      </c>
      <c r="F213" s="47"/>
      <c r="G213" s="47"/>
      <c r="H213" s="47"/>
      <c r="I213" s="48">
        <v>40600000</v>
      </c>
      <c r="J213" s="167">
        <f>ROUND(((100%+$M$210)*Table4150[[#This Row],[قیمت (ریال)]])*(100%+$M$211),-6)</f>
        <v>49000000</v>
      </c>
      <c r="L213" s="10"/>
      <c r="M213" s="10"/>
      <c r="N213" s="29"/>
      <c r="T213">
        <v>151</v>
      </c>
    </row>
    <row r="214" spans="1:20" customFormat="1">
      <c r="A214" s="47">
        <v>4</v>
      </c>
      <c r="B214" s="47" t="s">
        <v>876</v>
      </c>
      <c r="C214" s="47">
        <v>9901020045</v>
      </c>
      <c r="D214" s="47" t="s">
        <v>881</v>
      </c>
      <c r="E214" s="47" t="s">
        <v>882</v>
      </c>
      <c r="F214" s="47"/>
      <c r="G214" s="47"/>
      <c r="H214" s="47"/>
      <c r="I214" s="48">
        <v>48000000</v>
      </c>
      <c r="J214" s="167">
        <f>ROUND(((100%+$M$210)*Table4150[[#This Row],[قیمت (ریال)]])*(100%+$M$211),-6)</f>
        <v>58000000</v>
      </c>
      <c r="L214" s="10"/>
      <c r="M214" s="10"/>
      <c r="N214" s="29"/>
      <c r="T214">
        <v>152</v>
      </c>
    </row>
    <row r="215" spans="1:20" customFormat="1">
      <c r="A215" s="47">
        <v>5</v>
      </c>
      <c r="B215" s="47" t="s">
        <v>876</v>
      </c>
      <c r="C215" s="47">
        <v>9901020046</v>
      </c>
      <c r="D215" s="47" t="s">
        <v>883</v>
      </c>
      <c r="E215" s="47" t="s">
        <v>884</v>
      </c>
      <c r="F215" s="47"/>
      <c r="G215" s="47"/>
      <c r="H215" s="47"/>
      <c r="I215" s="48">
        <v>52300000</v>
      </c>
      <c r="J215" s="167">
        <f>ROUND(((100%+$M$210)*Table4150[[#This Row],[قیمت (ریال)]])*(100%+$M$211),-6)</f>
        <v>63000000</v>
      </c>
      <c r="L215" s="10"/>
      <c r="M215" s="10"/>
      <c r="N215" s="29"/>
      <c r="T215">
        <v>153</v>
      </c>
    </row>
    <row r="216" spans="1:20" customFormat="1">
      <c r="A216" s="47">
        <v>6</v>
      </c>
      <c r="B216" s="47" t="s">
        <v>876</v>
      </c>
      <c r="C216" s="47">
        <v>9901020047</v>
      </c>
      <c r="D216" s="47" t="s">
        <v>885</v>
      </c>
      <c r="E216" s="47" t="s">
        <v>884</v>
      </c>
      <c r="F216" s="47"/>
      <c r="G216" s="47"/>
      <c r="H216" s="47"/>
      <c r="I216" s="48">
        <v>45000000</v>
      </c>
      <c r="J216" s="167">
        <f>ROUND(((100%+$M$210)*Table4150[[#This Row],[قیمت (ریال)]])*(100%+$M$211),-6)</f>
        <v>54000000</v>
      </c>
      <c r="L216" s="10"/>
      <c r="M216" s="10"/>
      <c r="N216" s="29"/>
      <c r="T216">
        <v>154</v>
      </c>
    </row>
    <row r="217" spans="1:20" customFormat="1">
      <c r="A217" s="47">
        <v>7</v>
      </c>
      <c r="B217" s="47" t="s">
        <v>876</v>
      </c>
      <c r="C217" s="47">
        <v>9901020049</v>
      </c>
      <c r="D217" s="47" t="s">
        <v>886</v>
      </c>
      <c r="E217" s="47" t="s">
        <v>884</v>
      </c>
      <c r="F217" s="47"/>
      <c r="G217" s="47"/>
      <c r="H217" s="47"/>
      <c r="I217" s="48">
        <v>45000000</v>
      </c>
      <c r="J217" s="167">
        <f>ROUND(((100%+$M$210)*Table4150[[#This Row],[قیمت (ریال)]])*(100%+$M$211),-6)</f>
        <v>54000000</v>
      </c>
      <c r="L217" s="10"/>
      <c r="M217" s="10"/>
      <c r="N217" s="29"/>
      <c r="T217">
        <v>155</v>
      </c>
    </row>
    <row r="218" spans="1:20" customFormat="1">
      <c r="A218" s="47">
        <v>8</v>
      </c>
      <c r="B218" s="47" t="s">
        <v>876</v>
      </c>
      <c r="C218" s="47">
        <v>9901020050</v>
      </c>
      <c r="D218" s="47" t="s">
        <v>887</v>
      </c>
      <c r="E218" s="47" t="s">
        <v>888</v>
      </c>
      <c r="F218" s="47"/>
      <c r="G218" s="47"/>
      <c r="H218" s="47"/>
      <c r="I218" s="48">
        <v>52600000</v>
      </c>
      <c r="J218" s="167">
        <f>ROUND(((100%+$M$210)*Table4150[[#This Row],[قیمت (ریال)]])*(100%+$M$211),-6)</f>
        <v>63000000</v>
      </c>
      <c r="L218" s="10"/>
      <c r="M218" s="10"/>
      <c r="N218" s="29"/>
      <c r="T218">
        <v>156</v>
      </c>
    </row>
    <row r="219" spans="1:20" customFormat="1">
      <c r="A219" s="47">
        <v>9</v>
      </c>
      <c r="B219" s="47" t="s">
        <v>876</v>
      </c>
      <c r="C219" s="47">
        <v>9901020070</v>
      </c>
      <c r="D219" s="47" t="s">
        <v>889</v>
      </c>
      <c r="E219" s="47" t="s">
        <v>890</v>
      </c>
      <c r="F219" s="47"/>
      <c r="G219" s="47"/>
      <c r="H219" s="47"/>
      <c r="I219" s="48">
        <v>46600000</v>
      </c>
      <c r="J219" s="167">
        <f>ROUND(((100%+$M$210)*Table4150[[#This Row],[قیمت (ریال)]])*(100%+$M$211),-6)</f>
        <v>56000000</v>
      </c>
      <c r="L219" s="10"/>
      <c r="M219" s="10"/>
      <c r="N219" s="29"/>
      <c r="T219">
        <v>157</v>
      </c>
    </row>
    <row r="220" spans="1:20" customFormat="1">
      <c r="A220" s="47">
        <v>10</v>
      </c>
      <c r="B220" s="47" t="s">
        <v>876</v>
      </c>
      <c r="C220" s="47">
        <v>9901020071</v>
      </c>
      <c r="D220" s="47" t="s">
        <v>891</v>
      </c>
      <c r="E220" s="47" t="s">
        <v>882</v>
      </c>
      <c r="F220" s="47"/>
      <c r="G220" s="47"/>
      <c r="H220" s="47"/>
      <c r="I220" s="48">
        <v>51000000</v>
      </c>
      <c r="J220" s="167">
        <f>ROUND(((100%+$M$210)*Table4150[[#This Row],[قیمت (ریال)]])*(100%+$M$211),-6)</f>
        <v>61000000</v>
      </c>
      <c r="L220" s="10"/>
      <c r="M220" s="10"/>
      <c r="N220" s="29"/>
      <c r="T220">
        <v>158</v>
      </c>
    </row>
    <row r="221" spans="1:20" customFormat="1">
      <c r="A221" s="47">
        <v>11</v>
      </c>
      <c r="B221" s="47" t="s">
        <v>876</v>
      </c>
      <c r="C221" s="47">
        <v>9901020072</v>
      </c>
      <c r="D221" s="47" t="s">
        <v>892</v>
      </c>
      <c r="E221" s="47" t="s">
        <v>890</v>
      </c>
      <c r="F221" s="47"/>
      <c r="G221" s="47"/>
      <c r="H221" s="47"/>
      <c r="I221" s="48">
        <v>46600000</v>
      </c>
      <c r="J221" s="167">
        <f>ROUND(((100%+$M$210)*Table4150[[#This Row],[قیمت (ریال)]])*(100%+$M$211),-6)</f>
        <v>56000000</v>
      </c>
      <c r="L221" s="10"/>
      <c r="M221" s="10"/>
      <c r="N221" s="29"/>
      <c r="T221">
        <v>159</v>
      </c>
    </row>
    <row r="222" spans="1:20" customFormat="1">
      <c r="A222" s="47">
        <v>12</v>
      </c>
      <c r="B222" s="47" t="s">
        <v>876</v>
      </c>
      <c r="C222" s="47">
        <v>9901020073</v>
      </c>
      <c r="D222" s="47" t="s">
        <v>893</v>
      </c>
      <c r="E222" s="47" t="s">
        <v>882</v>
      </c>
      <c r="F222" s="47"/>
      <c r="G222" s="47"/>
      <c r="H222" s="47"/>
      <c r="I222" s="48">
        <v>51000000</v>
      </c>
      <c r="J222" s="167">
        <f>ROUND(((100%+$M$210)*Table4150[[#This Row],[قیمت (ریال)]])*(100%+$M$211),-6)</f>
        <v>61000000</v>
      </c>
      <c r="L222" s="10"/>
      <c r="M222" s="10"/>
      <c r="N222" s="29"/>
      <c r="T222">
        <v>160</v>
      </c>
    </row>
    <row r="223" spans="1:20" customFormat="1">
      <c r="A223" s="47">
        <v>13</v>
      </c>
      <c r="B223" s="47" t="s">
        <v>876</v>
      </c>
      <c r="C223" s="47">
        <v>9901020074</v>
      </c>
      <c r="D223" s="47" t="s">
        <v>1357</v>
      </c>
      <c r="E223" s="47" t="s">
        <v>890</v>
      </c>
      <c r="F223" s="47"/>
      <c r="G223" s="47"/>
      <c r="H223" s="47"/>
      <c r="I223" s="48">
        <v>61000000</v>
      </c>
      <c r="J223" s="167">
        <f>ROUND(((100%+$M$210)*Table4150[[#This Row],[قیمت (ریال)]])*(100%+$M$211),-6)</f>
        <v>73000000</v>
      </c>
      <c r="L223" s="10"/>
      <c r="M223" s="10"/>
      <c r="N223" s="29"/>
      <c r="T223">
        <v>161</v>
      </c>
    </row>
    <row r="224" spans="1:20" customFormat="1">
      <c r="A224" s="47">
        <v>14</v>
      </c>
      <c r="B224" s="47" t="s">
        <v>876</v>
      </c>
      <c r="C224" s="47">
        <v>9901020075</v>
      </c>
      <c r="D224" s="47" t="s">
        <v>894</v>
      </c>
      <c r="E224" s="47" t="s">
        <v>882</v>
      </c>
      <c r="F224" s="47"/>
      <c r="G224" s="47"/>
      <c r="H224" s="47"/>
      <c r="I224" s="48">
        <v>51000000</v>
      </c>
      <c r="J224" s="167">
        <f>ROUND(((100%+$M$210)*Table4150[[#This Row],[قیمت (ریال)]])*(100%+$M$211),-6)</f>
        <v>61000000</v>
      </c>
      <c r="L224" s="10"/>
      <c r="M224" s="10"/>
      <c r="N224" s="29"/>
      <c r="T224">
        <v>162</v>
      </c>
    </row>
    <row r="225" spans="1:20" customFormat="1">
      <c r="A225" s="47">
        <v>15</v>
      </c>
      <c r="B225" s="47" t="s">
        <v>876</v>
      </c>
      <c r="C225" s="47">
        <v>9901020076</v>
      </c>
      <c r="D225" s="47" t="s">
        <v>1358</v>
      </c>
      <c r="E225" s="47" t="s">
        <v>890</v>
      </c>
      <c r="F225" s="47"/>
      <c r="G225" s="47"/>
      <c r="H225" s="47"/>
      <c r="I225" s="48">
        <v>61000000</v>
      </c>
      <c r="J225" s="167">
        <f>ROUND(((100%+$M$210)*Table4150[[#This Row],[قیمت (ریال)]])*(100%+$M$211),-6)</f>
        <v>73000000</v>
      </c>
      <c r="L225" s="10"/>
      <c r="M225" s="10"/>
      <c r="N225" s="29"/>
      <c r="T225">
        <v>163</v>
      </c>
    </row>
    <row r="226" spans="1:20" customFormat="1">
      <c r="A226" s="47">
        <v>16</v>
      </c>
      <c r="B226" s="47" t="s">
        <v>876</v>
      </c>
      <c r="C226" s="47">
        <v>9901020077</v>
      </c>
      <c r="D226" s="47" t="s">
        <v>895</v>
      </c>
      <c r="E226" s="47" t="s">
        <v>882</v>
      </c>
      <c r="F226" s="47"/>
      <c r="G226" s="47"/>
      <c r="H226" s="47"/>
      <c r="I226" s="48">
        <v>51000000</v>
      </c>
      <c r="J226" s="167">
        <f>ROUND(((100%+$M$210)*Table4150[[#This Row],[قیمت (ریال)]])*(100%+$M$211),-6)</f>
        <v>61000000</v>
      </c>
      <c r="L226" s="10"/>
      <c r="M226" s="10"/>
      <c r="N226" s="29"/>
      <c r="T226">
        <v>164</v>
      </c>
    </row>
    <row r="227" spans="1:20" customFormat="1">
      <c r="A227" s="47">
        <v>17</v>
      </c>
      <c r="B227" s="47" t="s">
        <v>876</v>
      </c>
      <c r="C227" s="47">
        <v>9901020078</v>
      </c>
      <c r="D227" s="47" t="s">
        <v>896</v>
      </c>
      <c r="E227" s="47" t="s">
        <v>878</v>
      </c>
      <c r="F227" s="47"/>
      <c r="G227" s="47"/>
      <c r="H227" s="47"/>
      <c r="I227" s="48">
        <v>40600000</v>
      </c>
      <c r="J227" s="167">
        <f>ROUND(((100%+$M$210)*Table4150[[#This Row],[قیمت (ریال)]])*(100%+$M$211),-6)</f>
        <v>49000000</v>
      </c>
      <c r="L227" s="10"/>
      <c r="M227" s="10"/>
      <c r="N227" s="29"/>
      <c r="T227">
        <v>165</v>
      </c>
    </row>
    <row r="228" spans="1:20">
      <c r="A228" s="47">
        <v>18</v>
      </c>
      <c r="B228" s="47" t="s">
        <v>876</v>
      </c>
      <c r="C228" s="47">
        <v>9901020079</v>
      </c>
      <c r="D228" s="47" t="s">
        <v>897</v>
      </c>
      <c r="E228" s="47" t="s">
        <v>884</v>
      </c>
      <c r="I228" s="48">
        <v>45000000</v>
      </c>
      <c r="J228" s="167">
        <f>ROUND(((100%+$M$210)*Table4150[[#This Row],[قیمت (ریال)]])*(100%+$M$211),-6)</f>
        <v>54000000</v>
      </c>
      <c r="T228">
        <v>166</v>
      </c>
    </row>
    <row r="229" spans="1:20">
      <c r="A229" s="47">
        <v>19</v>
      </c>
      <c r="B229" s="47" t="s">
        <v>876</v>
      </c>
      <c r="C229" s="47">
        <v>9901020102</v>
      </c>
      <c r="D229" s="47" t="s">
        <v>1359</v>
      </c>
      <c r="E229" s="47" t="s">
        <v>890</v>
      </c>
      <c r="I229" s="48">
        <v>61000000</v>
      </c>
      <c r="J229" s="167">
        <f>ROUND(((100%+$M$210)*Table4150[[#This Row],[قیمت (ریال)]])*(100%+$M$211),-6)</f>
        <v>73000000</v>
      </c>
      <c r="T229">
        <v>167</v>
      </c>
    </row>
    <row r="230" spans="1:20">
      <c r="A230" s="47">
        <v>20</v>
      </c>
      <c r="B230" s="47" t="s">
        <v>876</v>
      </c>
      <c r="C230" s="47">
        <v>9901020104</v>
      </c>
      <c r="D230" s="47" t="s">
        <v>1360</v>
      </c>
      <c r="E230" s="47" t="s">
        <v>878</v>
      </c>
      <c r="I230" s="48">
        <v>49200000</v>
      </c>
      <c r="J230" s="167">
        <f>ROUND(((100%+$M$210)*Table4150[[#This Row],[قیمت (ریال)]])*(100%+$M$211),-6)</f>
        <v>59000000</v>
      </c>
      <c r="T230">
        <v>168</v>
      </c>
    </row>
    <row r="231" spans="1:20" customFormat="1">
      <c r="A231" s="47">
        <v>21</v>
      </c>
      <c r="B231" s="47" t="s">
        <v>876</v>
      </c>
      <c r="C231" s="47">
        <v>9901020105</v>
      </c>
      <c r="D231" s="47" t="s">
        <v>1361</v>
      </c>
      <c r="E231" s="47" t="s">
        <v>890</v>
      </c>
      <c r="F231" s="47"/>
      <c r="G231" s="47"/>
      <c r="H231" s="47"/>
      <c r="I231" s="48">
        <v>61000000</v>
      </c>
      <c r="J231" s="167">
        <f>ROUND(((100%+$M$210)*Table4150[[#This Row],[قیمت (ریال)]])*(100%+$M$211),-6)</f>
        <v>73000000</v>
      </c>
      <c r="L231" s="10"/>
      <c r="M231" s="10"/>
      <c r="N231" s="29"/>
      <c r="T231">
        <v>169</v>
      </c>
    </row>
    <row r="232" spans="1:20" customFormat="1">
      <c r="A232" s="47">
        <v>22</v>
      </c>
      <c r="B232" s="47" t="s">
        <v>876</v>
      </c>
      <c r="C232" s="47">
        <v>9901020107</v>
      </c>
      <c r="D232" s="47" t="s">
        <v>1362</v>
      </c>
      <c r="E232" s="47" t="s">
        <v>878</v>
      </c>
      <c r="F232" s="47"/>
      <c r="G232" s="47"/>
      <c r="H232" s="47"/>
      <c r="I232" s="48">
        <v>108000000</v>
      </c>
      <c r="J232" s="167">
        <f>ROUND(((100%+$M$210)*Table4150[[#This Row],[قیمت (ریال)]])*(100%+$M$211),-6)</f>
        <v>130000000</v>
      </c>
      <c r="L232" s="124"/>
      <c r="M232" s="124"/>
      <c r="N232" s="29"/>
      <c r="T232">
        <v>170</v>
      </c>
    </row>
    <row r="233" spans="1:20" customFormat="1">
      <c r="A233" s="47">
        <v>23</v>
      </c>
      <c r="B233" s="47" t="s">
        <v>876</v>
      </c>
      <c r="C233" s="47">
        <v>9901020108</v>
      </c>
      <c r="D233" s="47" t="s">
        <v>1363</v>
      </c>
      <c r="E233" s="47" t="s">
        <v>890</v>
      </c>
      <c r="F233" s="47"/>
      <c r="G233" s="47"/>
      <c r="H233" s="47"/>
      <c r="I233" s="48">
        <v>139700000</v>
      </c>
      <c r="J233" s="167">
        <f>ROUND(((100%+$M$210)*Table4150[[#This Row],[قیمت (ریال)]])*(100%+$M$211),-6)</f>
        <v>168000000</v>
      </c>
      <c r="L233" s="124"/>
      <c r="M233" s="124"/>
      <c r="N233" s="29"/>
      <c r="T233">
        <v>171</v>
      </c>
    </row>
    <row r="234" spans="1:20" customFormat="1">
      <c r="A234" s="47">
        <v>24</v>
      </c>
      <c r="B234" s="47" t="s">
        <v>876</v>
      </c>
      <c r="C234" s="47">
        <v>9901020133</v>
      </c>
      <c r="D234" s="47" t="s">
        <v>1364</v>
      </c>
      <c r="E234" s="47"/>
      <c r="F234" s="47"/>
      <c r="G234" s="47"/>
      <c r="H234" s="47"/>
      <c r="I234" s="48">
        <v>49200000</v>
      </c>
      <c r="J234" s="167">
        <f>ROUND(((100%+$M$210)*Table4150[[#This Row],[قیمت (ریال)]])*(100%+$M$211),-6)</f>
        <v>59000000</v>
      </c>
      <c r="L234" s="10"/>
      <c r="M234" s="10"/>
      <c r="N234" s="29"/>
      <c r="T234">
        <v>172</v>
      </c>
    </row>
    <row r="235" spans="1:20" customFormat="1">
      <c r="A235" s="47">
        <v>25</v>
      </c>
      <c r="B235" s="47" t="s">
        <v>876</v>
      </c>
      <c r="C235" s="47">
        <v>9901020134</v>
      </c>
      <c r="D235" s="47" t="s">
        <v>1365</v>
      </c>
      <c r="E235" s="47"/>
      <c r="F235" s="47"/>
      <c r="G235" s="47"/>
      <c r="H235" s="47"/>
      <c r="I235" s="48">
        <v>61000000</v>
      </c>
      <c r="J235" s="167">
        <f>ROUND(((100%+$M$210)*Table4150[[#This Row],[قیمت (ریال)]])*(100%+$M$211),-6)</f>
        <v>73000000</v>
      </c>
      <c r="L235" s="10"/>
      <c r="M235" s="10"/>
      <c r="N235" s="29"/>
      <c r="T235">
        <v>173</v>
      </c>
    </row>
    <row r="236" spans="1:20" customFormat="1">
      <c r="A236" s="47">
        <v>26</v>
      </c>
      <c r="B236" s="47" t="s">
        <v>876</v>
      </c>
      <c r="C236" s="47">
        <v>9901020136</v>
      </c>
      <c r="D236" s="47" t="s">
        <v>1366</v>
      </c>
      <c r="E236" s="47"/>
      <c r="F236" s="47"/>
      <c r="G236" s="47"/>
      <c r="H236" s="47"/>
      <c r="I236" s="48">
        <v>49200000</v>
      </c>
      <c r="J236" s="167">
        <f>ROUND(((100%+$M$210)*Table4150[[#This Row],[قیمت (ریال)]])*(100%+$M$211),-6)</f>
        <v>59000000</v>
      </c>
      <c r="L236" s="10"/>
      <c r="M236" s="10"/>
      <c r="N236" s="29"/>
      <c r="T236">
        <v>174</v>
      </c>
    </row>
    <row r="237" spans="1:20" customFormat="1">
      <c r="A237" s="47">
        <v>27</v>
      </c>
      <c r="B237" s="47" t="s">
        <v>876</v>
      </c>
      <c r="C237" s="47">
        <v>9901020137</v>
      </c>
      <c r="D237" s="47" t="s">
        <v>1367</v>
      </c>
      <c r="E237" s="47"/>
      <c r="F237" s="47"/>
      <c r="G237" s="47"/>
      <c r="H237" s="47"/>
      <c r="I237" s="48">
        <v>61000000</v>
      </c>
      <c r="J237" s="167">
        <f>ROUND(((100%+$M$210)*Table4150[[#This Row],[قیمت (ریال)]])*(100%+$M$211),-6)</f>
        <v>73000000</v>
      </c>
      <c r="L237" s="10"/>
      <c r="M237" s="10"/>
      <c r="N237" s="29"/>
      <c r="T237">
        <v>175</v>
      </c>
    </row>
    <row r="238" spans="1:20" customFormat="1">
      <c r="A238" s="47"/>
      <c r="B238" s="47"/>
      <c r="C238" s="47"/>
      <c r="D238" s="47"/>
      <c r="E238" s="47"/>
      <c r="F238" s="47"/>
      <c r="G238" s="47"/>
      <c r="H238" s="47"/>
      <c r="I238" s="48"/>
      <c r="J238" s="167"/>
      <c r="L238" s="10"/>
      <c r="M238" s="10"/>
      <c r="N238" s="29"/>
    </row>
    <row r="239" spans="1:20" customFormat="1">
      <c r="A239" s="47"/>
      <c r="B239" s="47"/>
      <c r="C239" s="47"/>
      <c r="D239" s="47"/>
      <c r="E239" s="47"/>
      <c r="F239" s="47"/>
      <c r="G239" s="47"/>
      <c r="H239" s="47"/>
      <c r="I239" s="48"/>
      <c r="J239" s="168"/>
      <c r="L239" s="10"/>
      <c r="M239" s="10"/>
      <c r="N239" s="29"/>
    </row>
    <row r="240" spans="1:20" customFormat="1">
      <c r="A240" s="47"/>
      <c r="B240" s="47"/>
      <c r="C240" s="47"/>
      <c r="D240" s="47"/>
      <c r="E240" s="47"/>
      <c r="F240" s="47"/>
      <c r="G240" s="47"/>
      <c r="H240" s="47"/>
      <c r="I240" s="48"/>
      <c r="J240" s="168"/>
      <c r="L240" s="10"/>
      <c r="M240" s="10"/>
      <c r="N240" s="29"/>
    </row>
    <row r="241" spans="1:20" customFormat="1" ht="19.5" thickBot="1">
      <c r="A241" s="47"/>
      <c r="B241" s="47"/>
      <c r="C241" s="47"/>
      <c r="D241" s="47"/>
      <c r="E241" s="47"/>
      <c r="F241" s="47"/>
      <c r="G241" s="47"/>
      <c r="H241" s="47"/>
      <c r="I241" s="48"/>
      <c r="J241" s="168"/>
      <c r="L241" s="124"/>
      <c r="M241" s="124"/>
      <c r="N241" s="29"/>
    </row>
    <row r="242" spans="1:20" customFormat="1">
      <c r="A242" s="50" t="s">
        <v>0</v>
      </c>
      <c r="B242" s="50" t="s">
        <v>530</v>
      </c>
      <c r="C242" s="50" t="s">
        <v>1</v>
      </c>
      <c r="D242" s="50" t="s">
        <v>448</v>
      </c>
      <c r="E242" s="50" t="s">
        <v>767</v>
      </c>
      <c r="F242" s="50" t="s">
        <v>768</v>
      </c>
      <c r="G242" s="50" t="s">
        <v>769</v>
      </c>
      <c r="H242" s="50" t="s">
        <v>770</v>
      </c>
      <c r="I242" s="51" t="s">
        <v>251</v>
      </c>
      <c r="J242" s="166" t="s">
        <v>431</v>
      </c>
      <c r="L242" s="120" t="s">
        <v>777</v>
      </c>
      <c r="M242" s="121">
        <v>0.2</v>
      </c>
      <c r="N242" s="29"/>
    </row>
    <row r="243" spans="1:20" customFormat="1" ht="19.5" thickBot="1">
      <c r="A243" s="47">
        <v>1</v>
      </c>
      <c r="B243" s="47" t="s">
        <v>898</v>
      </c>
      <c r="C243" s="47">
        <v>9901020051</v>
      </c>
      <c r="D243" s="47" t="s">
        <v>899</v>
      </c>
      <c r="E243" s="47" t="s">
        <v>261</v>
      </c>
      <c r="F243" s="47"/>
      <c r="G243" s="47"/>
      <c r="H243" s="47"/>
      <c r="I243" s="48">
        <v>11300000</v>
      </c>
      <c r="J243" s="167">
        <f>ROUND(((100%+$M$242)*Table42[[#This Row],[قیمت (ریال)]])*(100%+$M$243),-6)</f>
        <v>14000000</v>
      </c>
      <c r="L243" s="122" t="s">
        <v>779</v>
      </c>
      <c r="M243" s="123">
        <v>0</v>
      </c>
      <c r="N243" s="29"/>
      <c r="T243" s="161">
        <v>176</v>
      </c>
    </row>
    <row r="244" spans="1:20">
      <c r="A244" s="47">
        <v>2</v>
      </c>
      <c r="B244" s="47" t="s">
        <v>898</v>
      </c>
      <c r="C244" s="47">
        <v>9901020052</v>
      </c>
      <c r="D244" s="47" t="s">
        <v>900</v>
      </c>
      <c r="E244" s="47" t="s">
        <v>261</v>
      </c>
      <c r="I244" s="48">
        <v>11300000</v>
      </c>
      <c r="J244" s="167">
        <f>ROUND(((100%+$M$242)*Table42[[#This Row],[قیمت (ریال)]])*(100%+$M$243),-6)</f>
        <v>14000000</v>
      </c>
      <c r="T244" s="162">
        <v>177</v>
      </c>
    </row>
    <row r="245" spans="1:20">
      <c r="A245" s="47">
        <v>3</v>
      </c>
      <c r="B245" s="47" t="s">
        <v>898</v>
      </c>
      <c r="C245" s="47">
        <v>9901020054</v>
      </c>
      <c r="D245" s="47" t="s">
        <v>901</v>
      </c>
      <c r="E245" s="47" t="s">
        <v>261</v>
      </c>
      <c r="I245" s="48">
        <v>11300000</v>
      </c>
      <c r="J245" s="167">
        <f>ROUND(((100%+$M$242)*Table42[[#This Row],[قیمت (ریال)]])*(100%+$M$243),-6)</f>
        <v>14000000</v>
      </c>
      <c r="T245" s="161">
        <v>178</v>
      </c>
    </row>
    <row r="246" spans="1:20" customFormat="1">
      <c r="A246" s="47">
        <v>4</v>
      </c>
      <c r="B246" s="47" t="s">
        <v>898</v>
      </c>
      <c r="C246" s="47">
        <v>9901020055</v>
      </c>
      <c r="D246" s="47" t="s">
        <v>1368</v>
      </c>
      <c r="E246" s="47" t="s">
        <v>261</v>
      </c>
      <c r="F246" s="47"/>
      <c r="G246" s="47"/>
      <c r="H246" s="47"/>
      <c r="I246" s="48">
        <v>14900000</v>
      </c>
      <c r="J246" s="167">
        <f>ROUND(((100%+$M$242)*Table42[[#This Row],[قیمت (ریال)]])*(100%+$M$243),-6)</f>
        <v>18000000</v>
      </c>
      <c r="L246" s="10"/>
      <c r="M246" s="10"/>
      <c r="N246" s="29"/>
      <c r="T246" s="162">
        <v>179</v>
      </c>
    </row>
    <row r="247" spans="1:20" customFormat="1">
      <c r="A247" s="47">
        <v>5</v>
      </c>
      <c r="B247" s="47" t="s">
        <v>898</v>
      </c>
      <c r="C247" s="47">
        <v>9901030057</v>
      </c>
      <c r="D247" s="47" t="s">
        <v>1369</v>
      </c>
      <c r="E247" s="47" t="s">
        <v>261</v>
      </c>
      <c r="F247" s="47"/>
      <c r="G247" s="47"/>
      <c r="H247" s="47"/>
      <c r="I247" s="48">
        <v>11800000</v>
      </c>
      <c r="J247" s="167">
        <f>ROUND(((100%+$M$242)*Table42[[#This Row],[قیمت (ریال)]])*(100%+$M$243),-6)</f>
        <v>14000000</v>
      </c>
      <c r="L247" s="124"/>
      <c r="M247" s="124"/>
      <c r="N247" s="29"/>
      <c r="T247" s="161">
        <v>180</v>
      </c>
    </row>
    <row r="248" spans="1:20" customFormat="1">
      <c r="A248" s="47">
        <v>6</v>
      </c>
      <c r="B248" s="47" t="s">
        <v>898</v>
      </c>
      <c r="C248" s="47">
        <v>9901020080</v>
      </c>
      <c r="D248" s="47" t="s">
        <v>902</v>
      </c>
      <c r="E248" s="47" t="s">
        <v>261</v>
      </c>
      <c r="F248" s="47"/>
      <c r="G248" s="47"/>
      <c r="H248" s="47"/>
      <c r="I248" s="48">
        <v>11300000</v>
      </c>
      <c r="J248" s="167">
        <f>ROUND(((100%+$M$242)*Table42[[#This Row],[قیمت (ریال)]])*(100%+$M$243),-6)</f>
        <v>14000000</v>
      </c>
      <c r="L248" s="124"/>
      <c r="M248" s="124"/>
      <c r="N248" s="29"/>
      <c r="T248" s="162">
        <v>181</v>
      </c>
    </row>
    <row r="249" spans="1:20" customFormat="1">
      <c r="A249" s="47">
        <v>7</v>
      </c>
      <c r="B249" s="47" t="s">
        <v>898</v>
      </c>
      <c r="C249" s="47">
        <v>9901020081</v>
      </c>
      <c r="D249" s="47" t="s">
        <v>903</v>
      </c>
      <c r="E249" s="47" t="s">
        <v>261</v>
      </c>
      <c r="F249" s="47"/>
      <c r="G249" s="47"/>
      <c r="H249" s="47"/>
      <c r="I249" s="48">
        <v>11300000</v>
      </c>
      <c r="J249" s="167">
        <f>ROUND(((100%+$M$242)*Table42[[#This Row],[قیمت (ریال)]])*(100%+$M$243),-6)</f>
        <v>14000000</v>
      </c>
      <c r="L249" s="10"/>
      <c r="M249" s="10"/>
      <c r="N249" s="29"/>
      <c r="T249" s="161">
        <v>182</v>
      </c>
    </row>
    <row r="250" spans="1:20" customFormat="1">
      <c r="A250" s="47">
        <v>8</v>
      </c>
      <c r="B250" s="47" t="s">
        <v>898</v>
      </c>
      <c r="C250" s="47">
        <v>9901020082</v>
      </c>
      <c r="D250" s="47" t="s">
        <v>904</v>
      </c>
      <c r="E250" s="47" t="s">
        <v>261</v>
      </c>
      <c r="F250" s="47"/>
      <c r="G250" s="47"/>
      <c r="H250" s="47"/>
      <c r="I250" s="48">
        <v>11300000</v>
      </c>
      <c r="J250" s="167">
        <f>ROUND(((100%+$M$242)*Table42[[#This Row],[قیمت (ریال)]])*(100%+$M$243),-6)</f>
        <v>14000000</v>
      </c>
      <c r="L250" s="10"/>
      <c r="M250" s="10"/>
      <c r="N250" s="29"/>
      <c r="T250" s="162">
        <v>183</v>
      </c>
    </row>
    <row r="251" spans="1:20" customFormat="1">
      <c r="A251" s="47">
        <v>9</v>
      </c>
      <c r="B251" s="47" t="s">
        <v>898</v>
      </c>
      <c r="C251" s="47">
        <v>9901020106</v>
      </c>
      <c r="D251" s="47" t="s">
        <v>1370</v>
      </c>
      <c r="E251" s="47" t="s">
        <v>261</v>
      </c>
      <c r="F251" s="47"/>
      <c r="G251" s="47"/>
      <c r="H251" s="47"/>
      <c r="I251" s="48">
        <v>12700000</v>
      </c>
      <c r="J251" s="167">
        <f>ROUND(((100%+$M$242)*Table42[[#This Row],[قیمت (ریال)]])*(100%+$M$243),-6)</f>
        <v>15000000</v>
      </c>
      <c r="L251" s="10"/>
      <c r="M251" s="10"/>
      <c r="N251" s="29"/>
      <c r="T251" s="161">
        <v>184</v>
      </c>
    </row>
    <row r="252" spans="1:20" customFormat="1">
      <c r="A252" s="47">
        <v>10</v>
      </c>
      <c r="B252" s="47" t="s">
        <v>1371</v>
      </c>
      <c r="C252" s="47">
        <v>9901020109</v>
      </c>
      <c r="D252" s="47" t="s">
        <v>1372</v>
      </c>
      <c r="E252" s="47" t="s">
        <v>1373</v>
      </c>
      <c r="F252" s="47"/>
      <c r="G252" s="47"/>
      <c r="H252" s="47"/>
      <c r="I252" s="48">
        <v>35400000</v>
      </c>
      <c r="J252" s="167">
        <f>ROUND(((100%+$M$242)*Table42[[#This Row],[قیمت (ریال)]])*(100%+$M$243),-6)</f>
        <v>42000000</v>
      </c>
      <c r="L252" s="10"/>
      <c r="M252" s="10"/>
      <c r="N252" s="29"/>
      <c r="T252" s="162">
        <v>185</v>
      </c>
    </row>
    <row r="253" spans="1:20" customFormat="1">
      <c r="A253" s="47">
        <v>11</v>
      </c>
      <c r="B253" s="47" t="s">
        <v>898</v>
      </c>
      <c r="C253" s="47">
        <v>9901020135</v>
      </c>
      <c r="D253" s="47" t="s">
        <v>1374</v>
      </c>
      <c r="E253" s="47"/>
      <c r="F253" s="47"/>
      <c r="G253" s="47"/>
      <c r="H253" s="47"/>
      <c r="I253" s="48">
        <v>12700000</v>
      </c>
      <c r="J253" s="167">
        <f>ROUND(((100%+$M$242)*Table42[[#This Row],[قیمت (ریال)]])*(100%+$M$243),-6)</f>
        <v>15000000</v>
      </c>
      <c r="L253" s="10"/>
      <c r="M253" s="10"/>
      <c r="N253" s="29"/>
      <c r="T253" s="161">
        <v>186</v>
      </c>
    </row>
    <row r="254" spans="1:20" customFormat="1">
      <c r="A254" s="47">
        <v>12</v>
      </c>
      <c r="B254" s="47" t="s">
        <v>898</v>
      </c>
      <c r="C254" s="47">
        <v>9901030543</v>
      </c>
      <c r="D254" s="47" t="s">
        <v>1375</v>
      </c>
      <c r="E254" s="47"/>
      <c r="F254" s="47"/>
      <c r="G254" s="47"/>
      <c r="H254" s="47"/>
      <c r="I254" s="48">
        <v>11800000</v>
      </c>
      <c r="J254" s="167">
        <f>ROUND(((100%+$M$242)*Table42[[#This Row],[قیمت (ریال)]])*(100%+$M$243),-6)</f>
        <v>14000000</v>
      </c>
      <c r="L254" s="10"/>
      <c r="M254" s="10"/>
      <c r="N254" s="29"/>
      <c r="T254" s="162">
        <v>187</v>
      </c>
    </row>
    <row r="255" spans="1:20" customFormat="1">
      <c r="A255" s="47"/>
      <c r="B255" s="47"/>
      <c r="C255" s="47"/>
      <c r="D255" s="47"/>
      <c r="E255" s="47"/>
      <c r="F255" s="47"/>
      <c r="G255" s="47"/>
      <c r="H255" s="47"/>
      <c r="I255" s="48"/>
      <c r="J255" s="168"/>
      <c r="L255" s="10"/>
      <c r="M255" s="10"/>
      <c r="N255" s="29"/>
    </row>
    <row r="256" spans="1:20" customFormat="1">
      <c r="A256" s="47"/>
      <c r="B256" s="47"/>
      <c r="C256" s="47"/>
      <c r="D256" s="47"/>
      <c r="E256" s="47"/>
      <c r="F256" s="47"/>
      <c r="G256" s="47"/>
      <c r="H256" s="47"/>
      <c r="I256" s="48"/>
      <c r="J256" s="168"/>
      <c r="L256" s="10"/>
      <c r="M256" s="10"/>
      <c r="N256" s="29"/>
    </row>
    <row r="257" spans="1:20" customFormat="1">
      <c r="A257" s="47"/>
      <c r="B257" s="47"/>
      <c r="C257" s="47"/>
      <c r="D257" s="47"/>
      <c r="E257" s="47"/>
      <c r="F257" s="47"/>
      <c r="G257" s="47"/>
      <c r="H257" s="47"/>
      <c r="I257" s="48"/>
      <c r="J257" s="168"/>
      <c r="L257" s="10"/>
      <c r="M257" s="10"/>
      <c r="N257" s="29"/>
    </row>
    <row r="258" spans="1:20" customFormat="1" ht="19.5" thickBot="1">
      <c r="A258" s="47"/>
      <c r="B258" s="47"/>
      <c r="C258" s="47"/>
      <c r="D258" s="47"/>
      <c r="E258" s="47"/>
      <c r="F258" s="47"/>
      <c r="G258" s="47"/>
      <c r="H258" s="47"/>
      <c r="I258" s="48"/>
      <c r="J258" s="168"/>
      <c r="L258" s="124"/>
      <c r="M258" s="124"/>
      <c r="N258" s="29"/>
    </row>
    <row r="259" spans="1:20" customFormat="1">
      <c r="A259" s="50" t="s">
        <v>0</v>
      </c>
      <c r="B259" s="50" t="s">
        <v>530</v>
      </c>
      <c r="C259" s="50" t="s">
        <v>1</v>
      </c>
      <c r="D259" s="50" t="s">
        <v>448</v>
      </c>
      <c r="E259" s="50" t="s">
        <v>767</v>
      </c>
      <c r="F259" s="50" t="s">
        <v>768</v>
      </c>
      <c r="G259" s="50" t="s">
        <v>769</v>
      </c>
      <c r="H259" s="50" t="s">
        <v>770</v>
      </c>
      <c r="I259" s="51" t="s">
        <v>251</v>
      </c>
      <c r="J259" s="166" t="s">
        <v>431</v>
      </c>
      <c r="L259" s="120" t="s">
        <v>777</v>
      </c>
      <c r="M259" s="121">
        <v>0.2</v>
      </c>
      <c r="N259" s="29"/>
    </row>
    <row r="260" spans="1:20" customFormat="1" ht="19.5" thickBot="1">
      <c r="A260" s="47">
        <v>1</v>
      </c>
      <c r="B260" s="47" t="s">
        <v>905</v>
      </c>
      <c r="C260" s="47">
        <v>9901020004</v>
      </c>
      <c r="D260" s="47" t="s">
        <v>906</v>
      </c>
      <c r="E260" s="47" t="s">
        <v>261</v>
      </c>
      <c r="F260" s="47"/>
      <c r="G260" s="47"/>
      <c r="H260" s="47"/>
      <c r="I260" s="48">
        <v>52300000</v>
      </c>
      <c r="J260" s="167">
        <f>ROUND(((100%+$M$259)*Table43[[#This Row],[قیمت (ریال)]])*(100%+$M$260),-6)</f>
        <v>63000000</v>
      </c>
      <c r="L260" s="122" t="s">
        <v>779</v>
      </c>
      <c r="M260" s="123">
        <v>0</v>
      </c>
      <c r="N260" s="29"/>
      <c r="T260">
        <v>188</v>
      </c>
    </row>
    <row r="261" spans="1:20" customFormat="1">
      <c r="A261" s="47">
        <v>2</v>
      </c>
      <c r="B261" s="47" t="s">
        <v>905</v>
      </c>
      <c r="C261" s="47">
        <v>9901020005</v>
      </c>
      <c r="D261" s="47" t="s">
        <v>907</v>
      </c>
      <c r="E261" s="47" t="s">
        <v>261</v>
      </c>
      <c r="F261" s="47"/>
      <c r="G261" s="47"/>
      <c r="H261" s="47"/>
      <c r="I261" s="48">
        <v>28900000</v>
      </c>
      <c r="J261" s="167">
        <f>ROUND(((100%+$M$259)*Table43[[#This Row],[قیمت (ریال)]])*(100%+$M$260),-6)</f>
        <v>35000000</v>
      </c>
      <c r="L261" s="10"/>
      <c r="M261" s="10"/>
      <c r="N261" s="29"/>
      <c r="T261">
        <v>189</v>
      </c>
    </row>
    <row r="262" spans="1:20" customFormat="1">
      <c r="A262" s="47">
        <v>3</v>
      </c>
      <c r="B262" s="47" t="s">
        <v>905</v>
      </c>
      <c r="C262" s="47">
        <v>9901020007</v>
      </c>
      <c r="D262" s="47" t="s">
        <v>908</v>
      </c>
      <c r="E262" s="47" t="s">
        <v>261</v>
      </c>
      <c r="F262" s="47"/>
      <c r="G262" s="47"/>
      <c r="H262" s="47"/>
      <c r="I262" s="48">
        <v>52300000</v>
      </c>
      <c r="J262" s="167">
        <f>ROUND(((100%+$M$259)*Table43[[#This Row],[قیمت (ریال)]])*(100%+$M$260),-6)</f>
        <v>63000000</v>
      </c>
      <c r="L262" s="10"/>
      <c r="M262" s="10"/>
      <c r="N262" s="29"/>
      <c r="T262">
        <v>190</v>
      </c>
    </row>
    <row r="263" spans="1:20" customFormat="1">
      <c r="A263" s="47">
        <v>4</v>
      </c>
      <c r="B263" s="47" t="s">
        <v>905</v>
      </c>
      <c r="C263" s="47">
        <v>9901020008</v>
      </c>
      <c r="D263" s="47" t="s">
        <v>909</v>
      </c>
      <c r="E263" s="47" t="s">
        <v>261</v>
      </c>
      <c r="F263" s="47"/>
      <c r="G263" s="47"/>
      <c r="H263" s="47"/>
      <c r="I263" s="48">
        <v>28900000</v>
      </c>
      <c r="J263" s="167">
        <f>ROUND(((100%+$M$259)*Table43[[#This Row],[قیمت (ریال)]])*(100%+$M$260),-6)</f>
        <v>35000000</v>
      </c>
      <c r="L263" s="10"/>
      <c r="M263" s="10"/>
      <c r="N263" s="29"/>
      <c r="T263">
        <v>191</v>
      </c>
    </row>
    <row r="264" spans="1:20" customFormat="1">
      <c r="A264" s="47">
        <v>5</v>
      </c>
      <c r="B264" s="47" t="s">
        <v>905</v>
      </c>
      <c r="C264" s="47">
        <v>9901020010</v>
      </c>
      <c r="D264" s="47" t="s">
        <v>910</v>
      </c>
      <c r="E264" s="47" t="s">
        <v>261</v>
      </c>
      <c r="F264" s="47"/>
      <c r="G264" s="47"/>
      <c r="H264" s="47"/>
      <c r="I264" s="48">
        <v>52300000</v>
      </c>
      <c r="J264" s="167">
        <f>ROUND(((100%+$M$259)*Table43[[#This Row],[قیمت (ریال)]])*(100%+$M$260),-6)</f>
        <v>63000000</v>
      </c>
      <c r="L264" s="10"/>
      <c r="M264" s="10"/>
      <c r="N264" s="29"/>
      <c r="T264">
        <v>192</v>
      </c>
    </row>
    <row r="265" spans="1:20" customFormat="1">
      <c r="A265" s="47">
        <v>6</v>
      </c>
      <c r="B265" s="47" t="s">
        <v>905</v>
      </c>
      <c r="C265" s="47">
        <v>9901020011</v>
      </c>
      <c r="D265" s="47" t="s">
        <v>911</v>
      </c>
      <c r="E265" s="47" t="s">
        <v>261</v>
      </c>
      <c r="F265" s="47"/>
      <c r="G265" s="47"/>
      <c r="H265" s="47"/>
      <c r="I265" s="48">
        <v>28900000</v>
      </c>
      <c r="J265" s="167">
        <f>ROUND(((100%+$M$259)*Table43[[#This Row],[قیمت (ریال)]])*(100%+$M$260),-6)</f>
        <v>35000000</v>
      </c>
      <c r="L265" s="10"/>
      <c r="M265" s="10"/>
      <c r="N265" s="29"/>
      <c r="T265">
        <v>193</v>
      </c>
    </row>
    <row r="266" spans="1:20" customFormat="1">
      <c r="A266" s="47">
        <v>7</v>
      </c>
      <c r="B266" s="47" t="s">
        <v>905</v>
      </c>
      <c r="C266" s="47">
        <v>9901020013</v>
      </c>
      <c r="D266" s="47" t="s">
        <v>912</v>
      </c>
      <c r="E266" s="47" t="s">
        <v>261</v>
      </c>
      <c r="F266" s="47"/>
      <c r="G266" s="47"/>
      <c r="H266" s="47"/>
      <c r="I266" s="48">
        <v>52300000</v>
      </c>
      <c r="J266" s="167">
        <f>ROUND(((100%+$M$259)*Table43[[#This Row],[قیمت (ریال)]])*(100%+$M$260),-6)</f>
        <v>63000000</v>
      </c>
      <c r="L266" s="10"/>
      <c r="M266" s="10"/>
      <c r="N266" s="29"/>
      <c r="T266">
        <v>194</v>
      </c>
    </row>
    <row r="267" spans="1:20" customFormat="1">
      <c r="A267" s="47">
        <v>8</v>
      </c>
      <c r="B267" s="47" t="s">
        <v>905</v>
      </c>
      <c r="C267" s="47">
        <v>9901020014</v>
      </c>
      <c r="D267" s="47" t="s">
        <v>913</v>
      </c>
      <c r="E267" s="47" t="s">
        <v>261</v>
      </c>
      <c r="F267" s="47"/>
      <c r="G267" s="47"/>
      <c r="H267" s="47"/>
      <c r="I267" s="48">
        <v>28900000</v>
      </c>
      <c r="J267" s="167">
        <f>ROUND(((100%+$M$259)*Table43[[#This Row],[قیمت (ریال)]])*(100%+$M$260),-6)</f>
        <v>35000000</v>
      </c>
      <c r="L267" s="10"/>
      <c r="M267" s="10"/>
      <c r="N267" s="29"/>
      <c r="T267">
        <v>195</v>
      </c>
    </row>
    <row r="268" spans="1:20" customFormat="1">
      <c r="A268" s="47">
        <v>9</v>
      </c>
      <c r="B268" s="47" t="s">
        <v>905</v>
      </c>
      <c r="C268" s="47">
        <v>9901020015</v>
      </c>
      <c r="D268" s="47" t="s">
        <v>914</v>
      </c>
      <c r="E268" s="47" t="s">
        <v>261</v>
      </c>
      <c r="F268" s="47"/>
      <c r="G268" s="47"/>
      <c r="H268" s="47"/>
      <c r="I268" s="48">
        <v>34200000</v>
      </c>
      <c r="J268" s="167">
        <f>ROUND(((100%+$M$259)*Table43[[#This Row],[قیمت (ریال)]])*(100%+$M$260),-6)</f>
        <v>41000000</v>
      </c>
      <c r="L268" s="10"/>
      <c r="M268" s="10"/>
      <c r="N268" s="29"/>
      <c r="T268">
        <v>196</v>
      </c>
    </row>
    <row r="269" spans="1:20" customFormat="1">
      <c r="A269" s="47">
        <v>10</v>
      </c>
      <c r="B269" s="47" t="s">
        <v>905</v>
      </c>
      <c r="C269" s="47">
        <v>9901020016</v>
      </c>
      <c r="D269" s="47" t="s">
        <v>915</v>
      </c>
      <c r="E269" s="47" t="s">
        <v>261</v>
      </c>
      <c r="F269" s="47"/>
      <c r="G269" s="47"/>
      <c r="H269" s="47"/>
      <c r="I269" s="48">
        <v>34200000</v>
      </c>
      <c r="J269" s="167">
        <f>ROUND(((100%+$M$259)*Table43[[#This Row],[قیمت (ریال)]])*(100%+$M$260),-6)</f>
        <v>41000000</v>
      </c>
      <c r="L269" s="10"/>
      <c r="M269" s="10"/>
      <c r="N269" s="29"/>
      <c r="T269">
        <v>197</v>
      </c>
    </row>
    <row r="270" spans="1:20" customFormat="1">
      <c r="A270" s="47">
        <v>11</v>
      </c>
      <c r="B270" s="47" t="s">
        <v>905</v>
      </c>
      <c r="C270" s="47">
        <v>9901020017</v>
      </c>
      <c r="D270" s="47" t="s">
        <v>916</v>
      </c>
      <c r="E270" s="47" t="s">
        <v>261</v>
      </c>
      <c r="F270" s="47"/>
      <c r="G270" s="47"/>
      <c r="H270" s="47"/>
      <c r="I270" s="48">
        <v>34200000</v>
      </c>
      <c r="J270" s="167">
        <f>ROUND(((100%+$M$259)*Table43[[#This Row],[قیمت (ریال)]])*(100%+$M$260),-6)</f>
        <v>41000000</v>
      </c>
      <c r="L270" s="10"/>
      <c r="M270" s="10"/>
      <c r="N270" s="29"/>
      <c r="T270">
        <v>198</v>
      </c>
    </row>
    <row r="271" spans="1:20" customFormat="1">
      <c r="A271" s="47">
        <v>12</v>
      </c>
      <c r="B271" s="47" t="s">
        <v>905</v>
      </c>
      <c r="C271" s="47">
        <v>9901020018</v>
      </c>
      <c r="D271" s="47" t="s">
        <v>1376</v>
      </c>
      <c r="E271" s="47" t="s">
        <v>261</v>
      </c>
      <c r="F271" s="47"/>
      <c r="G271" s="47"/>
      <c r="H271" s="47"/>
      <c r="I271" s="48">
        <v>37900000</v>
      </c>
      <c r="J271" s="167">
        <f>ROUND(((100%+$M$259)*Table43[[#This Row],[قیمت (ریال)]])*(100%+$M$260),-6)</f>
        <v>45000000</v>
      </c>
      <c r="L271" s="10"/>
      <c r="M271" s="10"/>
      <c r="N271" s="29"/>
      <c r="T271">
        <v>199</v>
      </c>
    </row>
    <row r="272" spans="1:20" customFormat="1">
      <c r="A272" s="47">
        <v>13</v>
      </c>
      <c r="B272" s="47" t="s">
        <v>905</v>
      </c>
      <c r="C272" s="47">
        <v>9901020019</v>
      </c>
      <c r="D272" s="47" t="s">
        <v>917</v>
      </c>
      <c r="E272" s="47" t="s">
        <v>261</v>
      </c>
      <c r="F272" s="47"/>
      <c r="G272" s="47"/>
      <c r="H272" s="47"/>
      <c r="I272" s="48">
        <v>34200000</v>
      </c>
      <c r="J272" s="167">
        <f>ROUND(((100%+$M$259)*Table43[[#This Row],[قیمت (ریال)]])*(100%+$M$260),-6)</f>
        <v>41000000</v>
      </c>
      <c r="L272" s="10"/>
      <c r="M272" s="10"/>
      <c r="N272" s="29"/>
      <c r="T272">
        <v>200</v>
      </c>
    </row>
    <row r="273" spans="1:20" customFormat="1">
      <c r="A273" s="47">
        <v>14</v>
      </c>
      <c r="B273" s="47" t="s">
        <v>905</v>
      </c>
      <c r="C273" s="47">
        <v>9901020020</v>
      </c>
      <c r="D273" s="47" t="s">
        <v>1377</v>
      </c>
      <c r="E273" s="47" t="s">
        <v>261</v>
      </c>
      <c r="F273" s="47"/>
      <c r="G273" s="47"/>
      <c r="H273" s="47"/>
      <c r="I273" s="48">
        <v>44800000</v>
      </c>
      <c r="J273" s="167">
        <f>ROUND(((100%+$M$259)*Table43[[#This Row],[قیمت (ریال)]])*(100%+$M$260),-6)</f>
        <v>54000000</v>
      </c>
      <c r="L273" s="10"/>
      <c r="M273" s="10"/>
      <c r="N273" s="29"/>
      <c r="T273">
        <v>201</v>
      </c>
    </row>
    <row r="274" spans="1:20" customFormat="1">
      <c r="A274" s="47">
        <v>15</v>
      </c>
      <c r="B274" s="47" t="s">
        <v>905</v>
      </c>
      <c r="C274" s="47">
        <v>9901020021</v>
      </c>
      <c r="D274" s="47" t="s">
        <v>918</v>
      </c>
      <c r="E274" s="47" t="s">
        <v>261</v>
      </c>
      <c r="F274" s="47"/>
      <c r="G274" s="47"/>
      <c r="H274" s="47"/>
      <c r="I274" s="48">
        <v>28900000</v>
      </c>
      <c r="J274" s="167">
        <f>ROUND(((100%+$M$259)*Table43[[#This Row],[قیمت (ریال)]])*(100%+$M$260),-6)</f>
        <v>35000000</v>
      </c>
      <c r="L274" s="10"/>
      <c r="M274" s="10"/>
      <c r="N274" s="29"/>
      <c r="T274">
        <v>202</v>
      </c>
    </row>
    <row r="275" spans="1:20" customFormat="1">
      <c r="A275" s="47">
        <v>16</v>
      </c>
      <c r="B275" s="47" t="s">
        <v>905</v>
      </c>
      <c r="C275" s="47">
        <v>9901020022</v>
      </c>
      <c r="D275" s="47" t="s">
        <v>919</v>
      </c>
      <c r="E275" s="47" t="s">
        <v>261</v>
      </c>
      <c r="F275" s="47"/>
      <c r="G275" s="47"/>
      <c r="H275" s="47"/>
      <c r="I275" s="48">
        <v>52300000</v>
      </c>
      <c r="J275" s="167">
        <f>ROUND(((100%+$M$259)*Table43[[#This Row],[قیمت (ریال)]])*(100%+$M$260),-6)</f>
        <v>63000000</v>
      </c>
      <c r="L275" s="10"/>
      <c r="M275" s="10"/>
      <c r="N275" s="29"/>
      <c r="T275">
        <v>203</v>
      </c>
    </row>
    <row r="276" spans="1:20" customFormat="1">
      <c r="A276" s="47">
        <v>17</v>
      </c>
      <c r="B276" s="47" t="s">
        <v>905</v>
      </c>
      <c r="C276" s="47">
        <v>9901020024</v>
      </c>
      <c r="D276" s="47" t="s">
        <v>920</v>
      </c>
      <c r="E276" s="47" t="s">
        <v>261</v>
      </c>
      <c r="F276" s="47"/>
      <c r="G276" s="47"/>
      <c r="H276" s="47"/>
      <c r="I276" s="48">
        <v>97700000</v>
      </c>
      <c r="J276" s="167">
        <f>ROUND(((100%+$M$259)*Table43[[#This Row],[قیمت (ریال)]])*(100%+$M$260),-6)</f>
        <v>117000000</v>
      </c>
      <c r="L276" s="10"/>
      <c r="M276" s="10"/>
      <c r="N276" s="29"/>
      <c r="T276">
        <v>204</v>
      </c>
    </row>
    <row r="277" spans="1:20" customFormat="1">
      <c r="A277" s="47">
        <v>18</v>
      </c>
      <c r="B277" s="47" t="s">
        <v>905</v>
      </c>
      <c r="C277" s="47">
        <v>9901020025</v>
      </c>
      <c r="D277" s="47" t="s">
        <v>1378</v>
      </c>
      <c r="E277" s="47" t="s">
        <v>261</v>
      </c>
      <c r="F277" s="47"/>
      <c r="G277" s="47"/>
      <c r="H277" s="47"/>
      <c r="I277" s="48">
        <v>44800000</v>
      </c>
      <c r="J277" s="167">
        <f>ROUND(((100%+$M$259)*Table43[[#This Row],[قیمت (ریال)]])*(100%+$M$260),-6)</f>
        <v>54000000</v>
      </c>
      <c r="L277" s="10"/>
      <c r="M277" s="10"/>
      <c r="N277" s="29"/>
      <c r="T277">
        <v>205</v>
      </c>
    </row>
    <row r="278" spans="1:20" customFormat="1">
      <c r="A278" s="47">
        <v>19</v>
      </c>
      <c r="B278" s="47" t="s">
        <v>905</v>
      </c>
      <c r="C278" s="47">
        <v>9901020026</v>
      </c>
      <c r="D278" s="47" t="s">
        <v>921</v>
      </c>
      <c r="E278" s="47" t="s">
        <v>261</v>
      </c>
      <c r="F278" s="47"/>
      <c r="G278" s="47"/>
      <c r="H278" s="47"/>
      <c r="I278" s="48">
        <v>28900000</v>
      </c>
      <c r="J278" s="167">
        <f>ROUND(((100%+$M$259)*Table43[[#This Row],[قیمت (ریال)]])*(100%+$M$260),-6)</f>
        <v>35000000</v>
      </c>
      <c r="L278" s="10"/>
      <c r="M278" s="10"/>
      <c r="N278" s="29"/>
      <c r="T278">
        <v>206</v>
      </c>
    </row>
    <row r="279" spans="1:20" customFormat="1">
      <c r="A279" s="47">
        <v>20</v>
      </c>
      <c r="B279" s="47" t="s">
        <v>905</v>
      </c>
      <c r="C279" s="47">
        <v>9901020028</v>
      </c>
      <c r="D279" s="47" t="s">
        <v>922</v>
      </c>
      <c r="E279" s="47" t="s">
        <v>261</v>
      </c>
      <c r="F279" s="47"/>
      <c r="G279" s="47"/>
      <c r="H279" s="47"/>
      <c r="I279" s="48">
        <v>34200000</v>
      </c>
      <c r="J279" s="167">
        <f>ROUND(((100%+$M$259)*Table43[[#This Row],[قیمت (ریال)]])*(100%+$M$260),-6)</f>
        <v>41000000</v>
      </c>
      <c r="L279" s="10"/>
      <c r="M279" s="10"/>
      <c r="N279" s="29"/>
      <c r="T279">
        <v>207</v>
      </c>
    </row>
    <row r="280" spans="1:20" customFormat="1">
      <c r="A280" s="47">
        <v>21</v>
      </c>
      <c r="B280" s="47" t="s">
        <v>905</v>
      </c>
      <c r="C280" s="47">
        <v>9901020029</v>
      </c>
      <c r="D280" s="47" t="s">
        <v>923</v>
      </c>
      <c r="E280" s="47" t="s">
        <v>261</v>
      </c>
      <c r="F280" s="47"/>
      <c r="G280" s="47"/>
      <c r="H280" s="47"/>
      <c r="I280" s="48">
        <v>34200000</v>
      </c>
      <c r="J280" s="167">
        <f>ROUND(((100%+$M$259)*Table43[[#This Row],[قیمت (ریال)]])*(100%+$M$260),-6)</f>
        <v>41000000</v>
      </c>
      <c r="L280" s="10"/>
      <c r="M280" s="10"/>
      <c r="N280" s="29"/>
      <c r="T280">
        <v>208</v>
      </c>
    </row>
    <row r="281" spans="1:20" customFormat="1">
      <c r="A281" s="47">
        <v>22</v>
      </c>
      <c r="B281" s="47" t="s">
        <v>905</v>
      </c>
      <c r="C281" s="47">
        <v>9901020030</v>
      </c>
      <c r="D281" s="47" t="s">
        <v>924</v>
      </c>
      <c r="E281" s="47" t="s">
        <v>261</v>
      </c>
      <c r="F281" s="47"/>
      <c r="G281" s="47"/>
      <c r="H281" s="47"/>
      <c r="I281" s="48">
        <v>34200000</v>
      </c>
      <c r="J281" s="167">
        <f>ROUND(((100%+$M$259)*Table43[[#This Row],[قیمت (ریال)]])*(100%+$M$260),-6)</f>
        <v>41000000</v>
      </c>
      <c r="L281" s="10"/>
      <c r="M281" s="10"/>
      <c r="N281" s="29"/>
      <c r="T281">
        <v>209</v>
      </c>
    </row>
    <row r="282" spans="1:20" customFormat="1">
      <c r="A282" s="47">
        <v>23</v>
      </c>
      <c r="B282" s="47" t="s">
        <v>905</v>
      </c>
      <c r="C282" s="47">
        <v>9901020031</v>
      </c>
      <c r="D282" s="47" t="s">
        <v>925</v>
      </c>
      <c r="E282" s="47" t="s">
        <v>261</v>
      </c>
      <c r="F282" s="47"/>
      <c r="G282" s="47"/>
      <c r="H282" s="47"/>
      <c r="I282" s="48">
        <v>34200000</v>
      </c>
      <c r="J282" s="167">
        <f>ROUND(((100%+$M$259)*Table43[[#This Row],[قیمت (ریال)]])*(100%+$M$260),-6)</f>
        <v>41000000</v>
      </c>
      <c r="L282" s="10"/>
      <c r="M282" s="10"/>
      <c r="N282" s="29"/>
      <c r="T282">
        <v>210</v>
      </c>
    </row>
    <row r="283" spans="1:20" customFormat="1">
      <c r="A283" s="47">
        <v>24</v>
      </c>
      <c r="B283" s="47" t="s">
        <v>905</v>
      </c>
      <c r="C283" s="47">
        <v>9901020032</v>
      </c>
      <c r="D283" s="47" t="s">
        <v>926</v>
      </c>
      <c r="E283" s="47" t="s">
        <v>261</v>
      </c>
      <c r="F283" s="47"/>
      <c r="G283" s="47"/>
      <c r="H283" s="47"/>
      <c r="I283" s="48">
        <v>34200000</v>
      </c>
      <c r="J283" s="167">
        <f>ROUND(((100%+$M$259)*Table43[[#This Row],[قیمت (ریال)]])*(100%+$M$260),-6)</f>
        <v>41000000</v>
      </c>
      <c r="L283" s="10"/>
      <c r="M283" s="10"/>
      <c r="N283" s="29"/>
      <c r="T283">
        <v>211</v>
      </c>
    </row>
    <row r="284" spans="1:20" customFormat="1">
      <c r="A284" s="47">
        <v>25</v>
      </c>
      <c r="B284" s="47" t="s">
        <v>905</v>
      </c>
      <c r="C284" s="47">
        <v>9901020033</v>
      </c>
      <c r="D284" s="47" t="s">
        <v>927</v>
      </c>
      <c r="E284" s="47" t="s">
        <v>261</v>
      </c>
      <c r="F284" s="47"/>
      <c r="G284" s="47"/>
      <c r="H284" s="47"/>
      <c r="I284" s="48">
        <v>34200000</v>
      </c>
      <c r="J284" s="167">
        <f>ROUND(((100%+$M$259)*Table43[[#This Row],[قیمت (ریال)]])*(100%+$M$260),-6)</f>
        <v>41000000</v>
      </c>
      <c r="L284" s="10"/>
      <c r="M284" s="10"/>
      <c r="N284" s="29"/>
      <c r="T284">
        <v>212</v>
      </c>
    </row>
    <row r="285" spans="1:20" customFormat="1">
      <c r="A285" s="47">
        <v>26</v>
      </c>
      <c r="B285" s="47" t="s">
        <v>905</v>
      </c>
      <c r="C285" s="47">
        <v>9901020059</v>
      </c>
      <c r="D285" s="47" t="s">
        <v>928</v>
      </c>
      <c r="E285" s="47" t="s">
        <v>261</v>
      </c>
      <c r="F285" s="47"/>
      <c r="G285" s="47"/>
      <c r="H285" s="47"/>
      <c r="I285" s="48">
        <v>34200000</v>
      </c>
      <c r="J285" s="167">
        <f>ROUND(((100%+$M$259)*Table43[[#This Row],[قیمت (ریال)]])*(100%+$M$260),-6)</f>
        <v>41000000</v>
      </c>
      <c r="L285" s="10"/>
      <c r="M285" s="10"/>
      <c r="N285" s="29"/>
      <c r="T285">
        <v>213</v>
      </c>
    </row>
    <row r="286" spans="1:20" customFormat="1">
      <c r="A286" s="47">
        <v>27</v>
      </c>
      <c r="B286" s="47" t="s">
        <v>905</v>
      </c>
      <c r="C286" s="47">
        <v>9901020060</v>
      </c>
      <c r="D286" s="47" t="s">
        <v>929</v>
      </c>
      <c r="E286" s="47" t="s">
        <v>261</v>
      </c>
      <c r="F286" s="47"/>
      <c r="G286" s="47"/>
      <c r="H286" s="47"/>
      <c r="I286" s="48">
        <v>82600000</v>
      </c>
      <c r="J286" s="167">
        <f>ROUND(((100%+$M$259)*Table43[[#This Row],[قیمت (ریال)]])*(100%+$M$260),-6)</f>
        <v>99000000</v>
      </c>
      <c r="L286" s="10"/>
      <c r="M286" s="10"/>
      <c r="N286" s="29"/>
      <c r="T286">
        <v>214</v>
      </c>
    </row>
    <row r="287" spans="1:20" customFormat="1">
      <c r="A287" s="47">
        <v>28</v>
      </c>
      <c r="B287" s="47" t="s">
        <v>905</v>
      </c>
      <c r="C287" s="47">
        <v>9901020061</v>
      </c>
      <c r="D287" s="47" t="s">
        <v>1379</v>
      </c>
      <c r="E287" s="47" t="s">
        <v>261</v>
      </c>
      <c r="F287" s="47"/>
      <c r="G287" s="47"/>
      <c r="H287" s="47"/>
      <c r="I287" s="48">
        <v>108000000</v>
      </c>
      <c r="J287" s="167">
        <f>ROUND(((100%+$M$259)*Table43[[#This Row],[قیمت (ریال)]])*(100%+$M$260),-6)</f>
        <v>130000000</v>
      </c>
      <c r="L287" s="10"/>
      <c r="M287" s="10"/>
      <c r="N287" s="29"/>
      <c r="T287">
        <v>215</v>
      </c>
    </row>
    <row r="288" spans="1:20" customFormat="1">
      <c r="A288" s="47">
        <v>29</v>
      </c>
      <c r="B288" s="47" t="s">
        <v>905</v>
      </c>
      <c r="C288" s="47">
        <v>9901020062</v>
      </c>
      <c r="D288" s="47" t="s">
        <v>930</v>
      </c>
      <c r="E288" s="47" t="s">
        <v>261</v>
      </c>
      <c r="F288" s="47"/>
      <c r="G288" s="47"/>
      <c r="H288" s="47"/>
      <c r="I288" s="48">
        <v>34200000</v>
      </c>
      <c r="J288" s="167">
        <f>ROUND(((100%+$M$259)*Table43[[#This Row],[قیمت (ریال)]])*(100%+$M$260),-6)</f>
        <v>41000000</v>
      </c>
      <c r="L288" s="10"/>
      <c r="M288" s="10"/>
      <c r="N288" s="29"/>
      <c r="T288">
        <v>216</v>
      </c>
    </row>
    <row r="289" spans="1:20" customFormat="1">
      <c r="A289" s="47">
        <v>30</v>
      </c>
      <c r="B289" s="47" t="s">
        <v>905</v>
      </c>
      <c r="C289" s="47">
        <v>9901020063</v>
      </c>
      <c r="D289" s="47" t="s">
        <v>931</v>
      </c>
      <c r="E289" s="47" t="s">
        <v>261</v>
      </c>
      <c r="F289" s="47"/>
      <c r="G289" s="47"/>
      <c r="H289" s="47"/>
      <c r="I289" s="48">
        <v>34200000</v>
      </c>
      <c r="J289" s="167">
        <f>ROUND(((100%+$M$259)*Table43[[#This Row],[قیمت (ریال)]])*(100%+$M$260),-6)</f>
        <v>41000000</v>
      </c>
      <c r="L289" s="10"/>
      <c r="M289" s="10"/>
      <c r="N289" s="29"/>
      <c r="T289">
        <v>217</v>
      </c>
    </row>
    <row r="290" spans="1:20">
      <c r="A290" s="47">
        <v>31</v>
      </c>
      <c r="B290" s="47" t="s">
        <v>905</v>
      </c>
      <c r="C290" s="47">
        <v>9901020064</v>
      </c>
      <c r="D290" s="47" t="s">
        <v>932</v>
      </c>
      <c r="E290" s="47" t="s">
        <v>261</v>
      </c>
      <c r="I290" s="48">
        <v>34200000</v>
      </c>
      <c r="J290" s="167">
        <f>ROUND(((100%+$M$259)*Table43[[#This Row],[قیمت (ریال)]])*(100%+$M$260),-6)</f>
        <v>41000000</v>
      </c>
      <c r="T290">
        <v>218</v>
      </c>
    </row>
    <row r="291" spans="1:20">
      <c r="A291" s="47">
        <v>32</v>
      </c>
      <c r="B291" s="47" t="s">
        <v>905</v>
      </c>
      <c r="C291" s="47">
        <v>9901020065</v>
      </c>
      <c r="D291" s="47" t="s">
        <v>933</v>
      </c>
      <c r="E291" s="47" t="s">
        <v>261</v>
      </c>
      <c r="I291" s="48">
        <v>34200000</v>
      </c>
      <c r="J291" s="167">
        <f>ROUND(((100%+$M$259)*Table43[[#This Row],[قیمت (ریال)]])*(100%+$M$260),-6)</f>
        <v>41000000</v>
      </c>
      <c r="T291">
        <v>219</v>
      </c>
    </row>
    <row r="292" spans="1:20">
      <c r="A292" s="47">
        <v>33</v>
      </c>
      <c r="B292" s="47" t="s">
        <v>905</v>
      </c>
      <c r="C292" s="47">
        <v>9901020066</v>
      </c>
      <c r="D292" s="47" t="s">
        <v>1380</v>
      </c>
      <c r="E292" s="47" t="s">
        <v>261</v>
      </c>
      <c r="I292" s="48">
        <v>44800000</v>
      </c>
      <c r="J292" s="167">
        <f>ROUND(((100%+$M$259)*Table43[[#This Row],[قیمت (ریال)]])*(100%+$M$260),-6)</f>
        <v>54000000</v>
      </c>
      <c r="T292">
        <v>220</v>
      </c>
    </row>
    <row r="293" spans="1:20" customFormat="1">
      <c r="A293" s="47">
        <v>34</v>
      </c>
      <c r="B293" s="47" t="s">
        <v>905</v>
      </c>
      <c r="C293" s="47">
        <v>9901020067</v>
      </c>
      <c r="D293" s="47" t="s">
        <v>934</v>
      </c>
      <c r="E293" s="47" t="s">
        <v>261</v>
      </c>
      <c r="F293" s="47"/>
      <c r="G293" s="47"/>
      <c r="H293" s="47"/>
      <c r="I293" s="48">
        <v>34200000</v>
      </c>
      <c r="J293" s="167">
        <f>ROUND(((100%+$M$259)*Table43[[#This Row],[قیمت (ریال)]])*(100%+$M$260),-6)</f>
        <v>41000000</v>
      </c>
      <c r="L293" s="124"/>
      <c r="M293" s="124"/>
      <c r="N293" s="29"/>
      <c r="T293">
        <v>221</v>
      </c>
    </row>
    <row r="294" spans="1:20" customFormat="1">
      <c r="A294" s="47">
        <v>35</v>
      </c>
      <c r="B294" s="47" t="s">
        <v>905</v>
      </c>
      <c r="C294" s="47">
        <v>9901020083</v>
      </c>
      <c r="D294" s="47" t="s">
        <v>935</v>
      </c>
      <c r="E294" s="47" t="s">
        <v>261</v>
      </c>
      <c r="F294" s="47"/>
      <c r="G294" s="47"/>
      <c r="H294" s="47"/>
      <c r="I294" s="48">
        <v>34200000</v>
      </c>
      <c r="J294" s="167">
        <f>ROUND(((100%+$M$259)*Table43[[#This Row],[قیمت (ریال)]])*(100%+$M$260),-6)</f>
        <v>41000000</v>
      </c>
      <c r="L294" s="10"/>
      <c r="M294" s="10"/>
      <c r="N294" s="29"/>
      <c r="T294">
        <v>222</v>
      </c>
    </row>
    <row r="295" spans="1:20" customFormat="1">
      <c r="A295" s="47">
        <v>36</v>
      </c>
      <c r="B295" s="47" t="s">
        <v>905</v>
      </c>
      <c r="C295" s="47">
        <v>9901020084</v>
      </c>
      <c r="D295" s="47" t="s">
        <v>1381</v>
      </c>
      <c r="E295" s="47" t="s">
        <v>261</v>
      </c>
      <c r="F295" s="47"/>
      <c r="G295" s="47"/>
      <c r="H295" s="47"/>
      <c r="I295" s="48">
        <v>127900000</v>
      </c>
      <c r="J295" s="167">
        <f>ROUND(((100%+$M$259)*Table43[[#This Row],[قیمت (ریال)]])*(100%+$M$260),-6)</f>
        <v>153000000</v>
      </c>
      <c r="L295" s="10"/>
      <c r="M295" s="10"/>
      <c r="N295" s="29"/>
      <c r="T295">
        <v>223</v>
      </c>
    </row>
    <row r="296" spans="1:20" customFormat="1">
      <c r="A296" s="47">
        <v>37</v>
      </c>
      <c r="B296" s="47" t="s">
        <v>905</v>
      </c>
      <c r="C296" s="47">
        <v>9901020086</v>
      </c>
      <c r="D296" s="47" t="s">
        <v>1382</v>
      </c>
      <c r="E296" s="47" t="s">
        <v>261</v>
      </c>
      <c r="F296" s="47"/>
      <c r="G296" s="47"/>
      <c r="H296" s="47"/>
      <c r="I296" s="48">
        <v>61000000</v>
      </c>
      <c r="J296" s="167">
        <f>ROUND(((100%+$M$259)*Table43[[#This Row],[قیمت (ریال)]])*(100%+$M$260),-6)</f>
        <v>73000000</v>
      </c>
      <c r="L296" s="10"/>
      <c r="M296" s="10"/>
      <c r="N296" s="29"/>
      <c r="T296">
        <v>224</v>
      </c>
    </row>
    <row r="297" spans="1:20" customFormat="1">
      <c r="A297" s="47">
        <v>38</v>
      </c>
      <c r="B297" s="47" t="s">
        <v>905</v>
      </c>
      <c r="C297" s="47">
        <v>9901020087</v>
      </c>
      <c r="D297" s="47" t="s">
        <v>936</v>
      </c>
      <c r="E297" s="47" t="s">
        <v>261</v>
      </c>
      <c r="F297" s="47"/>
      <c r="G297" s="47"/>
      <c r="H297" s="47"/>
      <c r="I297" s="48">
        <v>52600000</v>
      </c>
      <c r="J297" s="167">
        <f>ROUND(((100%+$M$259)*Table43[[#This Row],[قیمت (ریال)]])*(100%+$M$260),-6)</f>
        <v>63000000</v>
      </c>
      <c r="L297" s="10"/>
      <c r="M297" s="10"/>
      <c r="N297" s="29"/>
      <c r="T297">
        <v>225</v>
      </c>
    </row>
    <row r="298" spans="1:20" customFormat="1">
      <c r="A298" s="47">
        <v>39</v>
      </c>
      <c r="B298" s="47" t="s">
        <v>905</v>
      </c>
      <c r="C298" s="47">
        <v>9901020088</v>
      </c>
      <c r="D298" s="47" t="s">
        <v>1383</v>
      </c>
      <c r="E298" s="47" t="s">
        <v>261</v>
      </c>
      <c r="F298" s="47"/>
      <c r="G298" s="47"/>
      <c r="H298" s="47"/>
      <c r="I298" s="48">
        <v>98400000</v>
      </c>
      <c r="J298" s="167">
        <f>ROUND(((100%+$M$259)*Table43[[#This Row],[قیمت (ریال)]])*(100%+$M$260),-6)</f>
        <v>118000000</v>
      </c>
      <c r="L298" s="10"/>
      <c r="M298" s="10"/>
      <c r="N298" s="29"/>
      <c r="T298">
        <v>226</v>
      </c>
    </row>
    <row r="299" spans="1:20" customFormat="1">
      <c r="A299" s="47"/>
      <c r="B299" s="47"/>
      <c r="C299" s="47"/>
      <c r="D299" s="47"/>
      <c r="E299" s="47"/>
      <c r="F299" s="47"/>
      <c r="G299" s="47"/>
      <c r="H299" s="47"/>
      <c r="I299" s="48"/>
      <c r="J299" s="167"/>
      <c r="L299" s="10"/>
      <c r="M299" s="10"/>
      <c r="N299" s="29"/>
    </row>
    <row r="300" spans="1:20" customFormat="1">
      <c r="A300" s="47"/>
      <c r="B300" s="47"/>
      <c r="C300" s="47"/>
      <c r="D300" s="47"/>
      <c r="E300" s="47"/>
      <c r="F300" s="47"/>
      <c r="G300" s="47"/>
      <c r="H300" s="47"/>
      <c r="I300" s="48"/>
      <c r="J300" s="167"/>
      <c r="L300" s="10"/>
      <c r="M300" s="10"/>
      <c r="N300" s="29"/>
    </row>
    <row r="301" spans="1:20" customFormat="1">
      <c r="A301" s="47"/>
      <c r="B301" s="47"/>
      <c r="C301" s="47"/>
      <c r="D301" s="47"/>
      <c r="E301" s="47"/>
      <c r="F301" s="47"/>
      <c r="G301" s="47"/>
      <c r="H301" s="47"/>
      <c r="I301" s="48"/>
      <c r="J301" s="168"/>
      <c r="L301" s="10"/>
      <c r="M301" s="10"/>
      <c r="N301" s="29"/>
    </row>
    <row r="302" spans="1:20" customFormat="1">
      <c r="A302" s="47"/>
      <c r="B302" s="47"/>
      <c r="C302" s="47"/>
      <c r="D302" s="47"/>
      <c r="E302" s="47"/>
      <c r="F302" s="47"/>
      <c r="G302" s="47"/>
      <c r="H302" s="47"/>
      <c r="I302" s="48"/>
      <c r="J302" s="168"/>
      <c r="L302" s="10"/>
      <c r="M302" s="10"/>
      <c r="N302" s="29"/>
    </row>
    <row r="303" spans="1:20" customFormat="1" ht="19.5" thickBot="1">
      <c r="A303" s="47"/>
      <c r="B303" s="47"/>
      <c r="C303" s="47"/>
      <c r="D303" s="47"/>
      <c r="E303" s="47"/>
      <c r="F303" s="47"/>
      <c r="G303" s="47"/>
      <c r="H303" s="47"/>
      <c r="I303" s="48"/>
      <c r="J303" s="168"/>
      <c r="L303" s="10"/>
      <c r="M303" s="10"/>
      <c r="N303" s="29"/>
    </row>
    <row r="304" spans="1:20" customFormat="1">
      <c r="A304" s="50" t="s">
        <v>0</v>
      </c>
      <c r="B304" s="50" t="s">
        <v>530</v>
      </c>
      <c r="C304" s="50" t="s">
        <v>1</v>
      </c>
      <c r="D304" s="50" t="s">
        <v>448</v>
      </c>
      <c r="E304" s="50" t="s">
        <v>767</v>
      </c>
      <c r="F304" s="50" t="s">
        <v>768</v>
      </c>
      <c r="G304" s="50" t="s">
        <v>769</v>
      </c>
      <c r="H304" s="50" t="s">
        <v>770</v>
      </c>
      <c r="I304" s="51" t="s">
        <v>251</v>
      </c>
      <c r="J304" s="166" t="s">
        <v>431</v>
      </c>
      <c r="L304" s="120" t="s">
        <v>777</v>
      </c>
      <c r="M304" s="121">
        <v>0.2</v>
      </c>
      <c r="N304" s="29"/>
    </row>
    <row r="305" spans="1:20" customFormat="1" ht="19.5" thickBot="1">
      <c r="A305" s="47">
        <v>1</v>
      </c>
      <c r="B305" s="47" t="s">
        <v>937</v>
      </c>
      <c r="C305" s="47">
        <v>9901030002</v>
      </c>
      <c r="D305" s="47" t="s">
        <v>1384</v>
      </c>
      <c r="E305" s="47" t="s">
        <v>261</v>
      </c>
      <c r="F305" s="47"/>
      <c r="G305" s="47"/>
      <c r="H305" s="47"/>
      <c r="I305" s="48">
        <v>99200000</v>
      </c>
      <c r="J305" s="167">
        <f>ROUND(((100%+$M$304)*Table44[[#This Row],[قیمت (ریال)]])*(100%+$M$305),-6)</f>
        <v>119000000</v>
      </c>
      <c r="L305" s="122" t="s">
        <v>779</v>
      </c>
      <c r="M305" s="123">
        <v>0</v>
      </c>
      <c r="N305" s="29"/>
      <c r="T305">
        <v>227</v>
      </c>
    </row>
    <row r="306" spans="1:20" customFormat="1">
      <c r="A306" s="47">
        <v>2</v>
      </c>
      <c r="B306" s="47" t="s">
        <v>937</v>
      </c>
      <c r="C306" s="47">
        <v>9901030013</v>
      </c>
      <c r="D306" s="47" t="s">
        <v>1385</v>
      </c>
      <c r="E306" s="47" t="s">
        <v>261</v>
      </c>
      <c r="F306" s="47"/>
      <c r="G306" s="47"/>
      <c r="H306" s="47"/>
      <c r="I306" s="48">
        <v>202800000</v>
      </c>
      <c r="J306" s="167">
        <f>ROUND(((100%+$M$304)*Table44[[#This Row],[قیمت (ریال)]])*(100%+$M$305),-6)</f>
        <v>243000000</v>
      </c>
      <c r="L306" s="10"/>
      <c r="M306" s="10"/>
      <c r="N306" s="29"/>
      <c r="T306">
        <v>228</v>
      </c>
    </row>
    <row r="307" spans="1:20" customFormat="1">
      <c r="A307" s="47">
        <v>3</v>
      </c>
      <c r="B307" s="47" t="s">
        <v>937</v>
      </c>
      <c r="C307" s="47">
        <v>9901030020</v>
      </c>
      <c r="D307" s="47" t="s">
        <v>938</v>
      </c>
      <c r="E307" s="47" t="s">
        <v>261</v>
      </c>
      <c r="F307" s="47"/>
      <c r="G307" s="47"/>
      <c r="H307" s="47"/>
      <c r="I307" s="48">
        <v>100700000</v>
      </c>
      <c r="J307" s="167">
        <f>ROUND(((100%+$M$304)*Table44[[#This Row],[قیمت (ریال)]])*(100%+$M$305),-6)</f>
        <v>121000000</v>
      </c>
      <c r="L307" s="10"/>
      <c r="M307" s="10"/>
      <c r="N307" s="29"/>
      <c r="T307">
        <v>229</v>
      </c>
    </row>
    <row r="308" spans="1:20" customFormat="1">
      <c r="A308" s="47">
        <v>4</v>
      </c>
      <c r="B308" s="47" t="s">
        <v>937</v>
      </c>
      <c r="C308" s="47">
        <v>9901030023</v>
      </c>
      <c r="D308" s="47" t="s">
        <v>939</v>
      </c>
      <c r="E308" s="47" t="s">
        <v>261</v>
      </c>
      <c r="F308" s="47"/>
      <c r="G308" s="47"/>
      <c r="H308" s="47"/>
      <c r="I308" s="48">
        <v>106700000</v>
      </c>
      <c r="J308" s="167">
        <f>ROUND(((100%+$M$304)*Table44[[#This Row],[قیمت (ریال)]])*(100%+$M$305),-6)</f>
        <v>128000000</v>
      </c>
      <c r="L308" s="10"/>
      <c r="M308" s="10"/>
      <c r="N308" s="29"/>
      <c r="T308">
        <v>230</v>
      </c>
    </row>
    <row r="309" spans="1:20" customFormat="1">
      <c r="A309" s="47">
        <v>5</v>
      </c>
      <c r="B309" s="47" t="s">
        <v>937</v>
      </c>
      <c r="C309" s="47">
        <v>9901030025</v>
      </c>
      <c r="D309" s="47" t="s">
        <v>1386</v>
      </c>
      <c r="E309" s="47" t="s">
        <v>261</v>
      </c>
      <c r="F309" s="47"/>
      <c r="G309" s="47"/>
      <c r="H309" s="47"/>
      <c r="I309" s="48">
        <v>161200000</v>
      </c>
      <c r="J309" s="167">
        <f>ROUND(((100%+$M$304)*Table44[[#This Row],[قیمت (ریال)]])*(100%+$M$305),-6)</f>
        <v>193000000</v>
      </c>
      <c r="L309" s="10"/>
      <c r="M309" s="10"/>
      <c r="N309" s="29"/>
      <c r="T309">
        <v>231</v>
      </c>
    </row>
    <row r="310" spans="1:20" customFormat="1">
      <c r="A310" s="47">
        <v>6</v>
      </c>
      <c r="B310" s="47" t="s">
        <v>937</v>
      </c>
      <c r="C310" s="47">
        <v>9901030028</v>
      </c>
      <c r="D310" s="47" t="s">
        <v>940</v>
      </c>
      <c r="E310" s="47" t="s">
        <v>261</v>
      </c>
      <c r="F310" s="47"/>
      <c r="G310" s="47"/>
      <c r="H310" s="47"/>
      <c r="I310" s="48">
        <v>12400000</v>
      </c>
      <c r="J310" s="167">
        <f>ROUND(((100%+$M$304)*Table44[[#This Row],[قیمت (ریال)]])*(100%+$M$305),-6)</f>
        <v>15000000</v>
      </c>
      <c r="L310" s="10"/>
      <c r="M310" s="10"/>
      <c r="N310" s="29"/>
      <c r="T310">
        <v>232</v>
      </c>
    </row>
    <row r="311" spans="1:20" customFormat="1">
      <c r="A311" s="47">
        <v>7</v>
      </c>
      <c r="B311" s="47" t="s">
        <v>937</v>
      </c>
      <c r="C311" s="47">
        <v>9901030029</v>
      </c>
      <c r="D311" s="47" t="s">
        <v>941</v>
      </c>
      <c r="E311" s="47" t="s">
        <v>261</v>
      </c>
      <c r="F311" s="47"/>
      <c r="G311" s="47"/>
      <c r="H311" s="47"/>
      <c r="I311" s="48">
        <v>17500000</v>
      </c>
      <c r="J311" s="167">
        <f>ROUND(((100%+$M$304)*Table44[[#This Row],[قیمت (ریال)]])*(100%+$M$305),-6)</f>
        <v>21000000</v>
      </c>
      <c r="L311" s="10"/>
      <c r="M311" s="10"/>
      <c r="N311" s="29"/>
      <c r="T311">
        <v>233</v>
      </c>
    </row>
    <row r="312" spans="1:20" customFormat="1">
      <c r="A312" s="47">
        <v>8</v>
      </c>
      <c r="B312" s="47" t="s">
        <v>937</v>
      </c>
      <c r="C312" s="47">
        <v>9901030030</v>
      </c>
      <c r="D312" s="47" t="s">
        <v>942</v>
      </c>
      <c r="E312" s="47" t="s">
        <v>261</v>
      </c>
      <c r="F312" s="47"/>
      <c r="G312" s="47"/>
      <c r="H312" s="47"/>
      <c r="I312" s="48">
        <v>12400000</v>
      </c>
      <c r="J312" s="167">
        <f>ROUND(((100%+$M$304)*Table44[[#This Row],[قیمت (ریال)]])*(100%+$M$305),-6)</f>
        <v>15000000</v>
      </c>
      <c r="L312" s="10"/>
      <c r="M312" s="10"/>
      <c r="N312" s="29"/>
      <c r="T312">
        <v>234</v>
      </c>
    </row>
    <row r="313" spans="1:20" customFormat="1">
      <c r="A313" s="47">
        <v>9</v>
      </c>
      <c r="B313" s="47" t="s">
        <v>937</v>
      </c>
      <c r="C313" s="47">
        <v>9901030031</v>
      </c>
      <c r="D313" s="47" t="s">
        <v>943</v>
      </c>
      <c r="E313" s="47" t="s">
        <v>261</v>
      </c>
      <c r="F313" s="47"/>
      <c r="G313" s="47"/>
      <c r="H313" s="47"/>
      <c r="I313" s="48">
        <v>11300000</v>
      </c>
      <c r="J313" s="167">
        <f>ROUND(((100%+$M$304)*Table44[[#This Row],[قیمت (ریال)]])*(100%+$M$305),-6)</f>
        <v>14000000</v>
      </c>
      <c r="L313" s="10"/>
      <c r="M313" s="10"/>
      <c r="N313" s="29"/>
      <c r="T313">
        <v>235</v>
      </c>
    </row>
    <row r="314" spans="1:20" customFormat="1">
      <c r="A314" s="47">
        <v>10</v>
      </c>
      <c r="B314" s="47" t="s">
        <v>937</v>
      </c>
      <c r="C314" s="47">
        <v>9901030032</v>
      </c>
      <c r="D314" s="47" t="s">
        <v>944</v>
      </c>
      <c r="E314" s="47" t="s">
        <v>261</v>
      </c>
      <c r="F314" s="47"/>
      <c r="G314" s="47"/>
      <c r="H314" s="47"/>
      <c r="I314" s="48">
        <v>24300000</v>
      </c>
      <c r="J314" s="167">
        <f>ROUND(((100%+$M$304)*Table44[[#This Row],[قیمت (ریال)]])*(100%+$M$305),-6)</f>
        <v>29000000</v>
      </c>
      <c r="L314" s="10"/>
      <c r="M314" s="10"/>
      <c r="N314" s="29"/>
      <c r="T314">
        <v>236</v>
      </c>
    </row>
    <row r="315" spans="1:20" customFormat="1">
      <c r="A315" s="47">
        <v>11</v>
      </c>
      <c r="B315" s="47" t="s">
        <v>937</v>
      </c>
      <c r="C315" s="47">
        <v>9901030033</v>
      </c>
      <c r="D315" s="47" t="s">
        <v>945</v>
      </c>
      <c r="E315" s="47" t="s">
        <v>261</v>
      </c>
      <c r="F315" s="47"/>
      <c r="G315" s="47"/>
      <c r="H315" s="47"/>
      <c r="I315" s="48">
        <v>12400000</v>
      </c>
      <c r="J315" s="167">
        <f>ROUND(((100%+$M$304)*Table44[[#This Row],[قیمت (ریال)]])*(100%+$M$305),-6)</f>
        <v>15000000</v>
      </c>
      <c r="L315" s="10"/>
      <c r="M315" s="10"/>
      <c r="N315" s="29"/>
      <c r="T315">
        <v>237</v>
      </c>
    </row>
    <row r="316" spans="1:20" customFormat="1">
      <c r="A316" s="47">
        <v>12</v>
      </c>
      <c r="B316" s="47" t="s">
        <v>937</v>
      </c>
      <c r="C316" s="47">
        <v>9901030034</v>
      </c>
      <c r="D316" s="47" t="s">
        <v>946</v>
      </c>
      <c r="E316" s="47" t="s">
        <v>261</v>
      </c>
      <c r="F316" s="47"/>
      <c r="G316" s="47"/>
      <c r="H316" s="47"/>
      <c r="I316" s="48">
        <v>17500000</v>
      </c>
      <c r="J316" s="167">
        <f>ROUND(((100%+$M$304)*Table44[[#This Row],[قیمت (ریال)]])*(100%+$M$305),-6)</f>
        <v>21000000</v>
      </c>
      <c r="L316" s="10"/>
      <c r="M316" s="10"/>
      <c r="N316" s="29"/>
      <c r="T316">
        <v>238</v>
      </c>
    </row>
    <row r="317" spans="1:20" customFormat="1">
      <c r="A317" s="47">
        <v>13</v>
      </c>
      <c r="B317" s="47" t="s">
        <v>937</v>
      </c>
      <c r="C317" s="47">
        <v>9901030035</v>
      </c>
      <c r="D317" s="47" t="s">
        <v>947</v>
      </c>
      <c r="E317" s="47" t="s">
        <v>261</v>
      </c>
      <c r="F317" s="47"/>
      <c r="G317" s="47"/>
      <c r="H317" s="47"/>
      <c r="I317" s="48">
        <v>12400000</v>
      </c>
      <c r="J317" s="167">
        <f>ROUND(((100%+$M$304)*Table44[[#This Row],[قیمت (ریال)]])*(100%+$M$305),-6)</f>
        <v>15000000</v>
      </c>
      <c r="L317" s="10"/>
      <c r="M317" s="10"/>
      <c r="N317" s="29"/>
      <c r="T317">
        <v>239</v>
      </c>
    </row>
    <row r="318" spans="1:20" customFormat="1">
      <c r="A318" s="47">
        <v>14</v>
      </c>
      <c r="B318" s="47" t="s">
        <v>937</v>
      </c>
      <c r="C318" s="47">
        <v>9901030036</v>
      </c>
      <c r="D318" s="47" t="s">
        <v>948</v>
      </c>
      <c r="E318" s="47" t="s">
        <v>261</v>
      </c>
      <c r="F318" s="47"/>
      <c r="G318" s="47"/>
      <c r="H318" s="47"/>
      <c r="I318" s="48">
        <v>14400000</v>
      </c>
      <c r="J318" s="167">
        <f>ROUND(((100%+$M$304)*Table44[[#This Row],[قیمت (ریال)]])*(100%+$M$305),-6)</f>
        <v>17000000</v>
      </c>
      <c r="L318" s="10"/>
      <c r="M318" s="10"/>
      <c r="N318" s="29"/>
      <c r="T318">
        <v>240</v>
      </c>
    </row>
    <row r="319" spans="1:20" customFormat="1">
      <c r="A319" s="47">
        <v>15</v>
      </c>
      <c r="B319" s="47" t="s">
        <v>937</v>
      </c>
      <c r="C319" s="47">
        <v>9901030037</v>
      </c>
      <c r="D319" s="47" t="s">
        <v>949</v>
      </c>
      <c r="E319" s="47" t="s">
        <v>261</v>
      </c>
      <c r="F319" s="47"/>
      <c r="G319" s="47"/>
      <c r="H319" s="47"/>
      <c r="I319" s="48">
        <v>24300000</v>
      </c>
      <c r="J319" s="167">
        <f>ROUND(((100%+$M$304)*Table44[[#This Row],[قیمت (ریال)]])*(100%+$M$305),-6)</f>
        <v>29000000</v>
      </c>
      <c r="L319" s="10"/>
      <c r="M319" s="10"/>
      <c r="N319" s="29"/>
      <c r="T319">
        <v>241</v>
      </c>
    </row>
    <row r="320" spans="1:20" customFormat="1">
      <c r="A320" s="47">
        <v>16</v>
      </c>
      <c r="B320" s="47" t="s">
        <v>937</v>
      </c>
      <c r="C320" s="47">
        <v>9901030038</v>
      </c>
      <c r="D320" s="47" t="s">
        <v>950</v>
      </c>
      <c r="E320" s="47" t="s">
        <v>261</v>
      </c>
      <c r="F320" s="47"/>
      <c r="G320" s="47"/>
      <c r="H320" s="47"/>
      <c r="I320" s="48">
        <v>13600000</v>
      </c>
      <c r="J320" s="167">
        <f>ROUND(((100%+$M$304)*Table44[[#This Row],[قیمت (ریال)]])*(100%+$M$305),-6)</f>
        <v>16000000</v>
      </c>
      <c r="L320" s="10"/>
      <c r="M320" s="10"/>
      <c r="N320" s="29"/>
      <c r="T320">
        <v>242</v>
      </c>
    </row>
    <row r="321" spans="1:20" customFormat="1">
      <c r="A321" s="47">
        <v>17</v>
      </c>
      <c r="B321" s="47" t="s">
        <v>937</v>
      </c>
      <c r="C321" s="47">
        <v>9901030039</v>
      </c>
      <c r="D321" s="47" t="s">
        <v>951</v>
      </c>
      <c r="E321" s="47" t="s">
        <v>261</v>
      </c>
      <c r="F321" s="47"/>
      <c r="G321" s="47"/>
      <c r="H321" s="47"/>
      <c r="I321" s="48">
        <v>17500000</v>
      </c>
      <c r="J321" s="167">
        <f>ROUND(((100%+$M$304)*Table44[[#This Row],[قیمت (ریال)]])*(100%+$M$305),-6)</f>
        <v>21000000</v>
      </c>
      <c r="L321" s="10"/>
      <c r="M321" s="10"/>
      <c r="N321" s="29"/>
      <c r="T321">
        <v>243</v>
      </c>
    </row>
    <row r="322" spans="1:20" customFormat="1">
      <c r="A322" s="47">
        <v>18</v>
      </c>
      <c r="B322" s="47" t="s">
        <v>937</v>
      </c>
      <c r="C322" s="47">
        <v>9901030040</v>
      </c>
      <c r="D322" s="47" t="s">
        <v>952</v>
      </c>
      <c r="E322" s="47" t="s">
        <v>261</v>
      </c>
      <c r="F322" s="47"/>
      <c r="G322" s="47"/>
      <c r="H322" s="47"/>
      <c r="I322" s="48">
        <v>13200000</v>
      </c>
      <c r="J322" s="167">
        <f>ROUND(((100%+$M$304)*Table44[[#This Row],[قیمت (ریال)]])*(100%+$M$305),-6)</f>
        <v>16000000</v>
      </c>
      <c r="L322" s="10"/>
      <c r="M322" s="10"/>
      <c r="N322" s="29"/>
      <c r="T322">
        <v>244</v>
      </c>
    </row>
    <row r="323" spans="1:20" customFormat="1">
      <c r="A323" s="47">
        <v>19</v>
      </c>
      <c r="B323" s="47" t="s">
        <v>937</v>
      </c>
      <c r="C323" s="47">
        <v>9901030041</v>
      </c>
      <c r="D323" s="47" t="s">
        <v>953</v>
      </c>
      <c r="E323" s="47" t="s">
        <v>261</v>
      </c>
      <c r="F323" s="47"/>
      <c r="G323" s="47"/>
      <c r="H323" s="47"/>
      <c r="I323" s="48">
        <v>14400000</v>
      </c>
      <c r="J323" s="167">
        <f>ROUND(((100%+$M$304)*Table44[[#This Row],[قیمت (ریال)]])*(100%+$M$305),-6)</f>
        <v>17000000</v>
      </c>
      <c r="L323" s="10"/>
      <c r="M323" s="10"/>
      <c r="N323" s="29"/>
      <c r="T323">
        <v>245</v>
      </c>
    </row>
    <row r="324" spans="1:20" customFormat="1">
      <c r="A324" s="47">
        <v>20</v>
      </c>
      <c r="B324" s="47" t="s">
        <v>937</v>
      </c>
      <c r="C324" s="47">
        <v>9901030042</v>
      </c>
      <c r="D324" s="47" t="s">
        <v>954</v>
      </c>
      <c r="E324" s="47" t="s">
        <v>261</v>
      </c>
      <c r="F324" s="47"/>
      <c r="G324" s="47"/>
      <c r="H324" s="47"/>
      <c r="I324" s="48">
        <v>24300000</v>
      </c>
      <c r="J324" s="167">
        <f>ROUND(((100%+$M$304)*Table44[[#This Row],[قیمت (ریال)]])*(100%+$M$305),-6)</f>
        <v>29000000</v>
      </c>
      <c r="L324" s="10"/>
      <c r="M324" s="10"/>
      <c r="N324" s="29"/>
      <c r="T324">
        <v>246</v>
      </c>
    </row>
    <row r="325" spans="1:20" customFormat="1">
      <c r="A325" s="47">
        <v>21</v>
      </c>
      <c r="B325" s="47" t="s">
        <v>937</v>
      </c>
      <c r="C325" s="47">
        <v>9901030060</v>
      </c>
      <c r="D325" s="47" t="s">
        <v>1387</v>
      </c>
      <c r="E325" s="47" t="s">
        <v>261</v>
      </c>
      <c r="F325" s="47"/>
      <c r="G325" s="47"/>
      <c r="H325" s="47"/>
      <c r="I325" s="48">
        <v>77900000</v>
      </c>
      <c r="J325" s="167">
        <f>ROUND(((100%+$M$304)*Table44[[#This Row],[قیمت (ریال)]])*(100%+$M$305),-6)</f>
        <v>93000000</v>
      </c>
      <c r="L325" s="10"/>
      <c r="M325" s="10"/>
      <c r="N325" s="29"/>
      <c r="T325">
        <v>247</v>
      </c>
    </row>
    <row r="326" spans="1:20" customFormat="1">
      <c r="A326" s="47">
        <v>22</v>
      </c>
      <c r="B326" s="47" t="s">
        <v>937</v>
      </c>
      <c r="C326" s="47">
        <v>9901030061</v>
      </c>
      <c r="D326" s="47" t="s">
        <v>1388</v>
      </c>
      <c r="E326" s="47" t="s">
        <v>261</v>
      </c>
      <c r="F326" s="47"/>
      <c r="G326" s="47"/>
      <c r="H326" s="47"/>
      <c r="I326" s="48">
        <v>56600000</v>
      </c>
      <c r="J326" s="167">
        <f>ROUND(((100%+$M$304)*Table44[[#This Row],[قیمت (ریال)]])*(100%+$M$305),-6)</f>
        <v>68000000</v>
      </c>
      <c r="L326" s="10"/>
      <c r="M326" s="10"/>
      <c r="N326" s="29"/>
      <c r="T326">
        <v>248</v>
      </c>
    </row>
    <row r="327" spans="1:20" customFormat="1">
      <c r="A327" s="47">
        <v>23</v>
      </c>
      <c r="B327" s="47" t="s">
        <v>937</v>
      </c>
      <c r="C327" s="47">
        <v>9901030062</v>
      </c>
      <c r="D327" s="47" t="s">
        <v>955</v>
      </c>
      <c r="E327" s="47" t="s">
        <v>261</v>
      </c>
      <c r="F327" s="47"/>
      <c r="G327" s="47"/>
      <c r="H327" s="47"/>
      <c r="I327" s="48">
        <v>27900000</v>
      </c>
      <c r="J327" s="167">
        <f>ROUND(((100%+$M$304)*Table44[[#This Row],[قیمت (ریال)]])*(100%+$M$305),-6)</f>
        <v>33000000</v>
      </c>
      <c r="L327" s="10"/>
      <c r="M327" s="10"/>
      <c r="N327" s="29"/>
      <c r="T327">
        <v>249</v>
      </c>
    </row>
    <row r="328" spans="1:20" customFormat="1">
      <c r="A328" s="47">
        <v>24</v>
      </c>
      <c r="B328" s="47" t="s">
        <v>937</v>
      </c>
      <c r="C328" s="47">
        <v>9901030063</v>
      </c>
      <c r="D328" s="47" t="s">
        <v>956</v>
      </c>
      <c r="E328" s="47" t="s">
        <v>261</v>
      </c>
      <c r="F328" s="47"/>
      <c r="G328" s="47"/>
      <c r="H328" s="47"/>
      <c r="I328" s="48">
        <v>29700000</v>
      </c>
      <c r="J328" s="167">
        <f>ROUND(((100%+$M$304)*Table44[[#This Row],[قیمت (ریال)]])*(100%+$M$305),-6)</f>
        <v>36000000</v>
      </c>
      <c r="L328" s="10"/>
      <c r="M328" s="10"/>
      <c r="N328" s="29"/>
      <c r="T328">
        <v>250</v>
      </c>
    </row>
    <row r="329" spans="1:20" customFormat="1">
      <c r="A329" s="47">
        <v>25</v>
      </c>
      <c r="B329" s="47" t="s">
        <v>937</v>
      </c>
      <c r="C329" s="47">
        <v>9901030128</v>
      </c>
      <c r="D329" s="47" t="s">
        <v>1389</v>
      </c>
      <c r="E329" s="47" t="s">
        <v>1390</v>
      </c>
      <c r="F329" s="47"/>
      <c r="G329" s="47"/>
      <c r="H329" s="47"/>
      <c r="I329" s="48">
        <v>226000000</v>
      </c>
      <c r="J329" s="167">
        <f>ROUND(((100%+$M$304)*Table44[[#This Row],[قیمت (ریال)]])*(100%+$M$305),-6)</f>
        <v>271000000</v>
      </c>
      <c r="L329" s="10"/>
      <c r="M329" s="10"/>
      <c r="N329" s="29"/>
      <c r="T329">
        <v>251</v>
      </c>
    </row>
    <row r="330" spans="1:20" customFormat="1">
      <c r="A330" s="47">
        <v>26</v>
      </c>
      <c r="B330" s="47" t="s">
        <v>937</v>
      </c>
      <c r="C330" s="47">
        <v>9901030129</v>
      </c>
      <c r="D330" s="47" t="s">
        <v>1391</v>
      </c>
      <c r="E330" s="47" t="s">
        <v>1392</v>
      </c>
      <c r="F330" s="47"/>
      <c r="G330" s="47"/>
      <c r="H330" s="47"/>
      <c r="I330" s="48">
        <v>131800000</v>
      </c>
      <c r="J330" s="167">
        <f>ROUND(((100%+$M$304)*Table44[[#This Row],[قیمت (ریال)]])*(100%+$M$305),-6)</f>
        <v>158000000</v>
      </c>
      <c r="L330" s="10"/>
      <c r="M330" s="10"/>
      <c r="N330" s="29"/>
      <c r="T330">
        <v>252</v>
      </c>
    </row>
    <row r="331" spans="1:20" customFormat="1">
      <c r="A331" s="47">
        <v>27</v>
      </c>
      <c r="B331" s="47" t="s">
        <v>937</v>
      </c>
      <c r="C331" s="47">
        <v>9901030132</v>
      </c>
      <c r="D331" s="47" t="s">
        <v>1393</v>
      </c>
      <c r="E331" s="47" t="s">
        <v>1394</v>
      </c>
      <c r="F331" s="47"/>
      <c r="G331" s="47"/>
      <c r="H331" s="47"/>
      <c r="I331" s="48">
        <v>68400000</v>
      </c>
      <c r="J331" s="167">
        <f>ROUND(((100%+$M$304)*Table44[[#This Row],[قیمت (ریال)]])*(100%+$M$305),-6)</f>
        <v>82000000</v>
      </c>
      <c r="L331" s="10"/>
      <c r="M331" s="10"/>
      <c r="N331" s="29"/>
      <c r="T331">
        <v>253</v>
      </c>
    </row>
    <row r="332" spans="1:20" customFormat="1">
      <c r="A332" s="47">
        <v>28</v>
      </c>
      <c r="B332" s="47" t="s">
        <v>937</v>
      </c>
      <c r="C332" s="47">
        <v>9901030160</v>
      </c>
      <c r="D332" s="47" t="s">
        <v>1395</v>
      </c>
      <c r="E332" s="47" t="s">
        <v>1396</v>
      </c>
      <c r="F332" s="47"/>
      <c r="G332" s="47"/>
      <c r="H332" s="47"/>
      <c r="I332" s="48">
        <v>7900000</v>
      </c>
      <c r="J332" s="167">
        <f>ROUND(((100%+$M$304)*Table44[[#This Row],[قیمت (ریال)]])*(100%+$M$305),-6)</f>
        <v>9000000</v>
      </c>
      <c r="L332" s="10"/>
      <c r="M332" s="10"/>
      <c r="N332" s="29"/>
      <c r="T332">
        <v>254</v>
      </c>
    </row>
    <row r="333" spans="1:20" customFormat="1">
      <c r="A333" s="47">
        <v>29</v>
      </c>
      <c r="B333" s="47" t="s">
        <v>937</v>
      </c>
      <c r="C333" s="47">
        <v>9901030164</v>
      </c>
      <c r="D333" s="47" t="s">
        <v>1397</v>
      </c>
      <c r="E333" s="47" t="s">
        <v>1398</v>
      </c>
      <c r="F333" s="47"/>
      <c r="G333" s="47"/>
      <c r="H333" s="47"/>
      <c r="I333" s="48">
        <v>11600000</v>
      </c>
      <c r="J333" s="167">
        <f>ROUND(((100%+$M$304)*Table44[[#This Row],[قیمت (ریال)]])*(100%+$M$305),-6)</f>
        <v>14000000</v>
      </c>
      <c r="L333" s="10"/>
      <c r="M333" s="10"/>
      <c r="N333" s="29"/>
      <c r="T333">
        <v>255</v>
      </c>
    </row>
    <row r="334" spans="1:20" customFormat="1">
      <c r="A334" s="47">
        <v>30</v>
      </c>
      <c r="B334" s="47" t="s">
        <v>937</v>
      </c>
      <c r="C334" s="47">
        <v>9901030165</v>
      </c>
      <c r="D334" s="47" t="s">
        <v>1399</v>
      </c>
      <c r="E334" s="47" t="s">
        <v>1400</v>
      </c>
      <c r="F334" s="47"/>
      <c r="G334" s="47"/>
      <c r="H334" s="47"/>
      <c r="I334" s="48">
        <v>9400000</v>
      </c>
      <c r="J334" s="167">
        <f>ROUND(((100%+$M$304)*Table44[[#This Row],[قیمت (ریال)]])*(100%+$M$305),-6)</f>
        <v>11000000</v>
      </c>
      <c r="L334" s="10"/>
      <c r="M334" s="10"/>
      <c r="N334" s="29"/>
      <c r="T334">
        <v>256</v>
      </c>
    </row>
    <row r="335" spans="1:20" customFormat="1">
      <c r="A335" s="47">
        <v>31</v>
      </c>
      <c r="B335" s="47" t="s">
        <v>937</v>
      </c>
      <c r="C335" s="47">
        <v>9901030166</v>
      </c>
      <c r="D335" s="47" t="s">
        <v>1401</v>
      </c>
      <c r="E335" s="47" t="s">
        <v>1400</v>
      </c>
      <c r="F335" s="47"/>
      <c r="G335" s="47"/>
      <c r="H335" s="47"/>
      <c r="I335" s="48">
        <v>9400000</v>
      </c>
      <c r="J335" s="167">
        <f>ROUND(((100%+$M$304)*Table44[[#This Row],[قیمت (ریال)]])*(100%+$M$305),-6)</f>
        <v>11000000</v>
      </c>
      <c r="L335" s="10"/>
      <c r="M335" s="10"/>
      <c r="N335" s="29"/>
      <c r="T335">
        <v>257</v>
      </c>
    </row>
    <row r="336" spans="1:20" customFormat="1">
      <c r="A336" s="47">
        <v>32</v>
      </c>
      <c r="B336" s="47" t="s">
        <v>937</v>
      </c>
      <c r="C336" s="47">
        <v>9901030167</v>
      </c>
      <c r="D336" s="47" t="s">
        <v>1402</v>
      </c>
      <c r="E336" s="47" t="s">
        <v>1400</v>
      </c>
      <c r="F336" s="47"/>
      <c r="G336" s="47"/>
      <c r="H336" s="47"/>
      <c r="I336" s="48">
        <v>9400000</v>
      </c>
      <c r="J336" s="167">
        <f>ROUND(((100%+$M$304)*Table44[[#This Row],[قیمت (ریال)]])*(100%+$M$305),-6)</f>
        <v>11000000</v>
      </c>
      <c r="L336" s="10"/>
      <c r="M336" s="10"/>
      <c r="N336" s="29"/>
      <c r="T336">
        <v>258</v>
      </c>
    </row>
    <row r="337" spans="1:20" customFormat="1">
      <c r="A337" s="47">
        <v>33</v>
      </c>
      <c r="B337" s="47" t="s">
        <v>937</v>
      </c>
      <c r="C337" s="47">
        <v>9901030171</v>
      </c>
      <c r="D337" s="47" t="s">
        <v>1403</v>
      </c>
      <c r="E337" s="47" t="s">
        <v>1404</v>
      </c>
      <c r="F337" s="47"/>
      <c r="G337" s="47"/>
      <c r="H337" s="47"/>
      <c r="I337" s="48">
        <v>4800000</v>
      </c>
      <c r="J337" s="167">
        <f>ROUND(((100%+$M$304)*Table44[[#This Row],[قیمت (ریال)]])*(100%+$M$305),-6)</f>
        <v>6000000</v>
      </c>
      <c r="L337" s="10"/>
      <c r="M337" s="10"/>
      <c r="N337" s="29"/>
      <c r="T337">
        <v>259</v>
      </c>
    </row>
    <row r="338" spans="1:20" customFormat="1">
      <c r="A338" s="47">
        <v>34</v>
      </c>
      <c r="B338" s="47" t="s">
        <v>937</v>
      </c>
      <c r="C338" s="47">
        <v>9901030203</v>
      </c>
      <c r="D338" s="47" t="s">
        <v>1405</v>
      </c>
      <c r="E338" s="47" t="s">
        <v>261</v>
      </c>
      <c r="F338" s="47"/>
      <c r="G338" s="47"/>
      <c r="H338" s="47"/>
      <c r="I338" s="48">
        <v>8200000</v>
      </c>
      <c r="J338" s="167">
        <f>ROUND(((100%+$M$304)*Table44[[#This Row],[قیمت (ریال)]])*(100%+$M$305),-6)</f>
        <v>10000000</v>
      </c>
      <c r="L338" s="10"/>
      <c r="M338" s="10"/>
      <c r="N338" s="29"/>
      <c r="T338">
        <v>260</v>
      </c>
    </row>
    <row r="339" spans="1:20" customFormat="1">
      <c r="A339" s="47">
        <v>35</v>
      </c>
      <c r="B339" s="47" t="s">
        <v>937</v>
      </c>
      <c r="C339" s="47">
        <v>9901030207</v>
      </c>
      <c r="D339" s="47" t="s">
        <v>1406</v>
      </c>
      <c r="E339" s="47" t="s">
        <v>261</v>
      </c>
      <c r="F339" s="47"/>
      <c r="G339" s="47"/>
      <c r="H339" s="47"/>
      <c r="I339" s="48">
        <v>6000000</v>
      </c>
      <c r="J339" s="167">
        <f>ROUND(((100%+$M$304)*Table44[[#This Row],[قیمت (ریال)]])*(100%+$M$305),-6)</f>
        <v>7000000</v>
      </c>
      <c r="L339" s="10"/>
      <c r="M339" s="10"/>
      <c r="N339" s="29"/>
      <c r="T339">
        <v>261</v>
      </c>
    </row>
    <row r="340" spans="1:20" customFormat="1">
      <c r="A340" s="47">
        <v>36</v>
      </c>
      <c r="B340" s="47" t="s">
        <v>937</v>
      </c>
      <c r="C340" s="47">
        <v>9901030212</v>
      </c>
      <c r="D340" s="47" t="s">
        <v>1407</v>
      </c>
      <c r="E340" s="47" t="s">
        <v>261</v>
      </c>
      <c r="F340" s="47"/>
      <c r="G340" s="47"/>
      <c r="H340" s="47"/>
      <c r="I340" s="48">
        <v>6000000</v>
      </c>
      <c r="J340" s="167">
        <f>ROUND(((100%+$M$304)*Table44[[#This Row],[قیمت (ریال)]])*(100%+$M$305),-6)</f>
        <v>7000000</v>
      </c>
      <c r="L340" s="10"/>
      <c r="M340" s="10"/>
      <c r="N340" s="29"/>
      <c r="T340">
        <v>262</v>
      </c>
    </row>
    <row r="341" spans="1:20" customFormat="1">
      <c r="A341" s="47">
        <v>37</v>
      </c>
      <c r="B341" s="47" t="s">
        <v>937</v>
      </c>
      <c r="C341" s="47">
        <v>9901030213</v>
      </c>
      <c r="D341" s="47" t="s">
        <v>1408</v>
      </c>
      <c r="E341" s="47" t="s">
        <v>261</v>
      </c>
      <c r="F341" s="47"/>
      <c r="G341" s="47"/>
      <c r="H341" s="47"/>
      <c r="I341" s="48">
        <v>6000000</v>
      </c>
      <c r="J341" s="167">
        <f>ROUND(((100%+$M$304)*Table44[[#This Row],[قیمت (ریال)]])*(100%+$M$305),-6)</f>
        <v>7000000</v>
      </c>
      <c r="L341" s="10"/>
      <c r="M341" s="10"/>
      <c r="N341" s="29"/>
      <c r="T341">
        <v>263</v>
      </c>
    </row>
    <row r="342" spans="1:20" customFormat="1">
      <c r="A342" s="47">
        <v>38</v>
      </c>
      <c r="B342" s="47" t="s">
        <v>937</v>
      </c>
      <c r="C342" s="47">
        <v>9901030216</v>
      </c>
      <c r="D342" s="47" t="s">
        <v>1409</v>
      </c>
      <c r="E342" s="47" t="s">
        <v>261</v>
      </c>
      <c r="F342" s="47"/>
      <c r="G342" s="47"/>
      <c r="H342" s="47"/>
      <c r="I342" s="48">
        <v>8200000</v>
      </c>
      <c r="J342" s="167">
        <f>ROUND(((100%+$M$304)*Table44[[#This Row],[قیمت (ریال)]])*(100%+$M$305),-6)</f>
        <v>10000000</v>
      </c>
      <c r="L342" s="10"/>
      <c r="M342" s="10"/>
      <c r="N342" s="29"/>
      <c r="T342">
        <v>264</v>
      </c>
    </row>
    <row r="343" spans="1:20" customFormat="1">
      <c r="A343" s="47">
        <v>39</v>
      </c>
      <c r="B343" s="47" t="s">
        <v>937</v>
      </c>
      <c r="C343" s="47">
        <v>9901030241</v>
      </c>
      <c r="D343" s="47" t="s">
        <v>1410</v>
      </c>
      <c r="E343" s="47" t="s">
        <v>261</v>
      </c>
      <c r="F343" s="47"/>
      <c r="G343" s="47"/>
      <c r="H343" s="47"/>
      <c r="I343" s="48">
        <v>8200000</v>
      </c>
      <c r="J343" s="167">
        <f>ROUND(((100%+$M$304)*Table44[[#This Row],[قیمت (ریال)]])*(100%+$M$305),-6)</f>
        <v>10000000</v>
      </c>
      <c r="L343" s="10"/>
      <c r="M343" s="10"/>
      <c r="N343" s="29"/>
      <c r="T343">
        <v>265</v>
      </c>
    </row>
    <row r="344" spans="1:20" customFormat="1">
      <c r="A344" s="47">
        <v>40</v>
      </c>
      <c r="B344" s="47" t="s">
        <v>937</v>
      </c>
      <c r="C344" s="47">
        <v>9901030244</v>
      </c>
      <c r="D344" s="47" t="s">
        <v>1411</v>
      </c>
      <c r="E344" s="47" t="s">
        <v>261</v>
      </c>
      <c r="F344" s="47"/>
      <c r="G344" s="47"/>
      <c r="H344" s="47"/>
      <c r="I344" s="48">
        <v>8200000</v>
      </c>
      <c r="J344" s="167">
        <f>ROUND(((100%+$M$304)*Table44[[#This Row],[قیمت (ریال)]])*(100%+$M$305),-6)</f>
        <v>10000000</v>
      </c>
      <c r="L344" s="10"/>
      <c r="M344" s="10"/>
      <c r="N344" s="29"/>
      <c r="T344">
        <v>266</v>
      </c>
    </row>
    <row r="345" spans="1:20" customFormat="1">
      <c r="A345" s="47">
        <v>41</v>
      </c>
      <c r="B345" s="47" t="s">
        <v>937</v>
      </c>
      <c r="C345" s="47">
        <v>9901030245</v>
      </c>
      <c r="D345" s="47" t="s">
        <v>1412</v>
      </c>
      <c r="E345" s="47" t="s">
        <v>261</v>
      </c>
      <c r="F345" s="47"/>
      <c r="G345" s="47"/>
      <c r="H345" s="47"/>
      <c r="I345" s="48">
        <v>36200000</v>
      </c>
      <c r="J345" s="167">
        <f>ROUND(((100%+$M$304)*Table44[[#This Row],[قیمت (ریال)]])*(100%+$M$305),-6)</f>
        <v>43000000</v>
      </c>
      <c r="L345" s="10"/>
      <c r="M345" s="10"/>
      <c r="N345" s="29"/>
      <c r="T345">
        <v>267</v>
      </c>
    </row>
    <row r="346" spans="1:20" customFormat="1">
      <c r="A346" s="47">
        <v>42</v>
      </c>
      <c r="B346" s="47" t="s">
        <v>937</v>
      </c>
      <c r="C346" s="47">
        <v>9901030297</v>
      </c>
      <c r="D346" s="47" t="s">
        <v>1413</v>
      </c>
      <c r="E346" s="47" t="s">
        <v>1414</v>
      </c>
      <c r="F346" s="47"/>
      <c r="G346" s="47"/>
      <c r="H346" s="47"/>
      <c r="I346" s="48">
        <v>55000000</v>
      </c>
      <c r="J346" s="167">
        <f>ROUND(((100%+$M$304)*Table44[[#This Row],[قیمت (ریال)]])*(100%+$M$305),-6)</f>
        <v>66000000</v>
      </c>
      <c r="L346" s="10"/>
      <c r="M346" s="10"/>
      <c r="N346" s="29"/>
      <c r="T346">
        <v>268</v>
      </c>
    </row>
    <row r="347" spans="1:20" customFormat="1">
      <c r="A347" s="47">
        <v>43</v>
      </c>
      <c r="B347" s="47" t="s">
        <v>937</v>
      </c>
      <c r="C347" s="47">
        <v>9901030303</v>
      </c>
      <c r="D347" s="47" t="s">
        <v>1415</v>
      </c>
      <c r="E347" s="47" t="s">
        <v>1416</v>
      </c>
      <c r="F347" s="47"/>
      <c r="G347" s="47"/>
      <c r="H347" s="47"/>
      <c r="I347" s="48">
        <v>67800000</v>
      </c>
      <c r="J347" s="167">
        <f>ROUND(((100%+$M$304)*Table44[[#This Row],[قیمت (ریال)]])*(100%+$M$305),-6)</f>
        <v>81000000</v>
      </c>
      <c r="L347" s="10"/>
      <c r="M347" s="10"/>
      <c r="N347" s="29"/>
      <c r="T347">
        <v>269</v>
      </c>
    </row>
    <row r="348" spans="1:20" customFormat="1">
      <c r="A348" s="47">
        <v>44</v>
      </c>
      <c r="B348" s="47" t="s">
        <v>937</v>
      </c>
      <c r="C348" s="47">
        <v>9901030305</v>
      </c>
      <c r="D348" s="47" t="s">
        <v>1417</v>
      </c>
      <c r="E348" s="47" t="s">
        <v>261</v>
      </c>
      <c r="F348" s="47"/>
      <c r="G348" s="47"/>
      <c r="H348" s="47"/>
      <c r="I348" s="48">
        <v>110000000</v>
      </c>
      <c r="J348" s="167">
        <f>ROUND(((100%+$M$304)*Table44[[#This Row],[قیمت (ریال)]])*(100%+$M$305),-6)</f>
        <v>132000000</v>
      </c>
      <c r="L348" s="10"/>
      <c r="M348" s="10"/>
      <c r="N348" s="29"/>
      <c r="T348">
        <v>270</v>
      </c>
    </row>
    <row r="349" spans="1:20" customFormat="1">
      <c r="A349" s="47">
        <v>45</v>
      </c>
      <c r="B349" s="47" t="s">
        <v>937</v>
      </c>
      <c r="C349" s="47">
        <v>9901030306</v>
      </c>
      <c r="D349" s="47" t="s">
        <v>957</v>
      </c>
      <c r="E349" s="47" t="s">
        <v>261</v>
      </c>
      <c r="F349" s="47"/>
      <c r="G349" s="47"/>
      <c r="H349" s="47"/>
      <c r="I349" s="48">
        <v>93700000</v>
      </c>
      <c r="J349" s="167">
        <f>ROUND(((100%+$M$304)*Table44[[#This Row],[قیمت (ریال)]])*(100%+$M$305),-6)</f>
        <v>112000000</v>
      </c>
      <c r="L349" s="10"/>
      <c r="M349" s="10"/>
      <c r="N349" s="29"/>
      <c r="T349">
        <v>271</v>
      </c>
    </row>
    <row r="350" spans="1:20" customFormat="1">
      <c r="A350" s="47">
        <v>46</v>
      </c>
      <c r="B350" s="47" t="s">
        <v>937</v>
      </c>
      <c r="C350" s="47">
        <v>9901030309</v>
      </c>
      <c r="D350" s="47" t="s">
        <v>1418</v>
      </c>
      <c r="E350" s="47" t="s">
        <v>1419</v>
      </c>
      <c r="F350" s="47"/>
      <c r="G350" s="47"/>
      <c r="H350" s="47"/>
      <c r="I350" s="48">
        <v>61000000</v>
      </c>
      <c r="J350" s="167">
        <f>ROUND(((100%+$M$304)*Table44[[#This Row],[قیمت (ریال)]])*(100%+$M$305),-6)</f>
        <v>73000000</v>
      </c>
      <c r="L350" s="10"/>
      <c r="M350" s="10"/>
      <c r="N350" s="29"/>
      <c r="T350">
        <v>272</v>
      </c>
    </row>
    <row r="351" spans="1:20" customFormat="1">
      <c r="A351" s="47">
        <v>47</v>
      </c>
      <c r="B351" s="47" t="s">
        <v>937</v>
      </c>
      <c r="C351" s="47">
        <v>9901030311</v>
      </c>
      <c r="D351" s="47" t="s">
        <v>1420</v>
      </c>
      <c r="E351" s="47" t="s">
        <v>1421</v>
      </c>
      <c r="F351" s="47"/>
      <c r="G351" s="47"/>
      <c r="H351" s="47"/>
      <c r="I351" s="48">
        <v>108000000</v>
      </c>
      <c r="J351" s="167">
        <f>ROUND(((100%+$M$304)*Table44[[#This Row],[قیمت (ریال)]])*(100%+$M$305),-6)</f>
        <v>130000000</v>
      </c>
      <c r="L351" s="10"/>
      <c r="M351" s="10"/>
      <c r="N351" s="29"/>
      <c r="T351">
        <v>273</v>
      </c>
    </row>
    <row r="352" spans="1:20" customFormat="1">
      <c r="A352" s="47">
        <v>48</v>
      </c>
      <c r="B352" s="47" t="s">
        <v>937</v>
      </c>
      <c r="C352" s="47">
        <v>9901030317</v>
      </c>
      <c r="D352" s="47" t="s">
        <v>958</v>
      </c>
      <c r="E352" s="47" t="s">
        <v>261</v>
      </c>
      <c r="F352" s="47"/>
      <c r="G352" s="47"/>
      <c r="H352" s="47"/>
      <c r="I352" s="48">
        <v>20400000</v>
      </c>
      <c r="J352" s="167">
        <f>ROUND(((100%+$M$304)*Table44[[#This Row],[قیمت (ریال)]])*(100%+$M$305),-6)</f>
        <v>24000000</v>
      </c>
      <c r="L352" s="10"/>
      <c r="M352" s="10"/>
      <c r="N352" s="29"/>
      <c r="T352">
        <v>274</v>
      </c>
    </row>
    <row r="353" spans="1:20" customFormat="1">
      <c r="A353" s="47">
        <v>49</v>
      </c>
      <c r="B353" s="47" t="s">
        <v>937</v>
      </c>
      <c r="C353" s="47">
        <v>9901030318</v>
      </c>
      <c r="D353" s="47" t="s">
        <v>959</v>
      </c>
      <c r="E353" s="47" t="s">
        <v>261</v>
      </c>
      <c r="F353" s="47"/>
      <c r="G353" s="47"/>
      <c r="H353" s="47"/>
      <c r="I353" s="48">
        <v>20400000</v>
      </c>
      <c r="J353" s="167">
        <f>ROUND(((100%+$M$304)*Table44[[#This Row],[قیمت (ریال)]])*(100%+$M$305),-6)</f>
        <v>24000000</v>
      </c>
      <c r="L353" s="10"/>
      <c r="M353" s="10"/>
      <c r="N353" s="29"/>
      <c r="T353">
        <v>275</v>
      </c>
    </row>
    <row r="354" spans="1:20" customFormat="1">
      <c r="A354" s="47">
        <v>50</v>
      </c>
      <c r="B354" s="47" t="s">
        <v>937</v>
      </c>
      <c r="C354" s="47">
        <v>9901030319</v>
      </c>
      <c r="D354" s="47" t="s">
        <v>1422</v>
      </c>
      <c r="E354" s="47" t="s">
        <v>261</v>
      </c>
      <c r="F354" s="47"/>
      <c r="G354" s="47"/>
      <c r="H354" s="47"/>
      <c r="I354" s="48">
        <v>26600000</v>
      </c>
      <c r="J354" s="167">
        <f>ROUND(((100%+$M$304)*Table44[[#This Row],[قیمت (ریال)]])*(100%+$M$305),-6)</f>
        <v>32000000</v>
      </c>
      <c r="L354" s="10"/>
      <c r="M354" s="10"/>
      <c r="N354" s="29"/>
      <c r="T354">
        <v>276</v>
      </c>
    </row>
    <row r="355" spans="1:20" customFormat="1">
      <c r="A355" s="47">
        <v>51</v>
      </c>
      <c r="B355" s="47" t="s">
        <v>937</v>
      </c>
      <c r="C355" s="47">
        <v>9901030321</v>
      </c>
      <c r="D355" s="47" t="s">
        <v>960</v>
      </c>
      <c r="E355" s="47" t="s">
        <v>261</v>
      </c>
      <c r="F355" s="47"/>
      <c r="G355" s="47"/>
      <c r="H355" s="47"/>
      <c r="I355" s="48">
        <v>20400000</v>
      </c>
      <c r="J355" s="167">
        <f>ROUND(((100%+$M$304)*Table44[[#This Row],[قیمت (ریال)]])*(100%+$M$305),-6)</f>
        <v>24000000</v>
      </c>
      <c r="L355" s="10"/>
      <c r="M355" s="10"/>
      <c r="N355" s="29"/>
      <c r="T355">
        <v>277</v>
      </c>
    </row>
    <row r="356" spans="1:20" customFormat="1">
      <c r="A356" s="47">
        <v>52</v>
      </c>
      <c r="B356" s="47" t="s">
        <v>937</v>
      </c>
      <c r="C356" s="47">
        <v>9901030327</v>
      </c>
      <c r="D356" s="47" t="s">
        <v>961</v>
      </c>
      <c r="E356" s="47" t="s">
        <v>261</v>
      </c>
      <c r="F356" s="47"/>
      <c r="G356" s="47"/>
      <c r="H356" s="47"/>
      <c r="I356" s="48">
        <v>133800000</v>
      </c>
      <c r="J356" s="167">
        <f>ROUND(((100%+$M$304)*Table44[[#This Row],[قیمت (ریال)]])*(100%+$M$305),-6)</f>
        <v>161000000</v>
      </c>
      <c r="L356" s="10"/>
      <c r="M356" s="10"/>
      <c r="N356" s="29"/>
      <c r="T356">
        <v>278</v>
      </c>
    </row>
    <row r="357" spans="1:20" customFormat="1">
      <c r="A357" s="47">
        <v>53</v>
      </c>
      <c r="B357" s="47" t="s">
        <v>937</v>
      </c>
      <c r="C357" s="47">
        <v>9901030432</v>
      </c>
      <c r="D357" s="47" t="s">
        <v>962</v>
      </c>
      <c r="E357" s="47" t="s">
        <v>963</v>
      </c>
      <c r="F357" s="47"/>
      <c r="G357" s="47"/>
      <c r="H357" s="47"/>
      <c r="I357" s="48">
        <v>56800000</v>
      </c>
      <c r="J357" s="167">
        <f>ROUND(((100%+$M$304)*Table44[[#This Row],[قیمت (ریال)]])*(100%+$M$305),-6)</f>
        <v>68000000</v>
      </c>
      <c r="L357" s="10"/>
      <c r="M357" s="10"/>
      <c r="N357" s="29"/>
      <c r="T357">
        <v>279</v>
      </c>
    </row>
    <row r="358" spans="1:20" customFormat="1">
      <c r="A358" s="47">
        <v>54</v>
      </c>
      <c r="B358" s="47" t="s">
        <v>937</v>
      </c>
      <c r="C358" s="47">
        <v>9901030433</v>
      </c>
      <c r="D358" s="47" t="s">
        <v>964</v>
      </c>
      <c r="E358" s="47" t="s">
        <v>965</v>
      </c>
      <c r="F358" s="47"/>
      <c r="G358" s="47"/>
      <c r="H358" s="47"/>
      <c r="I358" s="48">
        <v>138800000</v>
      </c>
      <c r="J358" s="167">
        <f>ROUND(((100%+$M$304)*Table44[[#This Row],[قیمت (ریال)]])*(100%+$M$305),-6)</f>
        <v>167000000</v>
      </c>
      <c r="L358" s="124"/>
      <c r="M358" s="124"/>
      <c r="N358" s="29"/>
      <c r="T358">
        <v>280</v>
      </c>
    </row>
    <row r="359" spans="1:20">
      <c r="A359" s="47">
        <v>55</v>
      </c>
      <c r="B359" s="47" t="s">
        <v>937</v>
      </c>
      <c r="C359" s="47">
        <v>9901030354</v>
      </c>
      <c r="D359" s="47" t="s">
        <v>1423</v>
      </c>
      <c r="E359" s="47" t="s">
        <v>261</v>
      </c>
      <c r="I359" s="48">
        <v>23600000</v>
      </c>
      <c r="J359" s="167">
        <f>ROUND(((100%+$M$304)*Table44[[#This Row],[قیمت (ریال)]])*(100%+$M$305),-6)</f>
        <v>28000000</v>
      </c>
      <c r="T359">
        <v>281</v>
      </c>
    </row>
    <row r="360" spans="1:20">
      <c r="A360" s="47">
        <v>56</v>
      </c>
      <c r="B360" s="47" t="s">
        <v>937</v>
      </c>
      <c r="C360" s="47">
        <v>9901030358</v>
      </c>
      <c r="D360" s="47" t="s">
        <v>1424</v>
      </c>
      <c r="E360" s="47" t="s">
        <v>1425</v>
      </c>
      <c r="I360" s="48">
        <v>81600000</v>
      </c>
      <c r="J360" s="167">
        <f>ROUND(((100%+$M$304)*Table44[[#This Row],[قیمت (ریال)]])*(100%+$M$305),-6)</f>
        <v>98000000</v>
      </c>
      <c r="T360">
        <v>282</v>
      </c>
    </row>
    <row r="361" spans="1:20">
      <c r="A361" s="47">
        <v>57</v>
      </c>
      <c r="B361" s="47" t="s">
        <v>937</v>
      </c>
      <c r="C361" s="47">
        <v>9901030429</v>
      </c>
      <c r="D361" s="47" t="s">
        <v>1426</v>
      </c>
      <c r="E361" s="47" t="s">
        <v>261</v>
      </c>
      <c r="I361" s="48">
        <v>36200000</v>
      </c>
      <c r="J361" s="167">
        <f>ROUND(((100%+$M$304)*Table44[[#This Row],[قیمت (ریال)]])*(100%+$M$305),-6)</f>
        <v>43000000</v>
      </c>
      <c r="T361">
        <v>283</v>
      </c>
    </row>
    <row r="362" spans="1:20">
      <c r="A362" s="47">
        <v>58</v>
      </c>
      <c r="B362" s="47" t="s">
        <v>937</v>
      </c>
      <c r="C362" s="47">
        <v>9901030430</v>
      </c>
      <c r="D362" s="47" t="s">
        <v>1427</v>
      </c>
      <c r="E362" s="47" t="s">
        <v>261</v>
      </c>
      <c r="I362" s="48">
        <v>36200000</v>
      </c>
      <c r="J362" s="167">
        <f>ROUND(((100%+$M$304)*Table44[[#This Row],[قیمت (ریال)]])*(100%+$M$305),-6)</f>
        <v>43000000</v>
      </c>
      <c r="T362">
        <v>284</v>
      </c>
    </row>
    <row r="363" spans="1:20">
      <c r="A363" s="47">
        <v>59</v>
      </c>
      <c r="B363" s="47" t="s">
        <v>937</v>
      </c>
      <c r="C363" s="47">
        <v>9901030431</v>
      </c>
      <c r="D363" s="47" t="s">
        <v>1428</v>
      </c>
      <c r="E363" s="47" t="s">
        <v>261</v>
      </c>
      <c r="I363" s="48">
        <v>36200000</v>
      </c>
      <c r="J363" s="167">
        <f>ROUND(((100%+$M$304)*Table44[[#This Row],[قیمت (ریال)]])*(100%+$M$305),-6)</f>
        <v>43000000</v>
      </c>
      <c r="T363">
        <v>285</v>
      </c>
    </row>
    <row r="364" spans="1:20">
      <c r="A364" s="47">
        <v>60</v>
      </c>
      <c r="B364" s="47" t="s">
        <v>937</v>
      </c>
      <c r="C364" s="47">
        <v>9901030451</v>
      </c>
      <c r="D364" s="47" t="s">
        <v>1429</v>
      </c>
      <c r="E364" s="47" t="s">
        <v>1430</v>
      </c>
      <c r="I364" s="48">
        <v>108000000</v>
      </c>
      <c r="J364" s="167">
        <f>ROUND(((100%+$M$304)*Table44[[#This Row],[قیمت (ریال)]])*(100%+$M$305),-6)</f>
        <v>130000000</v>
      </c>
      <c r="T364">
        <v>286</v>
      </c>
    </row>
    <row r="365" spans="1:20">
      <c r="A365" s="47">
        <v>61</v>
      </c>
      <c r="B365" s="47" t="s">
        <v>937</v>
      </c>
      <c r="C365" s="47">
        <v>9901030452</v>
      </c>
      <c r="D365" s="47" t="s">
        <v>1431</v>
      </c>
      <c r="E365" s="47" t="s">
        <v>1432</v>
      </c>
      <c r="I365" s="48">
        <v>98400000</v>
      </c>
      <c r="J365" s="167">
        <f>ROUND(((100%+$M$304)*Table44[[#This Row],[قیمت (ریال)]])*(100%+$M$305),-6)</f>
        <v>118000000</v>
      </c>
      <c r="T365">
        <v>287</v>
      </c>
    </row>
    <row r="366" spans="1:20" customFormat="1">
      <c r="A366" s="47">
        <v>62</v>
      </c>
      <c r="B366" s="47" t="s">
        <v>937</v>
      </c>
      <c r="C366" s="47">
        <v>9901030462</v>
      </c>
      <c r="D366" s="47" t="s">
        <v>1433</v>
      </c>
      <c r="E366" s="47" t="s">
        <v>261</v>
      </c>
      <c r="F366" s="47"/>
      <c r="G366" s="47"/>
      <c r="H366" s="47"/>
      <c r="I366" s="48">
        <v>11800000</v>
      </c>
      <c r="J366" s="167">
        <f>ROUND(((100%+$M$304)*Table44[[#This Row],[قیمت (ریال)]])*(100%+$M$305),-6)</f>
        <v>14000000</v>
      </c>
      <c r="L366" s="124"/>
      <c r="M366" s="124"/>
      <c r="N366" s="29"/>
      <c r="T366">
        <v>288</v>
      </c>
    </row>
    <row r="367" spans="1:20" customFormat="1">
      <c r="A367" s="47"/>
      <c r="B367" s="47"/>
      <c r="C367" s="47"/>
      <c r="D367" s="47"/>
      <c r="E367" s="47"/>
      <c r="F367" s="47"/>
      <c r="G367" s="47"/>
      <c r="H367" s="47"/>
      <c r="I367" s="48"/>
      <c r="J367" s="167"/>
      <c r="L367" s="124"/>
      <c r="M367" s="124"/>
      <c r="N367" s="29"/>
    </row>
    <row r="368" spans="1:20" customFormat="1">
      <c r="A368" s="47"/>
      <c r="B368" s="47"/>
      <c r="C368" s="47"/>
      <c r="D368" s="47"/>
      <c r="E368" s="47"/>
      <c r="F368" s="47"/>
      <c r="G368" s="47"/>
      <c r="H368" s="47"/>
      <c r="I368" s="48"/>
      <c r="J368" s="167"/>
      <c r="L368" s="10"/>
      <c r="M368" s="10"/>
      <c r="N368" s="29"/>
    </row>
    <row r="369" spans="1:20" customFormat="1">
      <c r="A369" s="47"/>
      <c r="B369" s="47"/>
      <c r="C369" s="47"/>
      <c r="D369" s="47"/>
      <c r="E369" s="47"/>
      <c r="F369" s="47"/>
      <c r="G369" s="47"/>
      <c r="H369" s="47"/>
      <c r="I369" s="48"/>
      <c r="J369" s="168"/>
      <c r="L369" s="10"/>
      <c r="M369" s="10"/>
      <c r="N369" s="29"/>
    </row>
    <row r="370" spans="1:20" customFormat="1">
      <c r="A370" s="47"/>
      <c r="B370" s="47"/>
      <c r="C370" s="47"/>
      <c r="D370" s="47"/>
      <c r="E370" s="47"/>
      <c r="F370" s="47"/>
      <c r="G370" s="47"/>
      <c r="H370" s="47"/>
      <c r="I370" s="48"/>
      <c r="J370" s="168"/>
      <c r="L370" s="10"/>
      <c r="M370" s="10"/>
      <c r="N370" s="29"/>
    </row>
    <row r="371" spans="1:20" customFormat="1" ht="19.5" thickBot="1">
      <c r="A371" s="47"/>
      <c r="B371" s="47"/>
      <c r="C371" s="47"/>
      <c r="D371" s="47"/>
      <c r="E371" s="47"/>
      <c r="F371" s="47"/>
      <c r="G371" s="47"/>
      <c r="H371" s="47"/>
      <c r="I371" s="48"/>
      <c r="J371" s="168"/>
      <c r="L371" s="10"/>
      <c r="M371" s="10"/>
      <c r="N371" s="29"/>
    </row>
    <row r="372" spans="1:20" customFormat="1">
      <c r="A372" s="50" t="s">
        <v>0</v>
      </c>
      <c r="B372" s="50" t="s">
        <v>530</v>
      </c>
      <c r="C372" s="50" t="s">
        <v>1</v>
      </c>
      <c r="D372" s="50" t="s">
        <v>448</v>
      </c>
      <c r="E372" s="50" t="s">
        <v>767</v>
      </c>
      <c r="F372" s="50" t="s">
        <v>768</v>
      </c>
      <c r="G372" s="50" t="s">
        <v>769</v>
      </c>
      <c r="H372" s="50" t="s">
        <v>770</v>
      </c>
      <c r="I372" s="51" t="s">
        <v>251</v>
      </c>
      <c r="J372" s="166" t="s">
        <v>431</v>
      </c>
      <c r="L372" s="120" t="s">
        <v>777</v>
      </c>
      <c r="M372" s="121">
        <v>0.2</v>
      </c>
      <c r="N372" s="29"/>
    </row>
    <row r="373" spans="1:20" customFormat="1" ht="19.5" thickBot="1">
      <c r="A373" s="47">
        <v>1</v>
      </c>
      <c r="B373" s="47" t="s">
        <v>966</v>
      </c>
      <c r="C373" s="47">
        <v>9901040001</v>
      </c>
      <c r="D373" s="47" t="s">
        <v>967</v>
      </c>
      <c r="E373" s="47">
        <v>106</v>
      </c>
      <c r="F373" s="47"/>
      <c r="G373" s="47"/>
      <c r="H373" s="47"/>
      <c r="I373" s="48">
        <v>13600000</v>
      </c>
      <c r="J373" s="167">
        <f>ROUND(((100%+$M$372)*Table4657[[#This Row],[قیمت (ریال)]])*(100%+$M$373),-6)</f>
        <v>16000000</v>
      </c>
      <c r="L373" s="122" t="s">
        <v>779</v>
      </c>
      <c r="M373" s="123">
        <v>0</v>
      </c>
      <c r="N373" s="29"/>
      <c r="T373">
        <v>289</v>
      </c>
    </row>
    <row r="374" spans="1:20" customFormat="1">
      <c r="A374" s="47">
        <v>2</v>
      </c>
      <c r="B374" s="47" t="s">
        <v>966</v>
      </c>
      <c r="C374" s="47">
        <v>9901040002</v>
      </c>
      <c r="D374" s="47" t="s">
        <v>968</v>
      </c>
      <c r="E374" s="47">
        <v>97</v>
      </c>
      <c r="F374" s="47"/>
      <c r="G374" s="47"/>
      <c r="H374" s="47"/>
      <c r="I374" s="48">
        <v>15000000</v>
      </c>
      <c r="J374" s="167">
        <f>ROUND(((100%+$M$372)*Table4657[[#This Row],[قیمت (ریال)]])*(100%+$M$373),-6)</f>
        <v>18000000</v>
      </c>
      <c r="L374" s="10"/>
      <c r="M374" s="10"/>
      <c r="N374" s="29"/>
      <c r="T374">
        <v>290</v>
      </c>
    </row>
    <row r="375" spans="1:20" customFormat="1">
      <c r="A375" s="47">
        <v>3</v>
      </c>
      <c r="B375" s="47" t="s">
        <v>966</v>
      </c>
      <c r="C375" s="47">
        <v>9901040003</v>
      </c>
      <c r="D375" s="47" t="s">
        <v>969</v>
      </c>
      <c r="E375" s="47">
        <v>124</v>
      </c>
      <c r="F375" s="47"/>
      <c r="G375" s="47"/>
      <c r="H375" s="47"/>
      <c r="I375" s="48">
        <v>14400000</v>
      </c>
      <c r="J375" s="167">
        <f>ROUND(((100%+$M$372)*Table4657[[#This Row],[قیمت (ریال)]])*(100%+$M$373),-6)</f>
        <v>17000000</v>
      </c>
      <c r="L375" s="10"/>
      <c r="M375" s="10"/>
      <c r="N375" s="29"/>
      <c r="T375">
        <v>291</v>
      </c>
    </row>
    <row r="376" spans="1:20" customFormat="1">
      <c r="A376" s="47">
        <v>4</v>
      </c>
      <c r="B376" s="47" t="s">
        <v>966</v>
      </c>
      <c r="C376" s="47">
        <v>9901040004</v>
      </c>
      <c r="D376" s="47" t="s">
        <v>970</v>
      </c>
      <c r="E376" s="47">
        <v>107</v>
      </c>
      <c r="F376" s="47"/>
      <c r="G376" s="47"/>
      <c r="H376" s="47"/>
      <c r="I376" s="48">
        <v>14400000</v>
      </c>
      <c r="J376" s="167">
        <f>ROUND(((100%+$M$372)*Table4657[[#This Row],[قیمت (ریال)]])*(100%+$M$373),-6)</f>
        <v>17000000</v>
      </c>
      <c r="L376" s="10"/>
      <c r="M376" s="10"/>
      <c r="N376" s="29"/>
      <c r="T376">
        <v>292</v>
      </c>
    </row>
    <row r="377" spans="1:20" customFormat="1">
      <c r="A377" s="47">
        <v>5</v>
      </c>
      <c r="B377" s="47" t="s">
        <v>966</v>
      </c>
      <c r="C377" s="47">
        <v>9901040005</v>
      </c>
      <c r="D377" s="47" t="s">
        <v>971</v>
      </c>
      <c r="E377" s="47">
        <v>106</v>
      </c>
      <c r="F377" s="47"/>
      <c r="G377" s="47"/>
      <c r="H377" s="47"/>
      <c r="I377" s="48">
        <v>12500000</v>
      </c>
      <c r="J377" s="167">
        <f>ROUND(((100%+$M$372)*Table4657[[#This Row],[قیمت (ریال)]])*(100%+$M$373),-6)</f>
        <v>15000000</v>
      </c>
      <c r="L377" s="10"/>
      <c r="M377" s="10"/>
      <c r="N377" s="29"/>
      <c r="T377">
        <v>293</v>
      </c>
    </row>
    <row r="378" spans="1:20" customFormat="1">
      <c r="A378" s="47">
        <v>6</v>
      </c>
      <c r="B378" s="47" t="s">
        <v>966</v>
      </c>
      <c r="C378" s="47">
        <v>9901040006</v>
      </c>
      <c r="D378" s="47" t="s">
        <v>972</v>
      </c>
      <c r="E378" s="47">
        <v>90</v>
      </c>
      <c r="F378" s="47"/>
      <c r="G378" s="47"/>
      <c r="H378" s="47"/>
      <c r="I378" s="48">
        <v>15000000</v>
      </c>
      <c r="J378" s="167">
        <f>ROUND(((100%+$M$372)*Table4657[[#This Row],[قیمت (ریال)]])*(100%+$M$373),-6)</f>
        <v>18000000</v>
      </c>
      <c r="L378" s="10"/>
      <c r="M378" s="10"/>
      <c r="N378" s="29"/>
      <c r="T378">
        <v>294</v>
      </c>
    </row>
    <row r="379" spans="1:20" customFormat="1">
      <c r="A379" s="47">
        <v>7</v>
      </c>
      <c r="B379" s="47" t="s">
        <v>966</v>
      </c>
      <c r="C379" s="47">
        <v>9901040007</v>
      </c>
      <c r="D379" s="47" t="s">
        <v>1434</v>
      </c>
      <c r="E379" s="47">
        <v>93</v>
      </c>
      <c r="F379" s="47"/>
      <c r="G379" s="47"/>
      <c r="H379" s="47"/>
      <c r="I379" s="48">
        <v>16400000</v>
      </c>
      <c r="J379" s="167">
        <f>ROUND(((100%+$M$372)*Table4657[[#This Row],[قیمت (ریال)]])*(100%+$M$373),-6)</f>
        <v>20000000</v>
      </c>
      <c r="L379" s="10"/>
      <c r="M379" s="10"/>
      <c r="N379" s="29"/>
      <c r="T379">
        <v>295</v>
      </c>
    </row>
    <row r="380" spans="1:20" customFormat="1">
      <c r="A380" s="47">
        <v>8</v>
      </c>
      <c r="B380" s="47" t="s">
        <v>966</v>
      </c>
      <c r="C380" s="47">
        <v>9901040008</v>
      </c>
      <c r="D380" s="47" t="s">
        <v>1435</v>
      </c>
      <c r="E380" s="47">
        <v>97</v>
      </c>
      <c r="F380" s="47"/>
      <c r="G380" s="47"/>
      <c r="H380" s="47"/>
      <c r="I380" s="48">
        <v>13200000</v>
      </c>
      <c r="J380" s="167">
        <f>ROUND(((100%+$M$372)*Table4657[[#This Row],[قیمت (ریال)]])*(100%+$M$373),-6)</f>
        <v>16000000</v>
      </c>
      <c r="L380" s="10"/>
      <c r="M380" s="10"/>
      <c r="N380" s="29"/>
      <c r="T380">
        <v>296</v>
      </c>
    </row>
    <row r="381" spans="1:20" customFormat="1">
      <c r="A381" s="47">
        <v>9</v>
      </c>
      <c r="B381" s="47" t="s">
        <v>966</v>
      </c>
      <c r="C381" s="47">
        <v>9901040009</v>
      </c>
      <c r="D381" s="47" t="s">
        <v>1436</v>
      </c>
      <c r="E381" s="47" t="s">
        <v>261</v>
      </c>
      <c r="F381" s="47"/>
      <c r="G381" s="47"/>
      <c r="H381" s="47"/>
      <c r="I381" s="48">
        <v>10800000</v>
      </c>
      <c r="J381" s="167">
        <f>ROUND(((100%+$M$372)*Table4657[[#This Row],[قیمت (ریال)]])*(100%+$M$373),-6)</f>
        <v>13000000</v>
      </c>
      <c r="L381" s="10"/>
      <c r="M381" s="10"/>
      <c r="N381" s="29"/>
      <c r="T381">
        <v>297</v>
      </c>
    </row>
    <row r="382" spans="1:20" customFormat="1">
      <c r="A382" s="47">
        <v>10</v>
      </c>
      <c r="B382" s="47" t="s">
        <v>966</v>
      </c>
      <c r="C382" s="47">
        <v>9901040013</v>
      </c>
      <c r="D382" s="47" t="s">
        <v>1437</v>
      </c>
      <c r="E382" s="47" t="s">
        <v>261</v>
      </c>
      <c r="F382" s="47"/>
      <c r="G382" s="47"/>
      <c r="H382" s="47"/>
      <c r="I382" s="48">
        <v>18800000</v>
      </c>
      <c r="J382" s="167">
        <f>ROUND(((100%+$M$372)*Table4657[[#This Row],[قیمت (ریال)]])*(100%+$M$373),-6)</f>
        <v>23000000</v>
      </c>
      <c r="L382" s="10"/>
      <c r="M382" s="10"/>
      <c r="N382" s="29"/>
      <c r="T382">
        <v>298</v>
      </c>
    </row>
    <row r="383" spans="1:20" customFormat="1">
      <c r="A383" s="47">
        <v>11</v>
      </c>
      <c r="B383" s="47" t="s">
        <v>966</v>
      </c>
      <c r="C383" s="47">
        <v>9901040014</v>
      </c>
      <c r="D383" s="47" t="s">
        <v>1438</v>
      </c>
      <c r="E383" s="47" t="s">
        <v>261</v>
      </c>
      <c r="F383" s="47"/>
      <c r="G383" s="47"/>
      <c r="H383" s="47"/>
      <c r="I383" s="48">
        <v>19700000</v>
      </c>
      <c r="J383" s="167">
        <f>ROUND(((100%+$M$372)*Table4657[[#This Row],[قیمت (ریال)]])*(100%+$M$373),-6)</f>
        <v>24000000</v>
      </c>
      <c r="L383" s="10"/>
      <c r="M383" s="10"/>
      <c r="N383" s="29"/>
      <c r="T383">
        <v>299</v>
      </c>
    </row>
    <row r="384" spans="1:20">
      <c r="A384" s="47">
        <v>12</v>
      </c>
      <c r="B384" s="47" t="s">
        <v>966</v>
      </c>
      <c r="C384" s="47">
        <v>9901040015</v>
      </c>
      <c r="D384" s="47" t="s">
        <v>1439</v>
      </c>
      <c r="E384" s="47" t="s">
        <v>261</v>
      </c>
      <c r="I384" s="48">
        <v>16400000</v>
      </c>
      <c r="J384" s="167">
        <f>ROUND(((100%+$M$372)*Table4657[[#This Row],[قیمت (ریال)]])*(100%+$M$373),-6)</f>
        <v>20000000</v>
      </c>
      <c r="T384">
        <v>300</v>
      </c>
    </row>
    <row r="385" spans="1:20">
      <c r="A385" s="47">
        <v>13</v>
      </c>
      <c r="B385" s="47" t="s">
        <v>966</v>
      </c>
      <c r="C385" s="47">
        <v>9901040017</v>
      </c>
      <c r="D385" s="47" t="s">
        <v>1440</v>
      </c>
      <c r="I385" s="48">
        <v>33000000</v>
      </c>
      <c r="J385" s="167">
        <f>ROUND(((100%+$M$372)*Table4657[[#This Row],[قیمت (ریال)]])*(100%+$M$373),-6)</f>
        <v>40000000</v>
      </c>
      <c r="T385">
        <v>301</v>
      </c>
    </row>
    <row r="386" spans="1:20">
      <c r="A386" s="47">
        <v>14</v>
      </c>
      <c r="B386" s="47" t="s">
        <v>966</v>
      </c>
      <c r="C386" s="47">
        <v>9901040018</v>
      </c>
      <c r="D386" s="47" t="s">
        <v>1441</v>
      </c>
      <c r="I386" s="48">
        <v>18800000</v>
      </c>
      <c r="J386" s="167">
        <f>ROUND(((100%+$M$372)*Table4657[[#This Row],[قیمت (ریال)]])*(100%+$M$373),-6)</f>
        <v>23000000</v>
      </c>
      <c r="T386">
        <v>302</v>
      </c>
    </row>
    <row r="387" spans="1:20" customFormat="1">
      <c r="A387" s="47">
        <v>15</v>
      </c>
      <c r="B387" s="47" t="s">
        <v>966</v>
      </c>
      <c r="C387" s="47">
        <v>9901040020</v>
      </c>
      <c r="D387" s="47" t="s">
        <v>1442</v>
      </c>
      <c r="E387" s="47"/>
      <c r="F387" s="47"/>
      <c r="G387" s="47"/>
      <c r="H387" s="47"/>
      <c r="I387" s="48">
        <v>23600000</v>
      </c>
      <c r="J387" s="167">
        <f>ROUND(((100%+$M$372)*Table4657[[#This Row],[قیمت (ریال)]])*(100%+$M$373),-6)</f>
        <v>28000000</v>
      </c>
      <c r="L387" s="124"/>
      <c r="M387" s="124"/>
      <c r="N387" s="29"/>
      <c r="T387">
        <v>303</v>
      </c>
    </row>
    <row r="388" spans="1:20" customFormat="1">
      <c r="A388" s="47">
        <v>16</v>
      </c>
      <c r="B388" s="47" t="s">
        <v>966</v>
      </c>
      <c r="C388" s="47">
        <v>9901040021</v>
      </c>
      <c r="D388" s="47" t="s">
        <v>1443</v>
      </c>
      <c r="E388" s="47"/>
      <c r="F388" s="47"/>
      <c r="G388" s="47"/>
      <c r="H388" s="47"/>
      <c r="I388" s="48">
        <v>16400000</v>
      </c>
      <c r="J388" s="167">
        <f>ROUND(((100%+$M$372)*Table4657[[#This Row],[قیمت (ریال)]])*(100%+$M$373),-6)</f>
        <v>20000000</v>
      </c>
      <c r="L388" s="124"/>
      <c r="M388" s="124"/>
      <c r="N388" s="29"/>
      <c r="T388">
        <v>304</v>
      </c>
    </row>
    <row r="389" spans="1:20" customFormat="1">
      <c r="A389" s="47">
        <v>17</v>
      </c>
      <c r="B389" s="47" t="s">
        <v>966</v>
      </c>
      <c r="C389" s="47">
        <v>9901040024</v>
      </c>
      <c r="D389" s="47" t="s">
        <v>1444</v>
      </c>
      <c r="E389" s="47"/>
      <c r="F389" s="47"/>
      <c r="G389" s="47"/>
      <c r="H389" s="47"/>
      <c r="I389" s="48">
        <v>18700000</v>
      </c>
      <c r="J389" s="167">
        <f>ROUND(((100%+$M$372)*Table4657[[#This Row],[قیمت (ریال)]])*(100%+$M$373),-6)</f>
        <v>22000000</v>
      </c>
      <c r="L389" s="10"/>
      <c r="M389" s="10"/>
      <c r="N389" s="29"/>
      <c r="T389">
        <v>305</v>
      </c>
    </row>
    <row r="390" spans="1:20" customFormat="1">
      <c r="A390" s="47">
        <v>18</v>
      </c>
      <c r="B390" s="47" t="s">
        <v>966</v>
      </c>
      <c r="C390" s="47">
        <v>9901040025</v>
      </c>
      <c r="D390" s="47" t="s">
        <v>1445</v>
      </c>
      <c r="E390" s="47"/>
      <c r="F390" s="47"/>
      <c r="G390" s="47"/>
      <c r="H390" s="47"/>
      <c r="I390" s="48">
        <v>23600000</v>
      </c>
      <c r="J390" s="167">
        <f>ROUND(((100%+$M$372)*Table4657[[#This Row],[قیمت (ریال)]])*(100%+$M$373),-6)</f>
        <v>28000000</v>
      </c>
      <c r="L390" s="10"/>
      <c r="M390" s="10"/>
      <c r="N390" s="29"/>
      <c r="T390">
        <v>306</v>
      </c>
    </row>
    <row r="391" spans="1:20" customFormat="1">
      <c r="A391" s="47">
        <v>19</v>
      </c>
      <c r="B391" s="47" t="s">
        <v>966</v>
      </c>
      <c r="C391" s="47">
        <v>9901040028</v>
      </c>
      <c r="D391" s="47" t="s">
        <v>1446</v>
      </c>
      <c r="E391" s="47"/>
      <c r="F391" s="47"/>
      <c r="G391" s="47"/>
      <c r="H391" s="47"/>
      <c r="I391" s="48">
        <v>18700000</v>
      </c>
      <c r="J391" s="167">
        <f>ROUND(((100%+$M$372)*Table4657[[#This Row],[قیمت (ریال)]])*(100%+$M$373),-6)</f>
        <v>22000000</v>
      </c>
      <c r="L391" s="10"/>
      <c r="M391" s="10"/>
      <c r="N391" s="29"/>
      <c r="T391">
        <v>307</v>
      </c>
    </row>
    <row r="392" spans="1:20" customFormat="1">
      <c r="A392" s="47">
        <v>20</v>
      </c>
      <c r="B392" s="47" t="s">
        <v>966</v>
      </c>
      <c r="C392" s="47">
        <v>9901040031</v>
      </c>
      <c r="D392" s="47" t="s">
        <v>1447</v>
      </c>
      <c r="E392" s="47"/>
      <c r="F392" s="47"/>
      <c r="G392" s="47"/>
      <c r="H392" s="47"/>
      <c r="I392" s="48">
        <v>388800000</v>
      </c>
      <c r="J392" s="167">
        <f>ROUND(((100%+$M$372)*Table4657[[#This Row],[قیمت (ریال)]])*(100%+$M$373),-6)</f>
        <v>467000000</v>
      </c>
      <c r="L392" s="10"/>
      <c r="M392" s="10"/>
      <c r="N392" s="29"/>
      <c r="T392">
        <v>308</v>
      </c>
    </row>
    <row r="393" spans="1:20" customFormat="1">
      <c r="A393" s="47">
        <v>21</v>
      </c>
      <c r="B393" s="47" t="s">
        <v>966</v>
      </c>
      <c r="C393" s="47">
        <v>9901040032</v>
      </c>
      <c r="D393" s="47" t="s">
        <v>1448</v>
      </c>
      <c r="E393" s="47"/>
      <c r="F393" s="47"/>
      <c r="G393" s="47"/>
      <c r="H393" s="47"/>
      <c r="I393" s="48">
        <v>244800000</v>
      </c>
      <c r="J393" s="167">
        <f>ROUND(((100%+$M$372)*Table4657[[#This Row],[قیمت (ریال)]])*(100%+$M$373),-6)</f>
        <v>294000000</v>
      </c>
      <c r="L393" s="10"/>
      <c r="M393" s="10"/>
      <c r="N393" s="29"/>
      <c r="T393">
        <v>309</v>
      </c>
    </row>
    <row r="394" spans="1:20" customFormat="1">
      <c r="A394" s="47"/>
      <c r="B394" s="47"/>
      <c r="C394" s="47"/>
      <c r="D394" s="47"/>
      <c r="E394" s="47"/>
      <c r="F394" s="47"/>
      <c r="G394" s="47"/>
      <c r="H394" s="47"/>
      <c r="I394" s="48"/>
      <c r="J394" s="167"/>
      <c r="L394" s="10"/>
      <c r="M394" s="10"/>
      <c r="N394" s="29"/>
    </row>
    <row r="395" spans="1:20" customFormat="1">
      <c r="A395" s="47"/>
      <c r="B395" s="47"/>
      <c r="C395" s="47"/>
      <c r="D395" s="47"/>
      <c r="E395" s="47"/>
      <c r="F395" s="47"/>
      <c r="G395" s="47"/>
      <c r="H395" s="47"/>
      <c r="I395" s="48"/>
      <c r="J395" s="168"/>
      <c r="L395" s="10"/>
      <c r="M395" s="10"/>
      <c r="N395" s="29"/>
    </row>
    <row r="396" spans="1:20" customFormat="1">
      <c r="A396" s="47"/>
      <c r="B396" s="47"/>
      <c r="C396" s="47"/>
      <c r="D396" s="47"/>
      <c r="E396" s="47"/>
      <c r="F396" s="47"/>
      <c r="G396" s="47"/>
      <c r="H396" s="47"/>
      <c r="I396" s="48"/>
      <c r="J396" s="168"/>
      <c r="L396" s="10"/>
      <c r="M396" s="10"/>
      <c r="N396" s="29"/>
    </row>
    <row r="397" spans="1:20" customFormat="1" ht="19.5" thickBot="1">
      <c r="A397" s="47"/>
      <c r="B397" s="47"/>
      <c r="C397" s="47"/>
      <c r="D397" s="47"/>
      <c r="E397" s="47"/>
      <c r="F397" s="47"/>
      <c r="G397" s="47"/>
      <c r="H397" s="47"/>
      <c r="I397" s="48"/>
      <c r="J397" s="168"/>
      <c r="L397" s="10"/>
      <c r="M397" s="10"/>
      <c r="N397" s="29"/>
    </row>
    <row r="398" spans="1:20" customFormat="1">
      <c r="A398" s="50" t="s">
        <v>0</v>
      </c>
      <c r="B398" s="50" t="s">
        <v>530</v>
      </c>
      <c r="C398" s="50" t="s">
        <v>1</v>
      </c>
      <c r="D398" s="50" t="s">
        <v>448</v>
      </c>
      <c r="E398" s="50" t="s">
        <v>767</v>
      </c>
      <c r="F398" s="50" t="s">
        <v>768</v>
      </c>
      <c r="G398" s="50" t="s">
        <v>769</v>
      </c>
      <c r="H398" s="50" t="s">
        <v>770</v>
      </c>
      <c r="I398" s="51" t="s">
        <v>251</v>
      </c>
      <c r="J398" s="166" t="s">
        <v>431</v>
      </c>
      <c r="L398" s="120" t="s">
        <v>777</v>
      </c>
      <c r="M398" s="121">
        <v>0.2</v>
      </c>
      <c r="N398" s="29"/>
    </row>
    <row r="399" spans="1:20" customFormat="1" ht="19.5" thickBot="1">
      <c r="A399" s="47">
        <v>1</v>
      </c>
      <c r="B399" s="47" t="s">
        <v>973</v>
      </c>
      <c r="C399" s="47">
        <v>9901030006</v>
      </c>
      <c r="D399" s="47" t="s">
        <v>974</v>
      </c>
      <c r="E399" s="47" t="s">
        <v>261</v>
      </c>
      <c r="F399" s="47"/>
      <c r="G399" s="47"/>
      <c r="H399" s="47"/>
      <c r="I399" s="48">
        <v>324300000</v>
      </c>
      <c r="J399" s="167">
        <f>ROUND(((100%+$M$398)*Table4758[[#This Row],[قیمت (ریال)]])*(100%+$M$399),-6)</f>
        <v>389000000</v>
      </c>
      <c r="L399" s="122" t="s">
        <v>779</v>
      </c>
      <c r="M399" s="123">
        <v>0</v>
      </c>
      <c r="N399" s="29"/>
      <c r="T399">
        <v>310</v>
      </c>
    </row>
    <row r="400" spans="1:20" customFormat="1">
      <c r="A400" s="47">
        <v>2</v>
      </c>
      <c r="B400" s="47" t="s">
        <v>973</v>
      </c>
      <c r="C400" s="47">
        <v>9901030007</v>
      </c>
      <c r="D400" s="47" t="s">
        <v>975</v>
      </c>
      <c r="E400" s="47" t="s">
        <v>261</v>
      </c>
      <c r="F400" s="47"/>
      <c r="G400" s="47"/>
      <c r="H400" s="47"/>
      <c r="I400" s="48">
        <v>119800000</v>
      </c>
      <c r="J400" s="167">
        <f>ROUND(((100%+$M$398)*Table4758[[#This Row],[قیمت (ریال)]])*(100%+$M$399),-6)</f>
        <v>144000000</v>
      </c>
      <c r="L400" s="10"/>
      <c r="M400" s="10"/>
      <c r="N400" s="29"/>
      <c r="T400">
        <v>311</v>
      </c>
    </row>
    <row r="401" spans="1:20" customFormat="1">
      <c r="A401" s="47">
        <v>3</v>
      </c>
      <c r="B401" s="47" t="s">
        <v>973</v>
      </c>
      <c r="C401" s="47">
        <v>9901030008</v>
      </c>
      <c r="D401" s="47" t="s">
        <v>976</v>
      </c>
      <c r="E401" s="47" t="s">
        <v>261</v>
      </c>
      <c r="F401" s="47"/>
      <c r="G401" s="47"/>
      <c r="H401" s="47"/>
      <c r="I401" s="48">
        <v>72000000</v>
      </c>
      <c r="J401" s="167">
        <f>ROUND(((100%+$M$398)*Table4758[[#This Row],[قیمت (ریال)]])*(100%+$M$399),-6)</f>
        <v>86000000</v>
      </c>
      <c r="L401" s="10"/>
      <c r="M401" s="10"/>
      <c r="N401" s="29"/>
      <c r="T401">
        <v>312</v>
      </c>
    </row>
    <row r="402" spans="1:20" customFormat="1">
      <c r="A402" s="47">
        <v>4</v>
      </c>
      <c r="B402" s="47" t="s">
        <v>973</v>
      </c>
      <c r="C402" s="47">
        <v>9901030011</v>
      </c>
      <c r="D402" s="47" t="s">
        <v>977</v>
      </c>
      <c r="E402" s="47" t="s">
        <v>261</v>
      </c>
      <c r="F402" s="47"/>
      <c r="G402" s="47"/>
      <c r="H402" s="47"/>
      <c r="I402" s="48">
        <v>72000000</v>
      </c>
      <c r="J402" s="167">
        <f>ROUND(((100%+$M$398)*Table4758[[#This Row],[قیمت (ریال)]])*(100%+$M$399),-6)</f>
        <v>86000000</v>
      </c>
      <c r="L402" s="10"/>
      <c r="M402" s="10"/>
      <c r="N402" s="29"/>
      <c r="T402">
        <v>313</v>
      </c>
    </row>
    <row r="403" spans="1:20" customFormat="1">
      <c r="A403" s="47">
        <v>5</v>
      </c>
      <c r="B403" s="47" t="s">
        <v>973</v>
      </c>
      <c r="C403" s="47">
        <v>9901030018</v>
      </c>
      <c r="D403" s="47" t="s">
        <v>978</v>
      </c>
      <c r="E403" s="47" t="s">
        <v>261</v>
      </c>
      <c r="F403" s="47"/>
      <c r="G403" s="47"/>
      <c r="H403" s="47"/>
      <c r="I403" s="48">
        <v>60000000</v>
      </c>
      <c r="J403" s="167">
        <f>ROUND(((100%+$M$398)*Table4758[[#This Row],[قیمت (ریال)]])*(100%+$M$399),-6)</f>
        <v>72000000</v>
      </c>
      <c r="L403" s="10"/>
      <c r="M403" s="10"/>
      <c r="N403" s="29"/>
      <c r="T403">
        <v>314</v>
      </c>
    </row>
    <row r="404" spans="1:20" customFormat="1">
      <c r="A404" s="47">
        <v>6</v>
      </c>
      <c r="B404" s="47" t="s">
        <v>973</v>
      </c>
      <c r="C404" s="47">
        <v>9901030019</v>
      </c>
      <c r="D404" s="47" t="s">
        <v>979</v>
      </c>
      <c r="E404" s="47" t="s">
        <v>261</v>
      </c>
      <c r="F404" s="47"/>
      <c r="G404" s="47"/>
      <c r="H404" s="47"/>
      <c r="I404" s="48">
        <v>52600000</v>
      </c>
      <c r="J404" s="167">
        <f>ROUND(((100%+$M$398)*Table4758[[#This Row],[قیمت (ریال)]])*(100%+$M$399),-6)</f>
        <v>63000000</v>
      </c>
      <c r="L404" s="10"/>
      <c r="M404" s="10"/>
      <c r="N404" s="29"/>
      <c r="T404">
        <v>315</v>
      </c>
    </row>
    <row r="405" spans="1:20" customFormat="1">
      <c r="A405" s="47">
        <v>7</v>
      </c>
      <c r="B405" s="47" t="s">
        <v>973</v>
      </c>
      <c r="C405" s="47">
        <v>9901030026</v>
      </c>
      <c r="D405" s="47" t="s">
        <v>980</v>
      </c>
      <c r="E405" s="47" t="s">
        <v>261</v>
      </c>
      <c r="F405" s="47"/>
      <c r="G405" s="47"/>
      <c r="H405" s="47"/>
      <c r="I405" s="48">
        <v>412900000</v>
      </c>
      <c r="J405" s="167">
        <f>ROUND(((100%+$M$398)*Table4758[[#This Row],[قیمت (ریال)]])*(100%+$M$399),-6)</f>
        <v>495000000</v>
      </c>
      <c r="L405" s="10"/>
      <c r="M405" s="10"/>
      <c r="N405" s="29"/>
      <c r="T405">
        <v>316</v>
      </c>
    </row>
    <row r="406" spans="1:20" customFormat="1">
      <c r="A406" s="47">
        <v>8</v>
      </c>
      <c r="B406" s="47" t="s">
        <v>973</v>
      </c>
      <c r="C406" s="47">
        <v>9901030027</v>
      </c>
      <c r="D406" s="47" t="s">
        <v>981</v>
      </c>
      <c r="E406" s="47" t="s">
        <v>261</v>
      </c>
      <c r="F406" s="47"/>
      <c r="G406" s="47"/>
      <c r="H406" s="47"/>
      <c r="I406" s="48">
        <v>235800000</v>
      </c>
      <c r="J406" s="167">
        <f>ROUND(((100%+$M$398)*Table4758[[#This Row],[قیمت (ریال)]])*(100%+$M$399),-6)</f>
        <v>283000000</v>
      </c>
      <c r="L406" s="10"/>
      <c r="M406" s="10"/>
      <c r="N406" s="29"/>
      <c r="T406">
        <v>317</v>
      </c>
    </row>
    <row r="407" spans="1:20" customFormat="1">
      <c r="A407" s="47">
        <v>9</v>
      </c>
      <c r="B407" s="47" t="s">
        <v>973</v>
      </c>
      <c r="C407" s="47">
        <v>9901030043</v>
      </c>
      <c r="D407" s="47" t="s">
        <v>982</v>
      </c>
      <c r="E407" s="47" t="s">
        <v>261</v>
      </c>
      <c r="F407" s="47"/>
      <c r="G407" s="47"/>
      <c r="H407" s="47"/>
      <c r="I407" s="48">
        <v>93700000</v>
      </c>
      <c r="J407" s="167">
        <f>ROUND(((100%+$M$398)*Table4758[[#This Row],[قیمت (ریال)]])*(100%+$M$399),-6)</f>
        <v>112000000</v>
      </c>
      <c r="L407" s="10"/>
      <c r="M407" s="10"/>
      <c r="N407" s="29"/>
      <c r="T407">
        <v>318</v>
      </c>
    </row>
    <row r="408" spans="1:20" customFormat="1">
      <c r="A408" s="47">
        <v>10</v>
      </c>
      <c r="B408" s="47" t="s">
        <v>973</v>
      </c>
      <c r="C408" s="47">
        <v>9901030046</v>
      </c>
      <c r="D408" s="47" t="s">
        <v>1449</v>
      </c>
      <c r="E408" s="47" t="s">
        <v>261</v>
      </c>
      <c r="F408" s="47"/>
      <c r="G408" s="47"/>
      <c r="H408" s="47"/>
      <c r="I408" s="48">
        <v>51800000</v>
      </c>
      <c r="J408" s="167">
        <f>ROUND(((100%+$M$398)*Table4758[[#This Row],[قیمت (ریال)]])*(100%+$M$399),-6)</f>
        <v>62000000</v>
      </c>
      <c r="L408" s="10"/>
      <c r="M408" s="10"/>
      <c r="N408" s="29"/>
      <c r="T408">
        <v>319</v>
      </c>
    </row>
    <row r="409" spans="1:20" customFormat="1">
      <c r="A409" s="47">
        <v>11</v>
      </c>
      <c r="B409" s="47" t="s">
        <v>973</v>
      </c>
      <c r="C409" s="47">
        <v>9901030047</v>
      </c>
      <c r="D409" s="47" t="s">
        <v>1450</v>
      </c>
      <c r="E409" s="47" t="s">
        <v>261</v>
      </c>
      <c r="F409" s="47"/>
      <c r="G409" s="47"/>
      <c r="H409" s="47"/>
      <c r="I409" s="48">
        <v>51800000</v>
      </c>
      <c r="J409" s="167">
        <f>ROUND(((100%+$M$398)*Table4758[[#This Row],[قیمت (ریال)]])*(100%+$M$399),-6)</f>
        <v>62000000</v>
      </c>
      <c r="L409" s="10"/>
      <c r="M409" s="10"/>
      <c r="N409" s="29"/>
      <c r="T409">
        <v>320</v>
      </c>
    </row>
    <row r="410" spans="1:20" customFormat="1">
      <c r="A410" s="47">
        <v>12</v>
      </c>
      <c r="B410" s="47" t="s">
        <v>973</v>
      </c>
      <c r="C410" s="47">
        <v>9901030048</v>
      </c>
      <c r="D410" s="47" t="s">
        <v>1451</v>
      </c>
      <c r="E410" s="47" t="s">
        <v>261</v>
      </c>
      <c r="F410" s="47"/>
      <c r="G410" s="47"/>
      <c r="H410" s="47"/>
      <c r="I410" s="48">
        <v>51800000</v>
      </c>
      <c r="J410" s="167">
        <f>ROUND(((100%+$M$398)*Table4758[[#This Row],[قیمت (ریال)]])*(100%+$M$399),-6)</f>
        <v>62000000</v>
      </c>
      <c r="L410" s="10"/>
      <c r="M410" s="10"/>
      <c r="N410" s="29"/>
      <c r="T410">
        <v>321</v>
      </c>
    </row>
    <row r="411" spans="1:20" customFormat="1">
      <c r="A411" s="47">
        <v>13</v>
      </c>
      <c r="B411" s="47" t="s">
        <v>973</v>
      </c>
      <c r="C411" s="47">
        <v>9901030049</v>
      </c>
      <c r="D411" s="47" t="s">
        <v>1452</v>
      </c>
      <c r="E411" s="47" t="s">
        <v>261</v>
      </c>
      <c r="F411" s="47"/>
      <c r="G411" s="47"/>
      <c r="H411" s="47"/>
      <c r="I411" s="48">
        <v>51800000</v>
      </c>
      <c r="J411" s="167">
        <f>ROUND(((100%+$M$398)*Table4758[[#This Row],[قیمت (ریال)]])*(100%+$M$399),-6)</f>
        <v>62000000</v>
      </c>
      <c r="L411" s="10"/>
      <c r="M411" s="10"/>
      <c r="N411" s="29"/>
      <c r="T411">
        <v>322</v>
      </c>
    </row>
    <row r="412" spans="1:20" customFormat="1">
      <c r="A412" s="47">
        <v>14</v>
      </c>
      <c r="B412" s="47" t="s">
        <v>973</v>
      </c>
      <c r="C412" s="47">
        <v>9901030050</v>
      </c>
      <c r="D412" s="47" t="s">
        <v>1453</v>
      </c>
      <c r="E412" s="47" t="s">
        <v>261</v>
      </c>
      <c r="F412" s="47"/>
      <c r="G412" s="47"/>
      <c r="H412" s="47"/>
      <c r="I412" s="48">
        <v>51800000</v>
      </c>
      <c r="J412" s="167">
        <f>ROUND(((100%+$M$398)*Table4758[[#This Row],[قیمت (ریال)]])*(100%+$M$399),-6)</f>
        <v>62000000</v>
      </c>
      <c r="L412" s="10"/>
      <c r="M412" s="10"/>
      <c r="N412" s="29"/>
      <c r="T412">
        <v>323</v>
      </c>
    </row>
    <row r="413" spans="1:20" customFormat="1">
      <c r="A413" s="47">
        <v>15</v>
      </c>
      <c r="B413" s="47" t="s">
        <v>973</v>
      </c>
      <c r="C413" s="47">
        <v>9901030055</v>
      </c>
      <c r="D413" s="47" t="s">
        <v>1454</v>
      </c>
      <c r="E413" s="47" t="s">
        <v>261</v>
      </c>
      <c r="F413" s="47"/>
      <c r="G413" s="47"/>
      <c r="H413" s="47"/>
      <c r="I413" s="48">
        <v>379400000</v>
      </c>
      <c r="J413" s="167">
        <f>ROUND(((100%+$M$398)*Table4758[[#This Row],[قیمت (ریال)]])*(100%+$M$399),-6)</f>
        <v>455000000</v>
      </c>
      <c r="L413" s="10"/>
      <c r="M413" s="10"/>
      <c r="N413" s="29"/>
      <c r="T413">
        <v>324</v>
      </c>
    </row>
    <row r="414" spans="1:20" customFormat="1">
      <c r="A414" s="47">
        <v>16</v>
      </c>
      <c r="B414" s="47" t="s">
        <v>973</v>
      </c>
      <c r="C414" s="47">
        <v>9901030056</v>
      </c>
      <c r="D414" s="47" t="s">
        <v>1455</v>
      </c>
      <c r="E414" s="47" t="s">
        <v>261</v>
      </c>
      <c r="F414" s="47"/>
      <c r="G414" s="47"/>
      <c r="H414" s="47"/>
      <c r="I414" s="48">
        <v>445700000</v>
      </c>
      <c r="J414" s="167">
        <f>ROUND(((100%+$M$398)*Table4758[[#This Row],[قیمت (ریال)]])*(100%+$M$399),-6)</f>
        <v>535000000</v>
      </c>
      <c r="L414" s="10"/>
      <c r="M414" s="10"/>
      <c r="N414" s="29"/>
      <c r="T414">
        <v>325</v>
      </c>
    </row>
    <row r="415" spans="1:20" customFormat="1">
      <c r="A415" s="47">
        <v>17</v>
      </c>
      <c r="B415" s="47" t="s">
        <v>973</v>
      </c>
      <c r="C415" s="47">
        <v>9901030064</v>
      </c>
      <c r="D415" s="47" t="s">
        <v>1456</v>
      </c>
      <c r="E415" s="47" t="s">
        <v>261</v>
      </c>
      <c r="F415" s="47"/>
      <c r="G415" s="47"/>
      <c r="H415" s="47"/>
      <c r="I415" s="48">
        <v>120400000</v>
      </c>
      <c r="J415" s="167">
        <f>ROUND(((100%+$M$398)*Table4758[[#This Row],[قیمت (ریال)]])*(100%+$M$399),-6)</f>
        <v>144000000</v>
      </c>
      <c r="L415" s="10"/>
      <c r="M415" s="10"/>
      <c r="N415" s="29"/>
      <c r="T415">
        <v>326</v>
      </c>
    </row>
    <row r="416" spans="1:20" customFormat="1">
      <c r="A416" s="47">
        <v>18</v>
      </c>
      <c r="B416" s="47" t="s">
        <v>973</v>
      </c>
      <c r="C416" s="47">
        <v>9901030065</v>
      </c>
      <c r="D416" s="47" t="s">
        <v>1457</v>
      </c>
      <c r="E416" s="47" t="s">
        <v>261</v>
      </c>
      <c r="F416" s="47"/>
      <c r="G416" s="47"/>
      <c r="H416" s="47"/>
      <c r="I416" s="48">
        <v>129600000</v>
      </c>
      <c r="J416" s="167">
        <f>ROUND(((100%+$M$398)*Table4758[[#This Row],[قیمت (ریال)]])*(100%+$M$399),-6)</f>
        <v>156000000</v>
      </c>
      <c r="L416" s="10"/>
      <c r="M416" s="10"/>
      <c r="N416" s="29"/>
      <c r="T416">
        <v>327</v>
      </c>
    </row>
    <row r="417" spans="1:20" customFormat="1">
      <c r="A417" s="47">
        <v>19</v>
      </c>
      <c r="B417" s="47" t="s">
        <v>973</v>
      </c>
      <c r="C417" s="47">
        <v>9901030175</v>
      </c>
      <c r="D417" s="47" t="s">
        <v>1458</v>
      </c>
      <c r="E417" s="47" t="s">
        <v>261</v>
      </c>
      <c r="F417" s="47"/>
      <c r="G417" s="47"/>
      <c r="H417" s="47"/>
      <c r="I417" s="48">
        <v>70700000</v>
      </c>
      <c r="J417" s="167">
        <f>ROUND(((100%+$M$398)*Table4758[[#This Row],[قیمت (ریال)]])*(100%+$M$399),-6)</f>
        <v>85000000</v>
      </c>
      <c r="L417" s="10"/>
      <c r="M417" s="10"/>
      <c r="N417" s="29"/>
      <c r="T417">
        <v>328</v>
      </c>
    </row>
    <row r="418" spans="1:20" customFormat="1">
      <c r="A418" s="47">
        <v>20</v>
      </c>
      <c r="B418" s="47" t="s">
        <v>973</v>
      </c>
      <c r="C418" s="47">
        <v>9901030178</v>
      </c>
      <c r="D418" s="47" t="s">
        <v>1459</v>
      </c>
      <c r="E418" s="47" t="s">
        <v>261</v>
      </c>
      <c r="F418" s="47"/>
      <c r="G418" s="47"/>
      <c r="H418" s="47"/>
      <c r="I418" s="48">
        <v>39400000</v>
      </c>
      <c r="J418" s="167">
        <f>ROUND(((100%+$M$398)*Table4758[[#This Row],[قیمت (ریال)]])*(100%+$M$399),-6)</f>
        <v>47000000</v>
      </c>
      <c r="L418" s="10"/>
      <c r="M418" s="10"/>
      <c r="N418" s="29"/>
      <c r="T418">
        <v>329</v>
      </c>
    </row>
    <row r="419" spans="1:20" customFormat="1">
      <c r="A419" s="47">
        <v>21</v>
      </c>
      <c r="B419" s="47" t="s">
        <v>973</v>
      </c>
      <c r="C419" s="47">
        <v>9901030179</v>
      </c>
      <c r="D419" s="47" t="s">
        <v>1460</v>
      </c>
      <c r="E419" s="47" t="s">
        <v>261</v>
      </c>
      <c r="F419" s="47"/>
      <c r="G419" s="47"/>
      <c r="H419" s="47"/>
      <c r="I419" s="48">
        <v>39400000</v>
      </c>
      <c r="J419" s="167">
        <f>ROUND(((100%+$M$398)*Table4758[[#This Row],[قیمت (ریال)]])*(100%+$M$399),-6)</f>
        <v>47000000</v>
      </c>
      <c r="L419" s="10"/>
      <c r="M419" s="10"/>
      <c r="N419" s="29"/>
      <c r="T419">
        <v>330</v>
      </c>
    </row>
    <row r="420" spans="1:20" customFormat="1">
      <c r="A420" s="47">
        <v>22</v>
      </c>
      <c r="B420" s="47" t="s">
        <v>973</v>
      </c>
      <c r="C420" s="47">
        <v>9901030180</v>
      </c>
      <c r="D420" s="47" t="s">
        <v>983</v>
      </c>
      <c r="E420" s="47" t="s">
        <v>261</v>
      </c>
      <c r="F420" s="47"/>
      <c r="G420" s="47"/>
      <c r="H420" s="47"/>
      <c r="I420" s="48">
        <v>54000000</v>
      </c>
      <c r="J420" s="167">
        <f>ROUND(((100%+$M$398)*Table4758[[#This Row],[قیمت (ریال)]])*(100%+$M$399),-6)</f>
        <v>65000000</v>
      </c>
      <c r="L420" s="10"/>
      <c r="M420" s="10"/>
      <c r="N420" s="29"/>
      <c r="T420">
        <v>331</v>
      </c>
    </row>
    <row r="421" spans="1:20" customFormat="1">
      <c r="A421" s="47">
        <v>23</v>
      </c>
      <c r="B421" s="47" t="s">
        <v>973</v>
      </c>
      <c r="C421" s="47">
        <v>9901030236</v>
      </c>
      <c r="D421" s="47" t="s">
        <v>984</v>
      </c>
      <c r="E421" s="47" t="s">
        <v>261</v>
      </c>
      <c r="F421" s="47"/>
      <c r="G421" s="47"/>
      <c r="H421" s="47"/>
      <c r="I421" s="48">
        <v>18000000</v>
      </c>
      <c r="J421" s="167">
        <f>ROUND(((100%+$M$398)*Table4758[[#This Row],[قیمت (ریال)]])*(100%+$M$399),-6)</f>
        <v>22000000</v>
      </c>
      <c r="L421" s="10"/>
      <c r="M421" s="10"/>
      <c r="N421" s="29"/>
      <c r="T421">
        <v>332</v>
      </c>
    </row>
    <row r="422" spans="1:20" customFormat="1">
      <c r="A422" s="47">
        <v>24</v>
      </c>
      <c r="B422" s="47" t="s">
        <v>973</v>
      </c>
      <c r="C422" s="47">
        <v>9901030237</v>
      </c>
      <c r="D422" s="47" t="s">
        <v>1461</v>
      </c>
      <c r="E422" s="47" t="s">
        <v>261</v>
      </c>
      <c r="F422" s="47"/>
      <c r="G422" s="47"/>
      <c r="H422" s="47"/>
      <c r="I422" s="48">
        <v>23600000</v>
      </c>
      <c r="J422" s="167">
        <f>ROUND(((100%+$M$398)*Table4758[[#This Row],[قیمت (ریال)]])*(100%+$M$399),-6)</f>
        <v>28000000</v>
      </c>
      <c r="L422" s="10"/>
      <c r="M422" s="10"/>
      <c r="N422" s="29"/>
      <c r="T422">
        <v>333</v>
      </c>
    </row>
    <row r="423" spans="1:20" customFormat="1">
      <c r="A423" s="47">
        <v>25</v>
      </c>
      <c r="B423" s="47" t="s">
        <v>973</v>
      </c>
      <c r="C423" s="47">
        <v>9901030238</v>
      </c>
      <c r="D423" s="47" t="s">
        <v>985</v>
      </c>
      <c r="E423" s="47" t="s">
        <v>261</v>
      </c>
      <c r="F423" s="47"/>
      <c r="G423" s="47"/>
      <c r="H423" s="47"/>
      <c r="I423" s="48">
        <v>18000000</v>
      </c>
      <c r="J423" s="167">
        <f>ROUND(((100%+$M$398)*Table4758[[#This Row],[قیمت (ریال)]])*(100%+$M$399),-6)</f>
        <v>22000000</v>
      </c>
      <c r="L423" s="124"/>
      <c r="M423" s="124"/>
      <c r="N423" s="29"/>
      <c r="T423">
        <v>334</v>
      </c>
    </row>
    <row r="424" spans="1:20" customFormat="1">
      <c r="A424" s="47">
        <v>26</v>
      </c>
      <c r="B424" s="47" t="s">
        <v>973</v>
      </c>
      <c r="C424" s="47">
        <v>9901030261</v>
      </c>
      <c r="D424" s="47" t="s">
        <v>1462</v>
      </c>
      <c r="E424" s="47" t="s">
        <v>261</v>
      </c>
      <c r="F424" s="47"/>
      <c r="G424" s="47"/>
      <c r="H424" s="47"/>
      <c r="I424" s="48">
        <v>39400000</v>
      </c>
      <c r="J424" s="167">
        <f>ROUND(((100%+$M$398)*Table4758[[#This Row],[قیمت (ریال)]])*(100%+$M$399),-6)</f>
        <v>47000000</v>
      </c>
      <c r="L424" s="124"/>
      <c r="M424" s="124"/>
      <c r="N424" s="29"/>
      <c r="T424">
        <v>335</v>
      </c>
    </row>
    <row r="425" spans="1:20" customFormat="1">
      <c r="A425" s="47">
        <v>27</v>
      </c>
      <c r="B425" s="47" t="s">
        <v>973</v>
      </c>
      <c r="C425" s="47">
        <v>9901030262</v>
      </c>
      <c r="D425" s="47" t="s">
        <v>1463</v>
      </c>
      <c r="E425" s="47" t="s">
        <v>261</v>
      </c>
      <c r="F425" s="47"/>
      <c r="G425" s="47"/>
      <c r="H425" s="47"/>
      <c r="I425" s="48">
        <v>30700000</v>
      </c>
      <c r="J425" s="167">
        <f>ROUND(((100%+$M$398)*Table4758[[#This Row],[قیمت (ریال)]])*(100%+$M$399),-6)</f>
        <v>37000000</v>
      </c>
      <c r="L425" s="10"/>
      <c r="M425" s="10"/>
      <c r="N425" s="29"/>
      <c r="T425">
        <v>336</v>
      </c>
    </row>
    <row r="426" spans="1:20" customFormat="1">
      <c r="A426" s="47">
        <v>28</v>
      </c>
      <c r="B426" s="47" t="s">
        <v>973</v>
      </c>
      <c r="C426" s="47">
        <v>9901030280</v>
      </c>
      <c r="D426" s="47" t="s">
        <v>986</v>
      </c>
      <c r="E426" s="47" t="s">
        <v>261</v>
      </c>
      <c r="F426" s="47"/>
      <c r="G426" s="47"/>
      <c r="H426" s="47"/>
      <c r="I426" s="48">
        <v>12400000</v>
      </c>
      <c r="J426" s="167">
        <f>ROUND(((100%+$M$398)*Table4758[[#This Row],[قیمت (ریال)]])*(100%+$M$399),-6)</f>
        <v>15000000</v>
      </c>
      <c r="L426" s="10"/>
      <c r="M426" s="10"/>
      <c r="N426" s="29"/>
      <c r="T426">
        <v>337</v>
      </c>
    </row>
    <row r="427" spans="1:20" customFormat="1">
      <c r="A427" s="47">
        <v>29</v>
      </c>
      <c r="B427" s="47" t="s">
        <v>973</v>
      </c>
      <c r="C427" s="47">
        <v>9901030281</v>
      </c>
      <c r="D427" s="47" t="s">
        <v>987</v>
      </c>
      <c r="E427" s="47" t="s">
        <v>261</v>
      </c>
      <c r="F427" s="47"/>
      <c r="G427" s="47"/>
      <c r="H427" s="47"/>
      <c r="I427" s="48">
        <v>12400000</v>
      </c>
      <c r="J427" s="167">
        <f>ROUND(((100%+$M$398)*Table4758[[#This Row],[قیمت (ریال)]])*(100%+$M$399),-6)</f>
        <v>15000000</v>
      </c>
      <c r="L427" s="10"/>
      <c r="M427" s="10"/>
      <c r="N427" s="29"/>
      <c r="T427">
        <v>338</v>
      </c>
    </row>
    <row r="428" spans="1:20" customFormat="1">
      <c r="A428" s="47">
        <v>30</v>
      </c>
      <c r="B428" s="59" t="s">
        <v>973</v>
      </c>
      <c r="C428" s="59">
        <v>9901030282</v>
      </c>
      <c r="D428" s="59" t="s">
        <v>988</v>
      </c>
      <c r="E428" s="59" t="s">
        <v>261</v>
      </c>
      <c r="F428" s="59"/>
      <c r="G428" s="59"/>
      <c r="H428" s="59"/>
      <c r="I428" s="54">
        <v>12400000</v>
      </c>
      <c r="J428" s="167">
        <f>ROUND(((100%+$M$398)*Table4758[[#This Row],[قیمت (ریال)]])*(100%+$M$399),-6)</f>
        <v>15000000</v>
      </c>
      <c r="L428" s="10"/>
      <c r="M428" s="10"/>
      <c r="N428" s="29"/>
      <c r="T428">
        <v>339</v>
      </c>
    </row>
    <row r="429" spans="1:20" customFormat="1">
      <c r="A429" s="47">
        <v>31</v>
      </c>
      <c r="B429" s="59" t="s">
        <v>973</v>
      </c>
      <c r="C429" s="59">
        <v>9901030283</v>
      </c>
      <c r="D429" s="59" t="s">
        <v>989</v>
      </c>
      <c r="E429" s="59" t="s">
        <v>261</v>
      </c>
      <c r="F429" s="59"/>
      <c r="G429" s="59"/>
      <c r="H429" s="59"/>
      <c r="I429" s="54">
        <v>14400000</v>
      </c>
      <c r="J429" s="167">
        <f>ROUND(((100%+$M$398)*Table4758[[#This Row],[قیمت (ریال)]])*(100%+$M$399),-6)</f>
        <v>17000000</v>
      </c>
      <c r="L429" s="10"/>
      <c r="M429" s="10"/>
      <c r="N429" s="29"/>
      <c r="T429">
        <v>340</v>
      </c>
    </row>
    <row r="430" spans="1:20" customFormat="1">
      <c r="A430" s="47">
        <v>32</v>
      </c>
      <c r="B430" s="59" t="s">
        <v>973</v>
      </c>
      <c r="C430" s="59">
        <v>9901030284</v>
      </c>
      <c r="D430" s="59" t="s">
        <v>990</v>
      </c>
      <c r="E430" s="59" t="s">
        <v>261</v>
      </c>
      <c r="F430" s="59"/>
      <c r="G430" s="59"/>
      <c r="H430" s="59"/>
      <c r="I430" s="54">
        <v>14400000</v>
      </c>
      <c r="J430" s="167">
        <f>ROUND(((100%+$M$398)*Table4758[[#This Row],[قیمت (ریال)]])*(100%+$M$399),-6)</f>
        <v>17000000</v>
      </c>
      <c r="L430" s="10"/>
      <c r="M430" s="10"/>
      <c r="N430" s="29"/>
      <c r="T430">
        <v>341</v>
      </c>
    </row>
    <row r="431" spans="1:20" customFormat="1">
      <c r="A431" s="47">
        <v>33</v>
      </c>
      <c r="B431" s="59" t="s">
        <v>973</v>
      </c>
      <c r="C431" s="59">
        <v>9901030285</v>
      </c>
      <c r="D431" s="59" t="s">
        <v>991</v>
      </c>
      <c r="E431" s="59" t="s">
        <v>261</v>
      </c>
      <c r="F431" s="59"/>
      <c r="G431" s="59"/>
      <c r="H431" s="59"/>
      <c r="I431" s="54">
        <v>14400000</v>
      </c>
      <c r="J431" s="167">
        <f>ROUND(((100%+$M$398)*Table4758[[#This Row],[قیمت (ریال)]])*(100%+$M$399),-6)</f>
        <v>17000000</v>
      </c>
      <c r="L431" s="10"/>
      <c r="M431" s="10"/>
      <c r="N431" s="29"/>
      <c r="T431">
        <v>342</v>
      </c>
    </row>
    <row r="432" spans="1:20" customFormat="1">
      <c r="A432" s="47">
        <v>34</v>
      </c>
      <c r="B432" s="59" t="s">
        <v>973</v>
      </c>
      <c r="C432" s="59">
        <v>9901030286</v>
      </c>
      <c r="D432" s="59" t="s">
        <v>992</v>
      </c>
      <c r="E432" s="59" t="s">
        <v>261</v>
      </c>
      <c r="F432" s="59"/>
      <c r="G432" s="59"/>
      <c r="H432" s="59"/>
      <c r="I432" s="54">
        <v>15000000</v>
      </c>
      <c r="J432" s="167">
        <f>ROUND(((100%+$M$398)*Table4758[[#This Row],[قیمت (ریال)]])*(100%+$M$399),-6)</f>
        <v>18000000</v>
      </c>
      <c r="L432" s="10"/>
      <c r="M432" s="10"/>
      <c r="N432" s="29"/>
      <c r="T432">
        <v>343</v>
      </c>
    </row>
    <row r="433" spans="1:20" customFormat="1">
      <c r="A433" s="47">
        <v>35</v>
      </c>
      <c r="B433" s="59" t="s">
        <v>973</v>
      </c>
      <c r="C433" s="59">
        <v>9901030287</v>
      </c>
      <c r="D433" s="59" t="s">
        <v>993</v>
      </c>
      <c r="E433" s="59" t="s">
        <v>261</v>
      </c>
      <c r="F433" s="59"/>
      <c r="G433" s="59"/>
      <c r="H433" s="59"/>
      <c r="I433" s="54">
        <v>15000000</v>
      </c>
      <c r="J433" s="167">
        <f>ROUND(((100%+$M$398)*Table4758[[#This Row],[قیمت (ریال)]])*(100%+$M$399),-6)</f>
        <v>18000000</v>
      </c>
      <c r="L433" s="10"/>
      <c r="M433" s="10"/>
      <c r="N433" s="29"/>
      <c r="T433">
        <v>344</v>
      </c>
    </row>
    <row r="434" spans="1:20" customFormat="1">
      <c r="A434" s="47">
        <v>36</v>
      </c>
      <c r="B434" s="59" t="s">
        <v>973</v>
      </c>
      <c r="C434" s="59">
        <v>9901030288</v>
      </c>
      <c r="D434" s="59" t="s">
        <v>994</v>
      </c>
      <c r="E434" s="59" t="s">
        <v>261</v>
      </c>
      <c r="F434" s="59"/>
      <c r="G434" s="59"/>
      <c r="H434" s="59"/>
      <c r="I434" s="54">
        <v>15000000</v>
      </c>
      <c r="J434" s="167">
        <f>ROUND(((100%+$M$398)*Table4758[[#This Row],[قیمت (ریال)]])*(100%+$M$399),-6)</f>
        <v>18000000</v>
      </c>
      <c r="L434" s="10"/>
      <c r="M434" s="10"/>
      <c r="N434" s="29"/>
      <c r="T434">
        <v>345</v>
      </c>
    </row>
    <row r="435" spans="1:20" customFormat="1">
      <c r="A435" s="47">
        <v>37</v>
      </c>
      <c r="B435" s="59" t="s">
        <v>973</v>
      </c>
      <c r="C435" s="59">
        <v>9901030289</v>
      </c>
      <c r="D435" s="59" t="s">
        <v>995</v>
      </c>
      <c r="E435" s="59" t="s">
        <v>261</v>
      </c>
      <c r="F435" s="59"/>
      <c r="G435" s="59"/>
      <c r="H435" s="59"/>
      <c r="I435" s="54">
        <v>11800000</v>
      </c>
      <c r="J435" s="167">
        <f>ROUND(((100%+$M$398)*Table4758[[#This Row],[قیمت (ریال)]])*(100%+$M$399),-6)</f>
        <v>14000000</v>
      </c>
      <c r="L435" s="10"/>
      <c r="M435" s="10"/>
      <c r="N435" s="29"/>
      <c r="T435">
        <v>346</v>
      </c>
    </row>
    <row r="436" spans="1:20" customFormat="1">
      <c r="A436" s="47">
        <v>38</v>
      </c>
      <c r="B436" s="59" t="s">
        <v>973</v>
      </c>
      <c r="C436" s="59">
        <v>9901030290</v>
      </c>
      <c r="D436" s="59" t="s">
        <v>996</v>
      </c>
      <c r="E436" s="59" t="s">
        <v>261</v>
      </c>
      <c r="F436" s="59"/>
      <c r="G436" s="59"/>
      <c r="H436" s="59"/>
      <c r="I436" s="54">
        <v>11800000</v>
      </c>
      <c r="J436" s="167">
        <f>ROUND(((100%+$M$398)*Table4758[[#This Row],[قیمت (ریال)]])*(100%+$M$399),-6)</f>
        <v>14000000</v>
      </c>
      <c r="L436" s="10"/>
      <c r="M436" s="10"/>
      <c r="N436" s="29"/>
      <c r="T436">
        <v>347</v>
      </c>
    </row>
    <row r="437" spans="1:20" customFormat="1">
      <c r="A437" s="47">
        <v>39</v>
      </c>
      <c r="B437" s="59" t="s">
        <v>973</v>
      </c>
      <c r="C437" s="59">
        <v>9901030291</v>
      </c>
      <c r="D437" s="59" t="s">
        <v>997</v>
      </c>
      <c r="E437" s="59" t="s">
        <v>261</v>
      </c>
      <c r="F437" s="59"/>
      <c r="G437" s="59"/>
      <c r="H437" s="59"/>
      <c r="I437" s="54">
        <v>11800000</v>
      </c>
      <c r="J437" s="167">
        <f>ROUND(((100%+$M$398)*Table4758[[#This Row],[قیمت (ریال)]])*(100%+$M$399),-6)</f>
        <v>14000000</v>
      </c>
      <c r="L437" s="10"/>
      <c r="M437" s="10"/>
      <c r="N437" s="29"/>
      <c r="T437">
        <v>348</v>
      </c>
    </row>
    <row r="438" spans="1:20" customFormat="1">
      <c r="A438" s="47">
        <v>40</v>
      </c>
      <c r="B438" s="59" t="s">
        <v>973</v>
      </c>
      <c r="C438" s="59">
        <v>9901030292</v>
      </c>
      <c r="D438" s="59" t="s">
        <v>998</v>
      </c>
      <c r="E438" s="59" t="s">
        <v>261</v>
      </c>
      <c r="F438" s="59"/>
      <c r="G438" s="59"/>
      <c r="H438" s="59"/>
      <c r="I438" s="54">
        <v>10300000</v>
      </c>
      <c r="J438" s="167">
        <f>ROUND(((100%+$M$398)*Table4758[[#This Row],[قیمت (ریال)]])*(100%+$M$399),-6)</f>
        <v>12000000</v>
      </c>
      <c r="L438" s="10"/>
      <c r="M438" s="10"/>
      <c r="N438" s="29"/>
      <c r="T438">
        <v>349</v>
      </c>
    </row>
    <row r="439" spans="1:20" customFormat="1">
      <c r="A439" s="47">
        <v>41</v>
      </c>
      <c r="B439" s="59" t="s">
        <v>973</v>
      </c>
      <c r="C439" s="59">
        <v>9901030293</v>
      </c>
      <c r="D439" s="59" t="s">
        <v>999</v>
      </c>
      <c r="E439" s="59" t="s">
        <v>261</v>
      </c>
      <c r="F439" s="59"/>
      <c r="G439" s="59"/>
      <c r="H439" s="59"/>
      <c r="I439" s="54">
        <v>10300000</v>
      </c>
      <c r="J439" s="167">
        <f>ROUND(((100%+$M$398)*Table4758[[#This Row],[قیمت (ریال)]])*(100%+$M$399),-6)</f>
        <v>12000000</v>
      </c>
      <c r="L439" s="10"/>
      <c r="M439" s="10"/>
      <c r="N439" s="29"/>
      <c r="T439">
        <v>350</v>
      </c>
    </row>
    <row r="440" spans="1:20" customFormat="1">
      <c r="A440" s="47">
        <v>42</v>
      </c>
      <c r="B440" s="59" t="s">
        <v>973</v>
      </c>
      <c r="C440" s="59">
        <v>9901030294</v>
      </c>
      <c r="D440" s="59" t="s">
        <v>1000</v>
      </c>
      <c r="E440" s="59" t="s">
        <v>261</v>
      </c>
      <c r="F440" s="59"/>
      <c r="G440" s="59"/>
      <c r="H440" s="59"/>
      <c r="I440" s="54">
        <v>10300000</v>
      </c>
      <c r="J440" s="167">
        <f>ROUND(((100%+$M$398)*Table4758[[#This Row],[قیمت (ریال)]])*(100%+$M$399),-6)</f>
        <v>12000000</v>
      </c>
      <c r="L440" s="10"/>
      <c r="M440" s="10"/>
      <c r="N440" s="29"/>
      <c r="T440">
        <v>351</v>
      </c>
    </row>
    <row r="441" spans="1:20" customFormat="1">
      <c r="A441" s="47">
        <v>43</v>
      </c>
      <c r="B441" s="59" t="s">
        <v>973</v>
      </c>
      <c r="C441" s="59">
        <v>9901030295</v>
      </c>
      <c r="D441" s="59" t="s">
        <v>1464</v>
      </c>
      <c r="E441" s="59" t="s">
        <v>261</v>
      </c>
      <c r="F441" s="59"/>
      <c r="G441" s="59"/>
      <c r="H441" s="59"/>
      <c r="I441" s="54">
        <v>155400000</v>
      </c>
      <c r="J441" s="167">
        <f>ROUND(((100%+$M$398)*Table4758[[#This Row],[قیمت (ریال)]])*(100%+$M$399),-6)</f>
        <v>186000000</v>
      </c>
      <c r="L441" s="10"/>
      <c r="M441" s="10"/>
      <c r="N441" s="29"/>
      <c r="T441">
        <v>352</v>
      </c>
    </row>
    <row r="442" spans="1:20" customFormat="1">
      <c r="A442" s="47">
        <v>44</v>
      </c>
      <c r="B442" s="59" t="s">
        <v>973</v>
      </c>
      <c r="C442" s="59">
        <v>9901030296</v>
      </c>
      <c r="D442" s="59" t="s">
        <v>1465</v>
      </c>
      <c r="E442" s="59" t="s">
        <v>261</v>
      </c>
      <c r="F442" s="59"/>
      <c r="G442" s="59"/>
      <c r="H442" s="59"/>
      <c r="I442" s="54">
        <v>155400000</v>
      </c>
      <c r="J442" s="167">
        <f>ROUND(((100%+$M$398)*Table4758[[#This Row],[قیمت (ریال)]])*(100%+$M$399),-6)</f>
        <v>186000000</v>
      </c>
      <c r="L442" s="10"/>
      <c r="M442" s="10"/>
      <c r="N442" s="29"/>
      <c r="T442">
        <v>353</v>
      </c>
    </row>
    <row r="443" spans="1:20" customFormat="1">
      <c r="A443" s="47">
        <v>45</v>
      </c>
      <c r="B443" s="59" t="s">
        <v>973</v>
      </c>
      <c r="C443" s="59">
        <v>9901030308</v>
      </c>
      <c r="D443" s="59" t="s">
        <v>1466</v>
      </c>
      <c r="E443" s="59" t="s">
        <v>1467</v>
      </c>
      <c r="F443" s="59"/>
      <c r="G443" s="59"/>
      <c r="H443" s="59"/>
      <c r="I443" s="54">
        <v>117000000</v>
      </c>
      <c r="J443" s="167">
        <f>ROUND(((100%+$M$398)*Table4758[[#This Row],[قیمت (ریال)]])*(100%+$M$399),-6)</f>
        <v>140000000</v>
      </c>
      <c r="L443" s="10"/>
      <c r="M443" s="10"/>
      <c r="N443" s="29"/>
      <c r="T443">
        <v>354</v>
      </c>
    </row>
    <row r="444" spans="1:20" customFormat="1">
      <c r="A444" s="47">
        <v>46</v>
      </c>
      <c r="B444" s="59" t="s">
        <v>973</v>
      </c>
      <c r="C444" s="59">
        <v>9901030315</v>
      </c>
      <c r="D444" s="59" t="s">
        <v>1002</v>
      </c>
      <c r="E444" s="59" t="s">
        <v>1003</v>
      </c>
      <c r="F444" s="59"/>
      <c r="G444" s="59"/>
      <c r="H444" s="59"/>
      <c r="I444" s="54">
        <v>55700000</v>
      </c>
      <c r="J444" s="167">
        <f>ROUND(((100%+$M$398)*Table4758[[#This Row],[قیمت (ریال)]])*(100%+$M$399),-6)</f>
        <v>67000000</v>
      </c>
      <c r="L444" s="10"/>
      <c r="M444" s="10"/>
      <c r="N444" s="29"/>
      <c r="T444">
        <v>355</v>
      </c>
    </row>
    <row r="445" spans="1:20" customFormat="1">
      <c r="A445" s="47">
        <v>47</v>
      </c>
      <c r="B445" s="59" t="s">
        <v>973</v>
      </c>
      <c r="C445" s="59">
        <v>9901030316</v>
      </c>
      <c r="D445" s="59" t="s">
        <v>1004</v>
      </c>
      <c r="E445" s="59" t="s">
        <v>1001</v>
      </c>
      <c r="F445" s="59"/>
      <c r="G445" s="59"/>
      <c r="H445" s="59"/>
      <c r="I445" s="54">
        <v>48700000</v>
      </c>
      <c r="J445" s="167">
        <f>ROUND(((100%+$M$398)*Table4758[[#This Row],[قیمت (ریال)]])*(100%+$M$399),-6)</f>
        <v>58000000</v>
      </c>
      <c r="L445" s="10"/>
      <c r="M445" s="10"/>
      <c r="N445" s="29"/>
      <c r="T445">
        <v>356</v>
      </c>
    </row>
    <row r="446" spans="1:20" customFormat="1">
      <c r="A446" s="47">
        <v>48</v>
      </c>
      <c r="B446" s="59" t="s">
        <v>973</v>
      </c>
      <c r="C446" s="59">
        <v>9901030448</v>
      </c>
      <c r="D446" s="59" t="s">
        <v>1005</v>
      </c>
      <c r="E446" s="59" t="s">
        <v>261</v>
      </c>
      <c r="F446" s="59"/>
      <c r="G446" s="59"/>
      <c r="H446" s="59"/>
      <c r="I446" s="54">
        <v>50500000</v>
      </c>
      <c r="J446" s="167">
        <f>ROUND(((100%+$M$398)*Table4758[[#This Row],[قیمت (ریال)]])*(100%+$M$399),-6)</f>
        <v>61000000</v>
      </c>
      <c r="L446" s="10"/>
      <c r="M446" s="10"/>
      <c r="N446" s="29"/>
      <c r="T446">
        <v>357</v>
      </c>
    </row>
    <row r="447" spans="1:20" customFormat="1">
      <c r="A447" s="47">
        <v>49</v>
      </c>
      <c r="B447" s="59" t="s">
        <v>973</v>
      </c>
      <c r="C447" s="59">
        <v>9901030449</v>
      </c>
      <c r="D447" s="59" t="s">
        <v>1006</v>
      </c>
      <c r="E447" s="59" t="s">
        <v>261</v>
      </c>
      <c r="F447" s="59"/>
      <c r="G447" s="59"/>
      <c r="H447" s="59"/>
      <c r="I447" s="54">
        <v>50500000</v>
      </c>
      <c r="J447" s="167">
        <f>ROUND(((100%+$M$398)*Table4758[[#This Row],[قیمت (ریال)]])*(100%+$M$399),-6)</f>
        <v>61000000</v>
      </c>
      <c r="L447" s="10"/>
      <c r="M447" s="10"/>
      <c r="N447" s="29"/>
      <c r="T447">
        <v>358</v>
      </c>
    </row>
    <row r="448" spans="1:20" customFormat="1">
      <c r="A448" s="47">
        <v>50</v>
      </c>
      <c r="B448" s="59" t="s">
        <v>973</v>
      </c>
      <c r="C448" s="59">
        <v>9901030450</v>
      </c>
      <c r="D448" s="59" t="s">
        <v>1007</v>
      </c>
      <c r="E448" s="59" t="s">
        <v>261</v>
      </c>
      <c r="F448" s="59"/>
      <c r="G448" s="59"/>
      <c r="H448" s="59"/>
      <c r="I448" s="54">
        <v>50500000</v>
      </c>
      <c r="J448" s="167">
        <f>ROUND(((100%+$M$398)*Table4758[[#This Row],[قیمت (ریال)]])*(100%+$M$399),-6)</f>
        <v>61000000</v>
      </c>
      <c r="L448" s="10"/>
      <c r="M448" s="10"/>
      <c r="N448" s="29"/>
      <c r="T448">
        <v>359</v>
      </c>
    </row>
    <row r="449" spans="1:20" customFormat="1">
      <c r="A449" s="47">
        <v>51</v>
      </c>
      <c r="B449" s="59" t="s">
        <v>973</v>
      </c>
      <c r="C449" s="59">
        <v>9901030454</v>
      </c>
      <c r="D449" s="59" t="s">
        <v>1468</v>
      </c>
      <c r="E449" s="59" t="s">
        <v>1469</v>
      </c>
      <c r="F449" s="59"/>
      <c r="G449" s="59"/>
      <c r="H449" s="59"/>
      <c r="I449" s="54">
        <v>101500000</v>
      </c>
      <c r="J449" s="167">
        <f>ROUND(((100%+$M$398)*Table4758[[#This Row],[قیمت (ریال)]])*(100%+$M$399),-6)</f>
        <v>122000000</v>
      </c>
      <c r="L449" s="10"/>
      <c r="M449" s="10"/>
      <c r="N449" s="29"/>
      <c r="T449">
        <v>360</v>
      </c>
    </row>
    <row r="450" spans="1:20" customFormat="1">
      <c r="A450" s="47">
        <v>52</v>
      </c>
      <c r="B450" s="59" t="s">
        <v>973</v>
      </c>
      <c r="C450" s="59">
        <v>9901030466</v>
      </c>
      <c r="D450" s="59" t="s">
        <v>1470</v>
      </c>
      <c r="E450" s="59" t="s">
        <v>1471</v>
      </c>
      <c r="F450" s="59"/>
      <c r="G450" s="59"/>
      <c r="H450" s="59"/>
      <c r="I450" s="54">
        <v>131800000</v>
      </c>
      <c r="J450" s="167">
        <f>ROUND(((100%+$M$398)*Table4758[[#This Row],[قیمت (ریال)]])*(100%+$M$399),-6)</f>
        <v>158000000</v>
      </c>
      <c r="L450" s="10"/>
      <c r="M450" s="10"/>
      <c r="N450" s="29"/>
      <c r="T450">
        <v>361</v>
      </c>
    </row>
    <row r="451" spans="1:20" customFormat="1">
      <c r="A451" s="47">
        <v>53</v>
      </c>
      <c r="B451" s="59" t="s">
        <v>973</v>
      </c>
      <c r="C451" s="59">
        <v>9901030471</v>
      </c>
      <c r="D451" s="59" t="s">
        <v>1472</v>
      </c>
      <c r="E451" s="59" t="s">
        <v>261</v>
      </c>
      <c r="F451" s="59"/>
      <c r="G451" s="59"/>
      <c r="H451" s="59"/>
      <c r="I451" s="54">
        <v>90500000</v>
      </c>
      <c r="J451" s="167">
        <f>ROUND(((100%+$M$398)*Table4758[[#This Row],[قیمت (ریال)]])*(100%+$M$399),-6)</f>
        <v>109000000</v>
      </c>
      <c r="L451" s="10"/>
      <c r="M451" s="10"/>
      <c r="N451" s="29"/>
      <c r="T451">
        <v>362</v>
      </c>
    </row>
    <row r="452" spans="1:20" customFormat="1">
      <c r="A452" s="47"/>
      <c r="B452" s="59"/>
      <c r="C452" s="59"/>
      <c r="D452" s="59"/>
      <c r="E452" s="59"/>
      <c r="F452" s="59"/>
      <c r="G452" s="59"/>
      <c r="H452" s="59"/>
      <c r="I452" s="54"/>
      <c r="J452" s="167"/>
      <c r="L452" s="10"/>
      <c r="M452" s="10"/>
      <c r="N452" s="29"/>
    </row>
    <row r="453" spans="1:20" customFormat="1">
      <c r="A453" s="47"/>
      <c r="B453" s="59"/>
      <c r="C453" s="59"/>
      <c r="D453" s="59"/>
      <c r="E453" s="59"/>
      <c r="F453" s="59"/>
      <c r="G453" s="59"/>
      <c r="H453" s="59"/>
      <c r="I453" s="54"/>
      <c r="J453" s="167"/>
      <c r="L453" s="10"/>
      <c r="M453" s="10"/>
      <c r="N453" s="29"/>
    </row>
    <row r="454" spans="1:20" customFormat="1">
      <c r="A454" s="47"/>
      <c r="B454" s="59"/>
      <c r="C454" s="59"/>
      <c r="D454" s="59"/>
      <c r="E454" s="59"/>
      <c r="F454" s="59"/>
      <c r="G454" s="59"/>
      <c r="H454" s="59"/>
      <c r="I454" s="54"/>
      <c r="J454" s="167"/>
      <c r="L454" s="10"/>
      <c r="M454" s="10"/>
      <c r="N454" s="29"/>
    </row>
    <row r="455" spans="1:20" customFormat="1" ht="19.5" thickBot="1">
      <c r="A455" s="157" t="s">
        <v>0</v>
      </c>
      <c r="B455" s="158" t="s">
        <v>530</v>
      </c>
      <c r="C455" s="158" t="s">
        <v>1</v>
      </c>
      <c r="D455" s="158" t="s">
        <v>448</v>
      </c>
      <c r="E455" s="158" t="s">
        <v>767</v>
      </c>
      <c r="F455" s="158" t="s">
        <v>768</v>
      </c>
      <c r="G455" s="158" t="s">
        <v>769</v>
      </c>
      <c r="H455" s="158" t="s">
        <v>770</v>
      </c>
      <c r="I455" s="159" t="s">
        <v>251</v>
      </c>
      <c r="J455" s="169" t="s">
        <v>431</v>
      </c>
      <c r="L455" s="10"/>
      <c r="M455" s="10"/>
      <c r="N455" s="29"/>
    </row>
    <row r="456" spans="1:20" customFormat="1">
      <c r="A456" s="155">
        <v>1</v>
      </c>
      <c r="B456" s="152" t="s">
        <v>1166</v>
      </c>
      <c r="C456" s="152">
        <v>9901050020</v>
      </c>
      <c r="D456" s="152" t="s">
        <v>1167</v>
      </c>
      <c r="E456" s="152" t="s">
        <v>1168</v>
      </c>
      <c r="F456" s="152"/>
      <c r="G456" s="152"/>
      <c r="H456" s="152"/>
      <c r="I456" s="151">
        <v>6400000</v>
      </c>
      <c r="J456" s="170">
        <f>ROUND(((100%+$M$456)*Table1[[#This Row],[قیمت (ریال)]])*(100%+$M$457),-6)</f>
        <v>8000000</v>
      </c>
      <c r="L456" s="120" t="s">
        <v>777</v>
      </c>
      <c r="M456" s="121">
        <v>0.2</v>
      </c>
      <c r="N456" s="29"/>
      <c r="T456">
        <v>363</v>
      </c>
    </row>
    <row r="457" spans="1:20" customFormat="1" ht="19.5" thickBot="1">
      <c r="A457" s="156">
        <v>2</v>
      </c>
      <c r="B457" s="153" t="s">
        <v>1166</v>
      </c>
      <c r="C457" s="153">
        <v>9901050023</v>
      </c>
      <c r="D457" s="153" t="s">
        <v>1169</v>
      </c>
      <c r="E457" s="153" t="s">
        <v>1170</v>
      </c>
      <c r="F457" s="153"/>
      <c r="G457" s="153"/>
      <c r="H457" s="153"/>
      <c r="I457" s="154">
        <v>6400000</v>
      </c>
      <c r="J457" s="170">
        <f>ROUND(((100%+$M$456)*Table1[[#This Row],[قیمت (ریال)]])*(100%+$M$457),-6)</f>
        <v>8000000</v>
      </c>
      <c r="L457" s="122" t="s">
        <v>779</v>
      </c>
      <c r="M457" s="123">
        <v>0</v>
      </c>
      <c r="N457" s="29"/>
      <c r="T457">
        <v>364</v>
      </c>
    </row>
    <row r="458" spans="1:20" customFormat="1">
      <c r="A458" s="155">
        <v>3</v>
      </c>
      <c r="B458" s="152" t="s">
        <v>1166</v>
      </c>
      <c r="C458" s="152">
        <v>9901050028</v>
      </c>
      <c r="D458" s="152" t="s">
        <v>1171</v>
      </c>
      <c r="E458" s="152" t="s">
        <v>1172</v>
      </c>
      <c r="F458" s="152"/>
      <c r="G458" s="152"/>
      <c r="H458" s="152"/>
      <c r="I458" s="151">
        <v>8200000</v>
      </c>
      <c r="J458" s="170">
        <f>ROUND(((100%+$M$456)*Table1[[#This Row],[قیمت (ریال)]])*(100%+$M$457),-6)</f>
        <v>10000000</v>
      </c>
      <c r="L458" s="10"/>
      <c r="M458" s="10"/>
      <c r="N458" s="29"/>
      <c r="T458">
        <v>365</v>
      </c>
    </row>
    <row r="459" spans="1:20">
      <c r="A459" s="156">
        <v>4</v>
      </c>
      <c r="B459" s="153" t="s">
        <v>1166</v>
      </c>
      <c r="C459" s="153">
        <v>9901050030</v>
      </c>
      <c r="D459" s="153" t="s">
        <v>1173</v>
      </c>
      <c r="E459" s="153" t="s">
        <v>1172</v>
      </c>
      <c r="F459" s="153"/>
      <c r="G459" s="153"/>
      <c r="H459" s="153"/>
      <c r="I459" s="154">
        <v>8200000</v>
      </c>
      <c r="J459" s="170">
        <f>ROUND(((100%+$M$456)*Table1[[#This Row],[قیمت (ریال)]])*(100%+$M$457),-6)</f>
        <v>10000000</v>
      </c>
      <c r="T459">
        <v>366</v>
      </c>
    </row>
    <row r="460" spans="1:20" customFormat="1">
      <c r="A460" s="155">
        <v>5</v>
      </c>
      <c r="B460" s="152" t="s">
        <v>1166</v>
      </c>
      <c r="C460" s="152">
        <v>9901050031</v>
      </c>
      <c r="D460" s="152" t="s">
        <v>1174</v>
      </c>
      <c r="E460" s="152" t="s">
        <v>1175</v>
      </c>
      <c r="F460" s="152"/>
      <c r="G460" s="152"/>
      <c r="H460" s="152"/>
      <c r="I460" s="151">
        <v>8200000</v>
      </c>
      <c r="J460" s="170">
        <f>ROUND(((100%+$M$456)*Table1[[#This Row],[قیمت (ریال)]])*(100%+$M$457),-6)</f>
        <v>10000000</v>
      </c>
      <c r="L460" s="124"/>
      <c r="M460" s="124"/>
      <c r="N460" s="29"/>
      <c r="T460">
        <v>367</v>
      </c>
    </row>
    <row r="461" spans="1:20">
      <c r="A461" s="156">
        <v>6</v>
      </c>
      <c r="B461" s="153" t="s">
        <v>1166</v>
      </c>
      <c r="C461" s="153">
        <v>9901050036</v>
      </c>
      <c r="D461" s="153" t="s">
        <v>1176</v>
      </c>
      <c r="E461" s="153" t="s">
        <v>1177</v>
      </c>
      <c r="F461" s="153"/>
      <c r="G461" s="153"/>
      <c r="H461" s="153"/>
      <c r="I461" s="154">
        <v>11800000</v>
      </c>
      <c r="J461" s="170">
        <f>ROUND(((100%+$M$456)*Table1[[#This Row],[قیمت (ریال)]])*(100%+$M$457),-6)</f>
        <v>14000000</v>
      </c>
      <c r="T461">
        <v>368</v>
      </c>
    </row>
    <row r="462" spans="1:20">
      <c r="A462" s="155">
        <v>7</v>
      </c>
      <c r="B462" s="152" t="s">
        <v>1166</v>
      </c>
      <c r="C462" s="152">
        <v>9901050038</v>
      </c>
      <c r="D462" s="152" t="s">
        <v>1178</v>
      </c>
      <c r="E462" s="152" t="s">
        <v>1177</v>
      </c>
      <c r="F462" s="152"/>
      <c r="G462" s="152"/>
      <c r="H462" s="152"/>
      <c r="I462" s="151">
        <v>11800000</v>
      </c>
      <c r="J462" s="170">
        <f>ROUND(((100%+$M$456)*Table1[[#This Row],[قیمت (ریال)]])*(100%+$M$457),-6)</f>
        <v>14000000</v>
      </c>
      <c r="T462">
        <v>369</v>
      </c>
    </row>
    <row r="463" spans="1:20">
      <c r="A463" s="156">
        <v>8</v>
      </c>
      <c r="B463" s="153" t="s">
        <v>1166</v>
      </c>
      <c r="C463" s="153">
        <v>9901050042</v>
      </c>
      <c r="D463" s="153" t="s">
        <v>1179</v>
      </c>
      <c r="E463" s="153" t="s">
        <v>1180</v>
      </c>
      <c r="F463" s="153"/>
      <c r="G463" s="153"/>
      <c r="H463" s="153"/>
      <c r="I463" s="154">
        <v>9400000</v>
      </c>
      <c r="J463" s="170">
        <f>ROUND(((100%+$M$456)*Table1[[#This Row],[قیمت (ریال)]])*(100%+$M$457),-6)</f>
        <v>11000000</v>
      </c>
      <c r="T463">
        <v>370</v>
      </c>
    </row>
    <row r="464" spans="1:20" customFormat="1">
      <c r="A464" s="155">
        <v>9</v>
      </c>
      <c r="B464" s="152" t="s">
        <v>1166</v>
      </c>
      <c r="C464" s="152">
        <v>9901050045</v>
      </c>
      <c r="D464" s="152" t="s">
        <v>1181</v>
      </c>
      <c r="E464" s="152" t="s">
        <v>1182</v>
      </c>
      <c r="F464" s="152"/>
      <c r="G464" s="152"/>
      <c r="H464" s="152"/>
      <c r="I464" s="151">
        <v>9400000</v>
      </c>
      <c r="J464" s="170">
        <f>ROUND(((100%+$M$456)*Table1[[#This Row],[قیمت (ریال)]])*(100%+$M$457),-6)</f>
        <v>11000000</v>
      </c>
      <c r="L464" s="124"/>
      <c r="M464" s="124"/>
      <c r="N464" s="29"/>
      <c r="T464">
        <v>371</v>
      </c>
    </row>
    <row r="465" spans="1:20" customFormat="1">
      <c r="A465" s="156">
        <v>10</v>
      </c>
      <c r="B465" s="153" t="s">
        <v>1166</v>
      </c>
      <c r="C465" s="153">
        <v>9901050051</v>
      </c>
      <c r="D465" s="153" t="s">
        <v>1183</v>
      </c>
      <c r="E465" s="153" t="s">
        <v>1177</v>
      </c>
      <c r="F465" s="153"/>
      <c r="G465" s="153"/>
      <c r="H465" s="153"/>
      <c r="I465" s="154">
        <v>11800000</v>
      </c>
      <c r="J465" s="170">
        <f>ROUND(((100%+$M$456)*Table1[[#This Row],[قیمت (ریال)]])*(100%+$M$457),-6)</f>
        <v>14000000</v>
      </c>
      <c r="L465" s="10"/>
      <c r="M465" s="10"/>
      <c r="N465" s="29"/>
      <c r="T465">
        <v>372</v>
      </c>
    </row>
    <row r="466" spans="1:20" customFormat="1">
      <c r="A466" s="155">
        <v>11</v>
      </c>
      <c r="B466" s="152" t="s">
        <v>1166</v>
      </c>
      <c r="C466" s="152">
        <v>9901050052</v>
      </c>
      <c r="D466" s="152" t="s">
        <v>1184</v>
      </c>
      <c r="E466" s="152" t="s">
        <v>261</v>
      </c>
      <c r="F466" s="152"/>
      <c r="G466" s="152"/>
      <c r="H466" s="152"/>
      <c r="I466" s="151">
        <v>8200000</v>
      </c>
      <c r="J466" s="170">
        <f>ROUND(((100%+$M$456)*Table1[[#This Row],[قیمت (ریال)]])*(100%+$M$457),-6)</f>
        <v>10000000</v>
      </c>
      <c r="L466" s="10"/>
      <c r="M466" s="10"/>
      <c r="N466" s="29"/>
      <c r="T466">
        <v>373</v>
      </c>
    </row>
    <row r="467" spans="1:20" customFormat="1">
      <c r="A467" s="156">
        <v>12</v>
      </c>
      <c r="B467" s="153" t="s">
        <v>1166</v>
      </c>
      <c r="C467" s="153">
        <v>9901050053</v>
      </c>
      <c r="D467" s="153" t="s">
        <v>1185</v>
      </c>
      <c r="E467" s="153" t="s">
        <v>261</v>
      </c>
      <c r="F467" s="153"/>
      <c r="G467" s="153"/>
      <c r="H467" s="153"/>
      <c r="I467" s="154">
        <v>11800000</v>
      </c>
      <c r="J467" s="170">
        <f>ROUND(((100%+$M$456)*Table1[[#This Row],[قیمت (ریال)]])*(100%+$M$457),-6)</f>
        <v>14000000</v>
      </c>
      <c r="L467" s="10"/>
      <c r="M467" s="10"/>
      <c r="N467" s="29"/>
      <c r="T467">
        <v>374</v>
      </c>
    </row>
    <row r="468" spans="1:20" customFormat="1">
      <c r="A468" s="155">
        <v>13</v>
      </c>
      <c r="B468" s="152" t="s">
        <v>1166</v>
      </c>
      <c r="C468" s="152">
        <v>9901050057</v>
      </c>
      <c r="D468" s="152" t="s">
        <v>1186</v>
      </c>
      <c r="E468" s="152" t="s">
        <v>261</v>
      </c>
      <c r="F468" s="152"/>
      <c r="G468" s="152"/>
      <c r="H468" s="152"/>
      <c r="I468" s="151">
        <v>8200000</v>
      </c>
      <c r="J468" s="170">
        <f>ROUND(((100%+$M$456)*Table1[[#This Row],[قیمت (ریال)]])*(100%+$M$457),-6)</f>
        <v>10000000</v>
      </c>
      <c r="L468" s="10"/>
      <c r="M468" s="10"/>
      <c r="N468" s="29"/>
      <c r="T468">
        <v>375</v>
      </c>
    </row>
    <row r="469" spans="1:20" customFormat="1">
      <c r="A469" s="47"/>
      <c r="B469" s="59"/>
      <c r="C469" s="59"/>
      <c r="D469" s="59"/>
      <c r="E469" s="59"/>
      <c r="F469" s="59"/>
      <c r="G469" s="59"/>
      <c r="H469" s="59"/>
      <c r="I469" s="54"/>
      <c r="J469" s="167"/>
      <c r="L469" s="10"/>
      <c r="M469" s="10"/>
      <c r="N469" s="29"/>
    </row>
    <row r="470" spans="1:20" customFormat="1">
      <c r="A470" s="47"/>
      <c r="B470" s="47"/>
      <c r="C470" s="47"/>
      <c r="D470" s="47"/>
      <c r="E470" s="47"/>
      <c r="F470" s="47"/>
      <c r="G470" s="47"/>
      <c r="H470" s="47"/>
      <c r="I470" s="48"/>
      <c r="J470" s="168"/>
      <c r="L470" s="10"/>
      <c r="M470" s="10"/>
      <c r="N470" s="29"/>
    </row>
    <row r="471" spans="1:20" customFormat="1">
      <c r="A471" s="47"/>
      <c r="B471" s="47"/>
      <c r="C471" s="47"/>
      <c r="D471" s="47"/>
      <c r="E471" s="47"/>
      <c r="F471" s="47"/>
      <c r="G471" s="47"/>
      <c r="H471" s="47"/>
      <c r="I471" s="48"/>
      <c r="J471" s="168"/>
      <c r="L471" s="10"/>
      <c r="M471" s="10"/>
      <c r="N471" s="29"/>
    </row>
    <row r="472" spans="1:20" customFormat="1">
      <c r="A472" s="47"/>
      <c r="B472" s="47"/>
      <c r="C472" s="47"/>
      <c r="D472" s="47"/>
      <c r="E472" s="47"/>
      <c r="F472" s="47"/>
      <c r="G472" s="47"/>
      <c r="H472" s="47"/>
      <c r="I472" s="48"/>
      <c r="J472" s="168"/>
      <c r="L472" s="10"/>
      <c r="M472" s="10"/>
      <c r="N472" s="29"/>
    </row>
    <row r="473" spans="1:20" customFormat="1">
      <c r="A473" s="47"/>
      <c r="B473" s="47"/>
      <c r="C473" s="47"/>
      <c r="D473" s="47"/>
      <c r="E473" s="47"/>
      <c r="F473" s="47"/>
      <c r="G473" s="47"/>
      <c r="H473" s="47"/>
      <c r="I473" s="48"/>
      <c r="J473" s="168"/>
      <c r="L473" s="10"/>
      <c r="M473" s="10"/>
      <c r="N473" s="29"/>
    </row>
    <row r="474" spans="1:20" customFormat="1">
      <c r="A474" s="47"/>
      <c r="B474" s="47"/>
      <c r="C474" s="47"/>
      <c r="D474" s="47"/>
      <c r="E474" s="47"/>
      <c r="F474" s="47"/>
      <c r="G474" s="47"/>
      <c r="H474" s="47"/>
      <c r="I474" s="48"/>
      <c r="J474" s="168"/>
      <c r="L474" s="10"/>
      <c r="M474" s="10"/>
      <c r="N474" s="29"/>
    </row>
    <row r="475" spans="1:20" customFormat="1" ht="19.5" thickBot="1">
      <c r="A475" s="50" t="s">
        <v>0</v>
      </c>
      <c r="B475" s="50" t="s">
        <v>530</v>
      </c>
      <c r="C475" s="50" t="s">
        <v>1</v>
      </c>
      <c r="D475" s="50" t="s">
        <v>448</v>
      </c>
      <c r="E475" s="50" t="s">
        <v>767</v>
      </c>
      <c r="F475" s="50" t="s">
        <v>768</v>
      </c>
      <c r="G475" s="50" t="s">
        <v>769</v>
      </c>
      <c r="H475" s="50" t="s">
        <v>770</v>
      </c>
      <c r="I475" s="51" t="s">
        <v>251</v>
      </c>
      <c r="J475" s="166" t="s">
        <v>431</v>
      </c>
      <c r="L475" s="10"/>
      <c r="M475" s="10"/>
      <c r="N475" s="29"/>
    </row>
    <row r="476" spans="1:20" customFormat="1">
      <c r="A476" s="47">
        <v>1</v>
      </c>
      <c r="B476" s="47" t="s">
        <v>1016</v>
      </c>
      <c r="C476" s="47">
        <v>9901030012</v>
      </c>
      <c r="D476" s="47" t="s">
        <v>1473</v>
      </c>
      <c r="E476" s="47" t="s">
        <v>261</v>
      </c>
      <c r="F476" s="47"/>
      <c r="G476" s="47"/>
      <c r="H476" s="47"/>
      <c r="I476" s="48">
        <v>80600000</v>
      </c>
      <c r="J476" s="167">
        <f>ROUND(((100%+$M$476)*Table50[[#This Row],[قیمت (ریال)]])*(100%+$M$477),-6)</f>
        <v>97000000</v>
      </c>
      <c r="L476" s="120" t="s">
        <v>777</v>
      </c>
      <c r="M476" s="121">
        <v>0.2</v>
      </c>
      <c r="N476" s="29"/>
      <c r="T476">
        <v>376</v>
      </c>
    </row>
    <row r="477" spans="1:20" customFormat="1" ht="19.5" thickBot="1">
      <c r="A477" s="47">
        <v>2</v>
      </c>
      <c r="B477" s="47" t="s">
        <v>1016</v>
      </c>
      <c r="C477" s="47">
        <v>9901030051</v>
      </c>
      <c r="D477" s="47" t="s">
        <v>1474</v>
      </c>
      <c r="E477" s="47" t="s">
        <v>261</v>
      </c>
      <c r="F477" s="47"/>
      <c r="G477" s="47"/>
      <c r="H477" s="47"/>
      <c r="I477" s="48">
        <v>101500000</v>
      </c>
      <c r="J477" s="167">
        <f>ROUND(((100%+$M$476)*Table50[[#This Row],[قیمت (ریال)]])*(100%+$M$477),-6)</f>
        <v>122000000</v>
      </c>
      <c r="L477" s="122" t="s">
        <v>779</v>
      </c>
      <c r="M477" s="123">
        <v>0</v>
      </c>
      <c r="N477" s="29"/>
      <c r="T477">
        <v>377</v>
      </c>
    </row>
    <row r="478" spans="1:20" customFormat="1">
      <c r="A478" s="47">
        <v>3</v>
      </c>
      <c r="B478" s="47" t="s">
        <v>1016</v>
      </c>
      <c r="C478" s="47">
        <v>9901030053</v>
      </c>
      <c r="D478" s="47" t="s">
        <v>1475</v>
      </c>
      <c r="E478" s="47" t="s">
        <v>261</v>
      </c>
      <c r="F478" s="47"/>
      <c r="G478" s="47"/>
      <c r="H478" s="47"/>
      <c r="I478" s="48">
        <v>70700000</v>
      </c>
      <c r="J478" s="167">
        <f>ROUND(((100%+$M$476)*Table50[[#This Row],[قیمت (ریال)]])*(100%+$M$477),-6)</f>
        <v>85000000</v>
      </c>
      <c r="L478" s="10"/>
      <c r="M478" s="10"/>
      <c r="N478" s="29"/>
      <c r="T478">
        <v>378</v>
      </c>
    </row>
    <row r="479" spans="1:20" customFormat="1">
      <c r="A479" s="47">
        <v>4</v>
      </c>
      <c r="B479" s="47" t="s">
        <v>1016</v>
      </c>
      <c r="C479" s="47">
        <v>9901030176</v>
      </c>
      <c r="D479" s="47" t="s">
        <v>1476</v>
      </c>
      <c r="E479" s="47" t="s">
        <v>261</v>
      </c>
      <c r="F479" s="47"/>
      <c r="G479" s="47"/>
      <c r="H479" s="47"/>
      <c r="I479" s="48">
        <v>19700000</v>
      </c>
      <c r="J479" s="167">
        <f>ROUND(((100%+$M$476)*Table50[[#This Row],[قیمت (ریال)]])*(100%+$M$477),-6)</f>
        <v>24000000</v>
      </c>
      <c r="L479" s="10"/>
      <c r="M479" s="10"/>
      <c r="N479" s="29"/>
      <c r="T479">
        <v>379</v>
      </c>
    </row>
    <row r="480" spans="1:20" customFormat="1">
      <c r="A480" s="47">
        <v>5</v>
      </c>
      <c r="B480" s="47" t="s">
        <v>1016</v>
      </c>
      <c r="C480" s="47">
        <v>9901030177</v>
      </c>
      <c r="D480" s="47" t="s">
        <v>1017</v>
      </c>
      <c r="E480" s="47" t="s">
        <v>261</v>
      </c>
      <c r="F480" s="47"/>
      <c r="G480" s="47"/>
      <c r="H480" s="47"/>
      <c r="I480" s="48">
        <v>15000000</v>
      </c>
      <c r="J480" s="167">
        <f>ROUND(((100%+$M$476)*Table50[[#This Row],[قیمت (ریال)]])*(100%+$M$477),-6)</f>
        <v>18000000</v>
      </c>
      <c r="L480" s="10"/>
      <c r="M480" s="10"/>
      <c r="N480" s="29"/>
      <c r="T480">
        <v>380</v>
      </c>
    </row>
    <row r="481" spans="1:20" customFormat="1">
      <c r="A481" s="47">
        <v>6</v>
      </c>
      <c r="B481" s="47" t="s">
        <v>1016</v>
      </c>
      <c r="C481" s="47">
        <v>9901030183</v>
      </c>
      <c r="D481" s="47" t="s">
        <v>1477</v>
      </c>
      <c r="E481" s="47" t="s">
        <v>261</v>
      </c>
      <c r="F481" s="47"/>
      <c r="G481" s="47"/>
      <c r="H481" s="47"/>
      <c r="I481" s="48">
        <v>16300000</v>
      </c>
      <c r="J481" s="167">
        <f>ROUND(((100%+$M$476)*Table50[[#This Row],[قیمت (ریال)]])*(100%+$M$477),-6)</f>
        <v>20000000</v>
      </c>
      <c r="L481" s="10"/>
      <c r="M481" s="10"/>
      <c r="N481" s="29"/>
      <c r="T481">
        <v>381</v>
      </c>
    </row>
    <row r="482" spans="1:20" customFormat="1">
      <c r="A482" s="47">
        <v>7</v>
      </c>
      <c r="B482" s="47" t="s">
        <v>1016</v>
      </c>
      <c r="C482" s="47">
        <v>9901030186</v>
      </c>
      <c r="D482" s="47" t="s">
        <v>1478</v>
      </c>
      <c r="E482" s="47" t="s">
        <v>261</v>
      </c>
      <c r="F482" s="47"/>
      <c r="G482" s="47"/>
      <c r="H482" s="47"/>
      <c r="I482" s="48">
        <v>9400000</v>
      </c>
      <c r="J482" s="167">
        <f>ROUND(((100%+$M$476)*Table50[[#This Row],[قیمت (ریال)]])*(100%+$M$477),-6)</f>
        <v>11000000</v>
      </c>
      <c r="L482" s="10"/>
      <c r="M482" s="10"/>
      <c r="N482" s="29"/>
      <c r="T482">
        <v>382</v>
      </c>
    </row>
    <row r="483" spans="1:20" customFormat="1">
      <c r="A483" s="47">
        <v>8</v>
      </c>
      <c r="B483" s="47" t="s">
        <v>1016</v>
      </c>
      <c r="C483" s="47">
        <v>9901030187</v>
      </c>
      <c r="D483" s="47" t="s">
        <v>1479</v>
      </c>
      <c r="E483" s="47" t="s">
        <v>261</v>
      </c>
      <c r="F483" s="47"/>
      <c r="G483" s="47"/>
      <c r="H483" s="47"/>
      <c r="I483" s="48">
        <v>9400000</v>
      </c>
      <c r="J483" s="167">
        <f>ROUND(((100%+$M$476)*Table50[[#This Row],[قیمت (ریال)]])*(100%+$M$477),-6)</f>
        <v>11000000</v>
      </c>
      <c r="L483" s="10"/>
      <c r="M483" s="10"/>
      <c r="N483" s="29"/>
      <c r="T483">
        <v>383</v>
      </c>
    </row>
    <row r="484" spans="1:20" customFormat="1">
      <c r="A484" s="47">
        <v>9</v>
      </c>
      <c r="B484" s="47" t="s">
        <v>1016</v>
      </c>
      <c r="C484" s="47">
        <v>9901030188</v>
      </c>
      <c r="D484" s="47" t="s">
        <v>1480</v>
      </c>
      <c r="E484" s="47" t="s">
        <v>261</v>
      </c>
      <c r="F484" s="47"/>
      <c r="G484" s="47"/>
      <c r="H484" s="47"/>
      <c r="I484" s="48">
        <v>11800000</v>
      </c>
      <c r="J484" s="167">
        <f>ROUND(((100%+$M$476)*Table50[[#This Row],[قیمت (ریال)]])*(100%+$M$477),-6)</f>
        <v>14000000</v>
      </c>
      <c r="L484" s="10"/>
      <c r="M484" s="10"/>
      <c r="N484" s="29"/>
      <c r="T484">
        <v>384</v>
      </c>
    </row>
    <row r="485" spans="1:20" customFormat="1">
      <c r="A485" s="47">
        <v>10</v>
      </c>
      <c r="B485" s="47" t="s">
        <v>1016</v>
      </c>
      <c r="C485" s="47">
        <v>9901030189</v>
      </c>
      <c r="D485" s="47" t="s">
        <v>1018</v>
      </c>
      <c r="E485" s="47" t="s">
        <v>261</v>
      </c>
      <c r="F485" s="47"/>
      <c r="G485" s="47"/>
      <c r="H485" s="47"/>
      <c r="I485" s="48">
        <v>9000000</v>
      </c>
      <c r="J485" s="167">
        <f>ROUND(((100%+$M$476)*Table50[[#This Row],[قیمت (ریال)]])*(100%+$M$477),-6)</f>
        <v>11000000</v>
      </c>
      <c r="L485" s="10"/>
      <c r="M485" s="10"/>
      <c r="N485" s="29"/>
      <c r="T485">
        <v>385</v>
      </c>
    </row>
    <row r="486" spans="1:20" customFormat="1">
      <c r="A486" s="47">
        <v>11</v>
      </c>
      <c r="B486" s="47" t="s">
        <v>1016</v>
      </c>
      <c r="C486" s="47">
        <v>9901030190</v>
      </c>
      <c r="D486" s="47" t="s">
        <v>1481</v>
      </c>
      <c r="E486" s="47" t="s">
        <v>261</v>
      </c>
      <c r="F486" s="47"/>
      <c r="G486" s="47"/>
      <c r="H486" s="47"/>
      <c r="I486" s="48">
        <v>11800000</v>
      </c>
      <c r="J486" s="167">
        <f>ROUND(((100%+$M$476)*Table50[[#This Row],[قیمت (ریال)]])*(100%+$M$477),-6)</f>
        <v>14000000</v>
      </c>
      <c r="L486" s="10"/>
      <c r="M486" s="10"/>
      <c r="N486" s="29"/>
      <c r="T486">
        <v>386</v>
      </c>
    </row>
    <row r="487" spans="1:20" customFormat="1">
      <c r="A487" s="47">
        <v>12</v>
      </c>
      <c r="B487" s="47" t="s">
        <v>1016</v>
      </c>
      <c r="C487" s="47">
        <v>9901030191</v>
      </c>
      <c r="D487" s="47" t="s">
        <v>1482</v>
      </c>
      <c r="E487" s="47" t="s">
        <v>261</v>
      </c>
      <c r="F487" s="47"/>
      <c r="G487" s="47"/>
      <c r="H487" s="47"/>
      <c r="I487" s="48">
        <v>11800000</v>
      </c>
      <c r="J487" s="167">
        <f>ROUND(((100%+$M$476)*Table50[[#This Row],[قیمت (ریال)]])*(100%+$M$477),-6)</f>
        <v>14000000</v>
      </c>
      <c r="L487" s="10"/>
      <c r="M487" s="10"/>
      <c r="N487" s="29"/>
      <c r="T487">
        <v>387</v>
      </c>
    </row>
    <row r="488" spans="1:20" customFormat="1">
      <c r="A488" s="47">
        <v>13</v>
      </c>
      <c r="B488" s="47" t="s">
        <v>1016</v>
      </c>
      <c r="C488" s="47">
        <v>9901030208</v>
      </c>
      <c r="D488" s="47" t="s">
        <v>1483</v>
      </c>
      <c r="E488" s="47" t="s">
        <v>261</v>
      </c>
      <c r="F488" s="47"/>
      <c r="G488" s="47"/>
      <c r="H488" s="47"/>
      <c r="I488" s="48">
        <v>61000000</v>
      </c>
      <c r="J488" s="167">
        <f>ROUND(((100%+$M$476)*Table50[[#This Row],[قیمت (ریال)]])*(100%+$M$477),-6)</f>
        <v>73000000</v>
      </c>
      <c r="L488" s="10"/>
      <c r="M488" s="10"/>
      <c r="N488" s="29"/>
      <c r="T488">
        <v>388</v>
      </c>
    </row>
    <row r="489" spans="1:20" customFormat="1">
      <c r="A489" s="47">
        <v>14</v>
      </c>
      <c r="B489" s="47" t="s">
        <v>1016</v>
      </c>
      <c r="C489" s="47">
        <v>9901030209</v>
      </c>
      <c r="D489" s="47" t="s">
        <v>1484</v>
      </c>
      <c r="E489" s="47" t="s">
        <v>261</v>
      </c>
      <c r="F489" s="47"/>
      <c r="G489" s="47"/>
      <c r="H489" s="47"/>
      <c r="I489" s="48">
        <v>52000000</v>
      </c>
      <c r="J489" s="167">
        <f>ROUND(((100%+$M$476)*Table50[[#This Row],[قیمت (ریال)]])*(100%+$M$477),-6)</f>
        <v>62000000</v>
      </c>
      <c r="L489" s="10"/>
      <c r="M489" s="10"/>
      <c r="N489" s="29"/>
      <c r="T489">
        <v>389</v>
      </c>
    </row>
    <row r="490" spans="1:20" customFormat="1">
      <c r="A490" s="47">
        <v>15</v>
      </c>
      <c r="B490" s="47" t="s">
        <v>1016</v>
      </c>
      <c r="C490" s="47">
        <v>9901030210</v>
      </c>
      <c r="D490" s="47" t="s">
        <v>1485</v>
      </c>
      <c r="E490" s="47" t="s">
        <v>261</v>
      </c>
      <c r="F490" s="47"/>
      <c r="G490" s="47"/>
      <c r="H490" s="47"/>
      <c r="I490" s="48">
        <v>61000000</v>
      </c>
      <c r="J490" s="167">
        <f>ROUND(((100%+$M$476)*Table50[[#This Row],[قیمت (ریال)]])*(100%+$M$477),-6)</f>
        <v>73000000</v>
      </c>
      <c r="L490" s="10"/>
      <c r="M490" s="10"/>
      <c r="N490" s="29"/>
      <c r="T490">
        <v>390</v>
      </c>
    </row>
    <row r="491" spans="1:20" customFormat="1">
      <c r="A491" s="47">
        <v>16</v>
      </c>
      <c r="B491" s="47" t="s">
        <v>1016</v>
      </c>
      <c r="C491" s="47">
        <v>9901030211</v>
      </c>
      <c r="D491" s="47" t="s">
        <v>1019</v>
      </c>
      <c r="E491" s="47" t="s">
        <v>261</v>
      </c>
      <c r="F491" s="47"/>
      <c r="G491" s="47"/>
      <c r="H491" s="47"/>
      <c r="I491" s="48">
        <v>39700000</v>
      </c>
      <c r="J491" s="167">
        <f>ROUND(((100%+$M$476)*Table50[[#This Row],[قیمت (ریال)]])*(100%+$M$477),-6)</f>
        <v>48000000</v>
      </c>
      <c r="L491" s="10"/>
      <c r="M491" s="10"/>
      <c r="N491" s="29"/>
      <c r="T491">
        <v>391</v>
      </c>
    </row>
    <row r="492" spans="1:20" customFormat="1">
      <c r="A492" s="47">
        <v>17</v>
      </c>
      <c r="B492" s="47" t="s">
        <v>1016</v>
      </c>
      <c r="C492" s="47">
        <v>9901030395</v>
      </c>
      <c r="D492" s="47" t="s">
        <v>1020</v>
      </c>
      <c r="E492" s="47" t="s">
        <v>1021</v>
      </c>
      <c r="F492" s="47"/>
      <c r="G492" s="47"/>
      <c r="H492" s="47"/>
      <c r="I492" s="48">
        <v>75000000</v>
      </c>
      <c r="J492" s="167">
        <f>ROUND(((100%+$M$476)*Table50[[#This Row],[قیمت (ریال)]])*(100%+$M$477),-6)</f>
        <v>90000000</v>
      </c>
      <c r="L492" s="10"/>
      <c r="M492" s="10"/>
      <c r="N492" s="29"/>
      <c r="T492">
        <v>392</v>
      </c>
    </row>
    <row r="493" spans="1:20" customFormat="1">
      <c r="A493" s="47">
        <v>18</v>
      </c>
      <c r="B493" s="47" t="s">
        <v>1016</v>
      </c>
      <c r="C493" s="47">
        <v>9901030396</v>
      </c>
      <c r="D493" s="47" t="s">
        <v>1022</v>
      </c>
      <c r="E493" s="47" t="s">
        <v>1023</v>
      </c>
      <c r="F493" s="47"/>
      <c r="G493" s="47"/>
      <c r="H493" s="47"/>
      <c r="I493" s="48">
        <v>32500000</v>
      </c>
      <c r="J493" s="167">
        <f>ROUND(((100%+$M$476)*Table50[[#This Row],[قیمت (ریال)]])*(100%+$M$477),-6)</f>
        <v>39000000</v>
      </c>
      <c r="L493" s="10"/>
      <c r="M493" s="10"/>
      <c r="N493" s="29"/>
      <c r="T493">
        <v>393</v>
      </c>
    </row>
    <row r="494" spans="1:20" customFormat="1">
      <c r="A494" s="47">
        <v>19</v>
      </c>
      <c r="B494" s="47" t="s">
        <v>1016</v>
      </c>
      <c r="C494" s="47">
        <v>9901030397</v>
      </c>
      <c r="D494" s="47" t="s">
        <v>1024</v>
      </c>
      <c r="E494" s="47" t="s">
        <v>1023</v>
      </c>
      <c r="F494" s="47"/>
      <c r="G494" s="47"/>
      <c r="H494" s="47"/>
      <c r="I494" s="48">
        <v>32500000</v>
      </c>
      <c r="J494" s="167">
        <f>ROUND(((100%+$M$476)*Table50[[#This Row],[قیمت (ریال)]])*(100%+$M$477),-6)</f>
        <v>39000000</v>
      </c>
      <c r="L494" s="10"/>
      <c r="M494" s="10"/>
      <c r="N494" s="29"/>
      <c r="T494">
        <v>394</v>
      </c>
    </row>
    <row r="495" spans="1:20" customFormat="1">
      <c r="A495" s="47">
        <v>20</v>
      </c>
      <c r="B495" s="47" t="s">
        <v>1016</v>
      </c>
      <c r="C495" s="47">
        <v>9901030413</v>
      </c>
      <c r="D495" s="47" t="s">
        <v>1025</v>
      </c>
      <c r="E495" s="47" t="s">
        <v>1026</v>
      </c>
      <c r="F495" s="47"/>
      <c r="G495" s="47"/>
      <c r="H495" s="47"/>
      <c r="I495" s="48">
        <v>106300000</v>
      </c>
      <c r="J495" s="167">
        <f>ROUND(((100%+$M$476)*Table50[[#This Row],[قیمت (ریال)]])*(100%+$M$477),-6)</f>
        <v>128000000</v>
      </c>
      <c r="L495" s="10"/>
      <c r="M495" s="10"/>
      <c r="N495" s="29"/>
      <c r="T495">
        <v>395</v>
      </c>
    </row>
    <row r="496" spans="1:20" customFormat="1">
      <c r="A496" s="47">
        <v>21</v>
      </c>
      <c r="B496" s="47" t="s">
        <v>1016</v>
      </c>
      <c r="C496" s="47">
        <v>9901030414</v>
      </c>
      <c r="D496" s="47" t="s">
        <v>1027</v>
      </c>
      <c r="E496" s="47" t="s">
        <v>1026</v>
      </c>
      <c r="F496" s="47"/>
      <c r="G496" s="47"/>
      <c r="H496" s="47"/>
      <c r="I496" s="48">
        <v>106300000</v>
      </c>
      <c r="J496" s="167">
        <f>ROUND(((100%+$M$476)*Table50[[#This Row],[قیمت (ریال)]])*(100%+$M$477),-6)</f>
        <v>128000000</v>
      </c>
      <c r="L496" s="10"/>
      <c r="M496" s="10"/>
      <c r="N496" s="29"/>
      <c r="T496">
        <v>396</v>
      </c>
    </row>
    <row r="497" spans="1:20" customFormat="1">
      <c r="A497" s="47">
        <v>22</v>
      </c>
      <c r="B497" s="47" t="s">
        <v>1016</v>
      </c>
      <c r="C497" s="47">
        <v>9901030415</v>
      </c>
      <c r="D497" s="47" t="s">
        <v>1486</v>
      </c>
      <c r="E497" s="47" t="s">
        <v>1026</v>
      </c>
      <c r="F497" s="47"/>
      <c r="G497" s="47"/>
      <c r="H497" s="47"/>
      <c r="I497" s="48">
        <v>139000000</v>
      </c>
      <c r="J497" s="167">
        <f>ROUND(((100%+$M$476)*Table50[[#This Row],[قیمت (ریال)]])*(100%+$M$477),-6)</f>
        <v>167000000</v>
      </c>
      <c r="L497" s="124"/>
      <c r="M497" s="124"/>
      <c r="N497" s="29"/>
      <c r="T497">
        <v>397</v>
      </c>
    </row>
    <row r="498" spans="1:20" customFormat="1">
      <c r="A498" s="47">
        <v>23</v>
      </c>
      <c r="B498" s="47" t="s">
        <v>1016</v>
      </c>
      <c r="C498" s="47">
        <v>9901030440</v>
      </c>
      <c r="D498" s="47" t="s">
        <v>1028</v>
      </c>
      <c r="E498" s="47" t="s">
        <v>261</v>
      </c>
      <c r="F498" s="47"/>
      <c r="G498" s="47"/>
      <c r="H498" s="47"/>
      <c r="I498" s="48">
        <v>154800000</v>
      </c>
      <c r="J498" s="167">
        <f>ROUND(((100%+$M$476)*Table50[[#This Row],[قیمت (ریال)]])*(100%+$M$477),-6)</f>
        <v>186000000</v>
      </c>
      <c r="L498" s="124"/>
      <c r="M498" s="124"/>
      <c r="N498" s="29"/>
      <c r="T498">
        <v>398</v>
      </c>
    </row>
    <row r="499" spans="1:20" customFormat="1">
      <c r="A499" s="47">
        <v>24</v>
      </c>
      <c r="B499" s="47" t="s">
        <v>1016</v>
      </c>
      <c r="C499" s="47">
        <v>9901030447</v>
      </c>
      <c r="D499" s="47" t="s">
        <v>1487</v>
      </c>
      <c r="E499" s="47" t="s">
        <v>261</v>
      </c>
      <c r="F499" s="47"/>
      <c r="G499" s="47"/>
      <c r="H499" s="47"/>
      <c r="I499" s="48">
        <v>51800000</v>
      </c>
      <c r="J499" s="167">
        <f>ROUND(((100%+$M$476)*Table50[[#This Row],[قیمت (ریال)]])*(100%+$M$477),-6)</f>
        <v>62000000</v>
      </c>
      <c r="L499" s="10"/>
      <c r="M499" s="10"/>
      <c r="N499" s="29"/>
      <c r="T499">
        <v>399</v>
      </c>
    </row>
    <row r="500" spans="1:20" customFormat="1">
      <c r="A500" s="47">
        <v>25</v>
      </c>
      <c r="B500" s="47" t="s">
        <v>1016</v>
      </c>
      <c r="C500" s="47">
        <v>9901030493</v>
      </c>
      <c r="D500" s="47" t="s">
        <v>1488</v>
      </c>
      <c r="E500" s="47"/>
      <c r="F500" s="47"/>
      <c r="G500" s="47"/>
      <c r="H500" s="47"/>
      <c r="I500" s="48">
        <v>118000000</v>
      </c>
      <c r="J500" s="167">
        <f>ROUND(((100%+$M$476)*Table50[[#This Row],[قیمت (ریال)]])*(100%+$M$477),-6)</f>
        <v>142000000</v>
      </c>
      <c r="L500" s="10"/>
      <c r="M500" s="10"/>
      <c r="N500" s="29"/>
      <c r="T500">
        <v>400</v>
      </c>
    </row>
    <row r="501" spans="1:20" customFormat="1">
      <c r="A501" s="47">
        <v>26</v>
      </c>
      <c r="B501" s="47" t="s">
        <v>1016</v>
      </c>
      <c r="C501" s="47">
        <v>9901030494</v>
      </c>
      <c r="D501" s="47" t="s">
        <v>1489</v>
      </c>
      <c r="E501" s="47"/>
      <c r="F501" s="47"/>
      <c r="G501" s="47"/>
      <c r="H501" s="47"/>
      <c r="I501" s="48">
        <v>106000000</v>
      </c>
      <c r="J501" s="167">
        <f>ROUND(((100%+$M$476)*Table50[[#This Row],[قیمت (ریال)]])*(100%+$M$477),-6)</f>
        <v>127000000</v>
      </c>
      <c r="L501" s="10"/>
      <c r="M501" s="10"/>
      <c r="N501" s="29"/>
      <c r="T501">
        <v>401</v>
      </c>
    </row>
    <row r="502" spans="1:20" customFormat="1">
      <c r="A502" s="47">
        <v>27</v>
      </c>
      <c r="B502" s="47" t="s">
        <v>1016</v>
      </c>
      <c r="C502" s="47">
        <v>9901030495</v>
      </c>
      <c r="D502" s="47" t="s">
        <v>1490</v>
      </c>
      <c r="E502" s="47"/>
      <c r="F502" s="47"/>
      <c r="G502" s="47"/>
      <c r="H502" s="47"/>
      <c r="I502" s="48">
        <v>94300000</v>
      </c>
      <c r="J502" s="167">
        <f>ROUND(((100%+$M$476)*Table50[[#This Row],[قیمت (ریال)]])*(100%+$M$477),-6)</f>
        <v>113000000</v>
      </c>
      <c r="L502" s="10"/>
      <c r="M502" s="10"/>
      <c r="N502" s="29"/>
      <c r="T502">
        <v>402</v>
      </c>
    </row>
    <row r="503" spans="1:20" customFormat="1">
      <c r="A503" s="47"/>
      <c r="B503" s="47"/>
      <c r="C503" s="47"/>
      <c r="D503" s="47"/>
      <c r="E503" s="47"/>
      <c r="F503" s="47"/>
      <c r="G503" s="47"/>
      <c r="H503" s="47"/>
      <c r="I503" s="48"/>
      <c r="J503" s="167"/>
      <c r="L503" s="10"/>
      <c r="M503" s="10"/>
      <c r="N503" s="29"/>
    </row>
    <row r="504" spans="1:20" customFormat="1" ht="19.5" thickBot="1">
      <c r="A504" s="47"/>
      <c r="B504" s="47"/>
      <c r="C504" s="47"/>
      <c r="D504" s="47"/>
      <c r="E504" s="47"/>
      <c r="F504" s="47"/>
      <c r="G504" s="47"/>
      <c r="H504" s="47"/>
      <c r="I504" s="48"/>
      <c r="J504" s="167"/>
      <c r="L504" s="10"/>
      <c r="M504" s="10"/>
      <c r="N504" s="29"/>
    </row>
    <row r="505" spans="1:20" customFormat="1" ht="19.5" thickBot="1">
      <c r="A505" s="147" t="s">
        <v>0</v>
      </c>
      <c r="B505" s="147" t="s">
        <v>530</v>
      </c>
      <c r="C505" s="147" t="s">
        <v>1</v>
      </c>
      <c r="D505" s="147" t="s">
        <v>448</v>
      </c>
      <c r="E505" s="147" t="s">
        <v>767</v>
      </c>
      <c r="F505" s="147" t="s">
        <v>768</v>
      </c>
      <c r="G505" s="147" t="s">
        <v>769</v>
      </c>
      <c r="H505" s="147" t="s">
        <v>770</v>
      </c>
      <c r="I505" s="148" t="s">
        <v>251</v>
      </c>
      <c r="J505" s="171" t="s">
        <v>431</v>
      </c>
      <c r="L505" s="120" t="s">
        <v>777</v>
      </c>
      <c r="M505" s="121">
        <v>0.2</v>
      </c>
      <c r="N505" s="29"/>
    </row>
    <row r="506" spans="1:20" customFormat="1" ht="19.5" thickBot="1">
      <c r="A506" s="149">
        <v>1</v>
      </c>
      <c r="B506" s="149" t="s">
        <v>1164</v>
      </c>
      <c r="C506" s="149">
        <v>9901030323</v>
      </c>
      <c r="D506" s="149" t="s">
        <v>1165</v>
      </c>
      <c r="E506" s="149" t="s">
        <v>261</v>
      </c>
      <c r="F506" s="149"/>
      <c r="G506" s="149"/>
      <c r="H506" s="149"/>
      <c r="I506" s="150">
        <v>47300000</v>
      </c>
      <c r="J506" s="172">
        <f>ROUND(((100%+$M$505)*I506)*(100%+$M$506),-6)</f>
        <v>57000000</v>
      </c>
      <c r="L506" s="122" t="s">
        <v>779</v>
      </c>
      <c r="M506" s="123">
        <v>0</v>
      </c>
      <c r="N506" s="29"/>
      <c r="T506">
        <v>403</v>
      </c>
    </row>
    <row r="507" spans="1:20" customFormat="1">
      <c r="A507" s="47"/>
      <c r="B507" s="47"/>
      <c r="C507" s="47"/>
      <c r="D507" s="47"/>
      <c r="E507" s="47"/>
      <c r="F507" s="47"/>
      <c r="G507" s="47"/>
      <c r="H507" s="47"/>
      <c r="I507" s="48"/>
      <c r="J507" s="167"/>
      <c r="L507" s="10"/>
      <c r="M507" s="10"/>
      <c r="N507" s="29"/>
    </row>
    <row r="508" spans="1:20" customFormat="1">
      <c r="A508" s="47"/>
      <c r="B508" s="47"/>
      <c r="C508" s="47"/>
      <c r="D508" s="47"/>
      <c r="E508" s="47"/>
      <c r="F508" s="47"/>
      <c r="G508" s="47"/>
      <c r="H508" s="47"/>
      <c r="I508" s="48"/>
      <c r="J508" s="167"/>
      <c r="L508" s="10"/>
      <c r="M508" s="10"/>
      <c r="N508" s="29"/>
    </row>
    <row r="509" spans="1:20" customFormat="1">
      <c r="A509" s="47"/>
      <c r="B509" s="47"/>
      <c r="C509" s="47"/>
      <c r="D509" s="47"/>
      <c r="E509" s="47"/>
      <c r="F509" s="47"/>
      <c r="G509" s="47"/>
      <c r="H509" s="47"/>
      <c r="I509" s="48"/>
      <c r="J509" s="167"/>
      <c r="L509" s="10"/>
      <c r="M509" s="10"/>
      <c r="N509" s="29"/>
    </row>
    <row r="510" spans="1:20">
      <c r="J510" s="167"/>
    </row>
    <row r="511" spans="1:20">
      <c r="J511" s="167"/>
    </row>
    <row r="512" spans="1:20" customFormat="1" ht="19.5" thickBot="1">
      <c r="A512" s="47"/>
      <c r="B512" s="47"/>
      <c r="C512" s="47"/>
      <c r="D512" s="47"/>
      <c r="E512" s="47"/>
      <c r="F512" s="47"/>
      <c r="G512" s="47"/>
      <c r="H512" s="47"/>
      <c r="I512" s="48"/>
      <c r="J512" s="167"/>
      <c r="L512" s="124"/>
      <c r="M512" s="124"/>
      <c r="N512" s="29"/>
    </row>
    <row r="513" spans="1:20" customFormat="1">
      <c r="A513" s="50" t="s">
        <v>0</v>
      </c>
      <c r="B513" s="50" t="s">
        <v>530</v>
      </c>
      <c r="C513" s="50" t="s">
        <v>1</v>
      </c>
      <c r="D513" s="50" t="s">
        <v>448</v>
      </c>
      <c r="E513" s="50" t="s">
        <v>767</v>
      </c>
      <c r="F513" s="50" t="s">
        <v>768</v>
      </c>
      <c r="G513" s="50" t="s">
        <v>769</v>
      </c>
      <c r="H513" s="50" t="s">
        <v>770</v>
      </c>
      <c r="I513" s="51" t="s">
        <v>251</v>
      </c>
      <c r="J513" s="166" t="s">
        <v>431</v>
      </c>
      <c r="L513" s="120" t="s">
        <v>777</v>
      </c>
      <c r="M513" s="121">
        <v>0.2</v>
      </c>
      <c r="N513" s="29"/>
    </row>
    <row r="514" spans="1:20" customFormat="1" ht="19.5" thickBot="1">
      <c r="A514" s="47">
        <v>1</v>
      </c>
      <c r="B514" s="47" t="s">
        <v>1008</v>
      </c>
      <c r="C514" s="47">
        <v>9901050001</v>
      </c>
      <c r="D514" s="47" t="s">
        <v>1009</v>
      </c>
      <c r="E514" s="47" t="s">
        <v>1010</v>
      </c>
      <c r="F514" s="47"/>
      <c r="G514" s="47"/>
      <c r="H514" s="47"/>
      <c r="I514" s="48">
        <v>63000000</v>
      </c>
      <c r="J514" s="167">
        <f>ROUND(((100%+$M$513)*Table4859[[#This Row],[قیمت (ریال)]])*(100%+$M$514),-6)</f>
        <v>76000000</v>
      </c>
      <c r="L514" s="122" t="s">
        <v>779</v>
      </c>
      <c r="M514" s="123">
        <v>0</v>
      </c>
      <c r="N514" s="29"/>
      <c r="T514">
        <v>404</v>
      </c>
    </row>
    <row r="515" spans="1:20" customFormat="1">
      <c r="A515" s="47">
        <v>2</v>
      </c>
      <c r="B515" s="47" t="s">
        <v>1008</v>
      </c>
      <c r="C515" s="47">
        <v>9901050002</v>
      </c>
      <c r="D515" s="47" t="s">
        <v>1011</v>
      </c>
      <c r="E515" s="47" t="s">
        <v>1010</v>
      </c>
      <c r="F515" s="47"/>
      <c r="G515" s="47"/>
      <c r="H515" s="47"/>
      <c r="I515" s="48">
        <v>64700000</v>
      </c>
      <c r="J515" s="167">
        <f>ROUND(((100%+$M$513)*Table4859[[#This Row],[قیمت (ریال)]])*(100%+$M$514),-6)</f>
        <v>78000000</v>
      </c>
      <c r="L515" s="10"/>
      <c r="M515" s="10"/>
      <c r="N515" s="29"/>
      <c r="T515">
        <v>405</v>
      </c>
    </row>
    <row r="516" spans="1:20" customFormat="1">
      <c r="A516" s="47">
        <v>3</v>
      </c>
      <c r="B516" s="47" t="s">
        <v>1008</v>
      </c>
      <c r="C516" s="47">
        <v>9901050003</v>
      </c>
      <c r="D516" s="47" t="s">
        <v>1012</v>
      </c>
      <c r="E516" s="47" t="s">
        <v>1010</v>
      </c>
      <c r="F516" s="47"/>
      <c r="G516" s="47"/>
      <c r="H516" s="47"/>
      <c r="I516" s="48">
        <v>57800000</v>
      </c>
      <c r="J516" s="167">
        <f>ROUND(((100%+$M$513)*Table4859[[#This Row],[قیمت (ریال)]])*(100%+$M$514),-6)</f>
        <v>69000000</v>
      </c>
      <c r="L516" s="10"/>
      <c r="M516" s="10"/>
      <c r="N516" s="29"/>
      <c r="T516">
        <v>406</v>
      </c>
    </row>
    <row r="517" spans="1:20" customFormat="1">
      <c r="A517" s="47">
        <v>4</v>
      </c>
      <c r="B517" s="47" t="s">
        <v>1008</v>
      </c>
      <c r="C517" s="47">
        <v>9901050004</v>
      </c>
      <c r="D517" s="47" t="s">
        <v>1013</v>
      </c>
      <c r="E517" s="47" t="s">
        <v>1014</v>
      </c>
      <c r="F517" s="47"/>
      <c r="G517" s="47"/>
      <c r="H517" s="47"/>
      <c r="I517" s="48">
        <v>51800000</v>
      </c>
      <c r="J517" s="167">
        <f>ROUND(((100%+$M$513)*Table4859[[#This Row],[قیمت (ریال)]])*(100%+$M$514),-6)</f>
        <v>62000000</v>
      </c>
      <c r="L517" s="10"/>
      <c r="M517" s="10"/>
      <c r="N517" s="29"/>
      <c r="T517">
        <v>407</v>
      </c>
    </row>
    <row r="518" spans="1:20" customFormat="1">
      <c r="A518" s="47">
        <v>5</v>
      </c>
      <c r="B518" s="47" t="s">
        <v>1008</v>
      </c>
      <c r="C518" s="47">
        <v>9901050005</v>
      </c>
      <c r="D518" s="47" t="s">
        <v>1015</v>
      </c>
      <c r="E518" s="47" t="s">
        <v>1010</v>
      </c>
      <c r="F518" s="47"/>
      <c r="G518" s="47"/>
      <c r="H518" s="47"/>
      <c r="I518" s="48">
        <v>46600000</v>
      </c>
      <c r="J518" s="167">
        <f>ROUND(((100%+$M$513)*Table4859[[#This Row],[قیمت (ریال)]])*(100%+$M$514),-6)</f>
        <v>56000000</v>
      </c>
      <c r="L518" s="10"/>
      <c r="M518" s="10"/>
      <c r="N518" s="29"/>
      <c r="T518">
        <v>408</v>
      </c>
    </row>
    <row r="519" spans="1:20" customFormat="1">
      <c r="A519" s="47"/>
      <c r="B519" s="47"/>
      <c r="C519" s="47"/>
      <c r="D519" s="47"/>
      <c r="E519" s="47"/>
      <c r="F519" s="47"/>
      <c r="G519" s="47"/>
      <c r="H519" s="47"/>
      <c r="I519" s="48"/>
      <c r="J519" s="167"/>
      <c r="L519" s="10"/>
      <c r="M519" s="10"/>
      <c r="N519" s="29"/>
    </row>
    <row r="520" spans="1:20" customFormat="1">
      <c r="A520" s="47"/>
      <c r="B520" s="47"/>
      <c r="C520" s="47"/>
      <c r="D520" s="47"/>
      <c r="E520" s="47"/>
      <c r="F520" s="47"/>
      <c r="G520" s="47"/>
      <c r="H520" s="47"/>
      <c r="I520" s="48"/>
      <c r="J520" s="167"/>
      <c r="L520" s="10"/>
      <c r="M520" s="10"/>
      <c r="N520" s="29"/>
    </row>
    <row r="521" spans="1:20">
      <c r="J521" s="168"/>
    </row>
    <row r="522" spans="1:20" ht="19.5" thickBot="1">
      <c r="J522" s="168"/>
    </row>
    <row r="523" spans="1:20" customFormat="1">
      <c r="A523" s="50" t="s">
        <v>0</v>
      </c>
      <c r="B523" s="50" t="s">
        <v>530</v>
      </c>
      <c r="C523" s="50" t="s">
        <v>1</v>
      </c>
      <c r="D523" s="50" t="s">
        <v>448</v>
      </c>
      <c r="E523" s="50" t="s">
        <v>767</v>
      </c>
      <c r="F523" s="50" t="s">
        <v>768</v>
      </c>
      <c r="G523" s="50" t="s">
        <v>769</v>
      </c>
      <c r="H523" s="50" t="s">
        <v>770</v>
      </c>
      <c r="I523" s="51" t="s">
        <v>251</v>
      </c>
      <c r="J523" s="166" t="s">
        <v>431</v>
      </c>
      <c r="L523" s="120" t="s">
        <v>777</v>
      </c>
      <c r="M523" s="121">
        <v>0.2</v>
      </c>
      <c r="N523" s="29"/>
    </row>
    <row r="524" spans="1:20" customFormat="1" ht="19.5" thickBot="1">
      <c r="A524" s="47">
        <v>1</v>
      </c>
      <c r="B524" s="47" t="s">
        <v>1029</v>
      </c>
      <c r="C524" s="47">
        <v>9901030137</v>
      </c>
      <c r="D524" s="47" t="s">
        <v>1491</v>
      </c>
      <c r="E524" s="47" t="s">
        <v>261</v>
      </c>
      <c r="F524" s="47"/>
      <c r="G524" s="47"/>
      <c r="H524" s="47"/>
      <c r="I524" s="48">
        <v>59000000</v>
      </c>
      <c r="J524" s="167">
        <f>ROUND(((100%+$M$523)*Table5168[[#This Row],[قیمت (ریال)]])*(100%+$M$524),-6)</f>
        <v>71000000</v>
      </c>
      <c r="L524" s="122" t="s">
        <v>779</v>
      </c>
      <c r="M524" s="123">
        <v>0</v>
      </c>
      <c r="N524" s="29"/>
      <c r="T524">
        <v>409</v>
      </c>
    </row>
    <row r="525" spans="1:20" customFormat="1">
      <c r="A525" s="47">
        <v>2</v>
      </c>
      <c r="B525" s="47" t="s">
        <v>1029</v>
      </c>
      <c r="C525" s="47">
        <v>9901030138</v>
      </c>
      <c r="D525" s="47" t="s">
        <v>1492</v>
      </c>
      <c r="E525" s="47" t="s">
        <v>261</v>
      </c>
      <c r="F525" s="47"/>
      <c r="G525" s="47"/>
      <c r="H525" s="47"/>
      <c r="I525" s="48">
        <v>59000000</v>
      </c>
      <c r="J525" s="167">
        <f>ROUND(((100%+$M$523)*Table5168[[#This Row],[قیمت (ریال)]])*(100%+$M$524),-6)</f>
        <v>71000000</v>
      </c>
      <c r="L525" s="10"/>
      <c r="M525" s="10"/>
      <c r="N525" s="29"/>
      <c r="T525">
        <v>410</v>
      </c>
    </row>
    <row r="526" spans="1:20" customFormat="1">
      <c r="A526" s="47">
        <v>3</v>
      </c>
      <c r="B526" s="47" t="s">
        <v>1029</v>
      </c>
      <c r="C526" s="47">
        <v>9901030139</v>
      </c>
      <c r="D526" s="47" t="s">
        <v>1493</v>
      </c>
      <c r="E526" s="47" t="s">
        <v>261</v>
      </c>
      <c r="F526" s="47"/>
      <c r="G526" s="47"/>
      <c r="H526" s="47"/>
      <c r="I526" s="48">
        <v>49200000</v>
      </c>
      <c r="J526" s="167">
        <f>ROUND(((100%+$M$523)*Table5168[[#This Row],[قیمت (ریال)]])*(100%+$M$524),-6)</f>
        <v>59000000</v>
      </c>
      <c r="L526" s="10"/>
      <c r="M526" s="10"/>
      <c r="N526" s="29"/>
      <c r="T526">
        <v>411</v>
      </c>
    </row>
    <row r="527" spans="1:20" customFormat="1">
      <c r="A527" s="47">
        <v>4</v>
      </c>
      <c r="B527" s="47" t="s">
        <v>1029</v>
      </c>
      <c r="C527" s="47">
        <v>9901030239</v>
      </c>
      <c r="D527" s="47" t="s">
        <v>1030</v>
      </c>
      <c r="E527" s="47" t="s">
        <v>261</v>
      </c>
      <c r="F527" s="47"/>
      <c r="G527" s="47"/>
      <c r="H527" s="47"/>
      <c r="I527" s="48">
        <v>55700000</v>
      </c>
      <c r="J527" s="167">
        <f>ROUND(((100%+$M$523)*Table5168[[#This Row],[قیمت (ریال)]])*(100%+$M$524),-6)</f>
        <v>67000000</v>
      </c>
      <c r="L527" s="10"/>
      <c r="M527" s="10"/>
      <c r="N527" s="29"/>
      <c r="T527">
        <v>412</v>
      </c>
    </row>
    <row r="528" spans="1:20" customFormat="1">
      <c r="A528" s="47">
        <v>5</v>
      </c>
      <c r="B528" s="47" t="s">
        <v>1029</v>
      </c>
      <c r="C528" s="47">
        <v>9901030240</v>
      </c>
      <c r="D528" s="47" t="s">
        <v>1031</v>
      </c>
      <c r="E528" s="47" t="s">
        <v>261</v>
      </c>
      <c r="F528" s="47"/>
      <c r="G528" s="47"/>
      <c r="H528" s="47"/>
      <c r="I528" s="48">
        <v>67700000</v>
      </c>
      <c r="J528" s="167">
        <f>ROUND(((100%+$M$523)*Table5168[[#This Row],[قیمت (ریال)]])*(100%+$M$524),-6)</f>
        <v>81000000</v>
      </c>
      <c r="L528" s="10"/>
      <c r="M528" s="10"/>
      <c r="N528" s="29"/>
      <c r="T528">
        <v>413</v>
      </c>
    </row>
    <row r="529" spans="1:20" customFormat="1">
      <c r="A529" s="47">
        <v>6</v>
      </c>
      <c r="B529" s="47" t="s">
        <v>1029</v>
      </c>
      <c r="C529" s="47">
        <v>9901030322</v>
      </c>
      <c r="D529" s="47" t="s">
        <v>1032</v>
      </c>
      <c r="E529" s="47" t="s">
        <v>261</v>
      </c>
      <c r="F529" s="47"/>
      <c r="G529" s="47"/>
      <c r="H529" s="47"/>
      <c r="I529" s="48">
        <v>207200000</v>
      </c>
      <c r="J529" s="167">
        <f>ROUND(((100%+$M$523)*Table5168[[#This Row],[قیمت (ریال)]])*(100%+$M$524),-6)</f>
        <v>249000000</v>
      </c>
      <c r="L529" s="10"/>
      <c r="M529" s="10"/>
      <c r="N529" s="29"/>
      <c r="T529">
        <v>414</v>
      </c>
    </row>
    <row r="530" spans="1:20" customFormat="1">
      <c r="A530" s="47">
        <v>7</v>
      </c>
      <c r="B530" s="47" t="s">
        <v>1029</v>
      </c>
      <c r="C530" s="47">
        <v>9901030320</v>
      </c>
      <c r="D530" s="47" t="s">
        <v>1494</v>
      </c>
      <c r="E530" s="47" t="s">
        <v>261</v>
      </c>
      <c r="F530" s="47"/>
      <c r="G530" s="47"/>
      <c r="H530" s="47"/>
      <c r="I530" s="48">
        <v>36200000</v>
      </c>
      <c r="J530" s="167">
        <f>ROUND(((100%+$M$523)*Table5168[[#This Row],[قیمت (ریال)]])*(100%+$M$524),-6)</f>
        <v>43000000</v>
      </c>
      <c r="L530" s="10"/>
      <c r="M530" s="10"/>
      <c r="N530" s="29"/>
      <c r="T530">
        <v>415</v>
      </c>
    </row>
    <row r="531" spans="1:20" customFormat="1">
      <c r="A531" s="47"/>
      <c r="B531" s="47"/>
      <c r="C531" s="47"/>
      <c r="D531" s="47"/>
      <c r="E531" s="47"/>
      <c r="F531" s="47"/>
      <c r="G531" s="47"/>
      <c r="H531" s="47"/>
      <c r="I531" s="48"/>
      <c r="J531" s="167"/>
      <c r="L531" s="10"/>
      <c r="M531" s="10"/>
      <c r="N531" s="29"/>
    </row>
    <row r="532" spans="1:20" customFormat="1">
      <c r="A532" s="47"/>
      <c r="B532" s="47"/>
      <c r="C532" s="47"/>
      <c r="D532" s="47"/>
      <c r="E532" s="47"/>
      <c r="F532" s="47"/>
      <c r="G532" s="47"/>
      <c r="H532" s="47"/>
      <c r="I532" s="48"/>
      <c r="J532" s="168"/>
      <c r="L532" s="10"/>
      <c r="M532" s="10"/>
      <c r="N532" s="29"/>
    </row>
    <row r="533" spans="1:20" customFormat="1" ht="19.5" thickBot="1">
      <c r="A533" s="47"/>
      <c r="B533" s="47"/>
      <c r="C533" s="47"/>
      <c r="D533" s="47"/>
      <c r="E533" s="47"/>
      <c r="F533" s="47"/>
      <c r="G533" s="47"/>
      <c r="H533" s="47"/>
      <c r="I533" s="48"/>
      <c r="J533" s="168"/>
      <c r="L533" s="10"/>
      <c r="M533" s="10"/>
      <c r="N533" s="29"/>
    </row>
    <row r="534" spans="1:20" customFormat="1">
      <c r="A534" s="50" t="s">
        <v>0</v>
      </c>
      <c r="B534" s="50" t="s">
        <v>530</v>
      </c>
      <c r="C534" s="50" t="s">
        <v>1</v>
      </c>
      <c r="D534" s="50" t="s">
        <v>448</v>
      </c>
      <c r="E534" s="50" t="s">
        <v>767</v>
      </c>
      <c r="F534" s="50" t="s">
        <v>768</v>
      </c>
      <c r="G534" s="50" t="s">
        <v>769</v>
      </c>
      <c r="H534" s="50" t="s">
        <v>770</v>
      </c>
      <c r="I534" s="51" t="s">
        <v>251</v>
      </c>
      <c r="J534" s="166" t="s">
        <v>431</v>
      </c>
      <c r="L534" s="120" t="s">
        <v>777</v>
      </c>
      <c r="M534" s="121">
        <v>0.2</v>
      </c>
      <c r="N534" s="29"/>
    </row>
    <row r="535" spans="1:20" ht="19.5" thickBot="1">
      <c r="A535" s="47">
        <v>1</v>
      </c>
      <c r="B535" s="47" t="s">
        <v>1033</v>
      </c>
      <c r="C535" s="47">
        <v>9901060001</v>
      </c>
      <c r="D535" s="47" t="s">
        <v>1034</v>
      </c>
      <c r="E535" s="47" t="s">
        <v>1035</v>
      </c>
      <c r="I535" s="48">
        <v>62400000</v>
      </c>
      <c r="J535" s="167">
        <f>ROUND(((100%+$M$534)*Table5269[[#This Row],[قیمت (ریال)]])*(100%+$M$535),-6)</f>
        <v>75000000</v>
      </c>
      <c r="L535" s="122" t="s">
        <v>779</v>
      </c>
      <c r="M535" s="123">
        <v>0</v>
      </c>
      <c r="T535" s="29">
        <v>416</v>
      </c>
    </row>
    <row r="536" spans="1:20">
      <c r="A536" s="47">
        <v>2</v>
      </c>
      <c r="B536" s="47" t="s">
        <v>1033</v>
      </c>
      <c r="C536" s="47">
        <v>9901060002</v>
      </c>
      <c r="D536" s="47" t="s">
        <v>1036</v>
      </c>
      <c r="E536" s="47" t="s">
        <v>1037</v>
      </c>
      <c r="I536" s="48">
        <v>23400000</v>
      </c>
      <c r="J536" s="167">
        <f>ROUND(((100%+$M$534)*Table5269[[#This Row],[قیمت (ریال)]])*(100%+$M$535),-6)</f>
        <v>28000000</v>
      </c>
      <c r="T536" s="29">
        <v>417</v>
      </c>
    </row>
    <row r="537" spans="1:20">
      <c r="A537" s="47">
        <v>3</v>
      </c>
      <c r="B537" s="47" t="s">
        <v>1033</v>
      </c>
      <c r="C537" s="47">
        <v>9901060003</v>
      </c>
      <c r="D537" s="47" t="s">
        <v>1038</v>
      </c>
      <c r="E537" s="47" t="s">
        <v>1039</v>
      </c>
      <c r="I537" s="48">
        <v>30000000</v>
      </c>
      <c r="J537" s="167">
        <f>ROUND(((100%+$M$534)*Table5269[[#This Row],[قیمت (ریال)]])*(100%+$M$535),-6)</f>
        <v>36000000</v>
      </c>
      <c r="T537" s="29">
        <v>418</v>
      </c>
    </row>
    <row r="538" spans="1:20" customFormat="1">
      <c r="A538" s="47">
        <v>4</v>
      </c>
      <c r="B538" s="47" t="s">
        <v>1033</v>
      </c>
      <c r="C538" s="47">
        <v>9901060015</v>
      </c>
      <c r="D538" s="47" t="s">
        <v>1040</v>
      </c>
      <c r="E538" s="47" t="s">
        <v>1041</v>
      </c>
      <c r="F538" s="47"/>
      <c r="G538" s="47"/>
      <c r="H538" s="47"/>
      <c r="I538" s="48">
        <v>247800000</v>
      </c>
      <c r="J538" s="167">
        <f>ROUND(((100%+$M$534)*Table5269[[#This Row],[قیمت (ریال)]])*(100%+$M$535),-6)</f>
        <v>297000000</v>
      </c>
      <c r="L538" s="124"/>
      <c r="M538" s="124"/>
      <c r="N538" s="29"/>
      <c r="T538" s="29">
        <v>419</v>
      </c>
    </row>
    <row r="539" spans="1:20" customFormat="1">
      <c r="A539" s="47">
        <v>5</v>
      </c>
      <c r="B539" s="47" t="s">
        <v>1033</v>
      </c>
      <c r="C539" s="47">
        <v>9901060019</v>
      </c>
      <c r="D539" s="47" t="s">
        <v>1495</v>
      </c>
      <c r="E539" s="47"/>
      <c r="F539" s="47"/>
      <c r="G539" s="47"/>
      <c r="H539" s="47"/>
      <c r="I539" s="48">
        <v>849000000</v>
      </c>
      <c r="J539" s="167">
        <f>ROUND(((100%+$M$534)*Table5269[[#This Row],[قیمت (ریال)]])*(100%+$M$535),-6)</f>
        <v>1019000000</v>
      </c>
      <c r="L539" s="10"/>
      <c r="M539" s="10"/>
      <c r="N539" s="29"/>
      <c r="T539" s="29">
        <v>420</v>
      </c>
    </row>
    <row r="540" spans="1:20" customFormat="1">
      <c r="A540" s="47">
        <v>6</v>
      </c>
      <c r="B540" s="47" t="s">
        <v>1033</v>
      </c>
      <c r="C540" s="47">
        <v>9901060020</v>
      </c>
      <c r="D540" s="47" t="s">
        <v>1496</v>
      </c>
      <c r="E540" s="47"/>
      <c r="F540" s="47"/>
      <c r="G540" s="47"/>
      <c r="H540" s="47"/>
      <c r="I540" s="48">
        <v>849000000</v>
      </c>
      <c r="J540" s="167">
        <f>ROUND(((100%+$M$534)*Table5269[[#This Row],[قیمت (ریال)]])*(100%+$M$535),-6)</f>
        <v>1019000000</v>
      </c>
      <c r="L540" s="10"/>
      <c r="M540" s="10"/>
      <c r="N540" s="29"/>
      <c r="T540" s="29">
        <v>421</v>
      </c>
    </row>
    <row r="541" spans="1:20" customFormat="1">
      <c r="A541" s="47">
        <v>7</v>
      </c>
      <c r="B541" s="47" t="s">
        <v>1033</v>
      </c>
      <c r="C541" s="47">
        <v>9901060021</v>
      </c>
      <c r="D541" s="47" t="s">
        <v>1497</v>
      </c>
      <c r="E541" s="47"/>
      <c r="F541" s="47"/>
      <c r="G541" s="47"/>
      <c r="H541" s="47"/>
      <c r="I541" s="48">
        <v>967000000</v>
      </c>
      <c r="J541" s="167">
        <f>ROUND(((100%+$M$534)*Table5269[[#This Row],[قیمت (ریال)]])*(100%+$M$535),-6)</f>
        <v>1160000000</v>
      </c>
      <c r="L541" s="10"/>
      <c r="M541" s="10"/>
      <c r="N541" s="29"/>
      <c r="T541" s="29">
        <v>422</v>
      </c>
    </row>
    <row r="542" spans="1:20" customFormat="1">
      <c r="A542" s="47">
        <v>8</v>
      </c>
      <c r="B542" s="47" t="s">
        <v>1033</v>
      </c>
      <c r="C542" s="47">
        <v>9901060022</v>
      </c>
      <c r="D542" s="47" t="s">
        <v>1498</v>
      </c>
      <c r="E542" s="47"/>
      <c r="F542" s="47"/>
      <c r="G542" s="47"/>
      <c r="H542" s="47"/>
      <c r="I542" s="48">
        <v>1179400000</v>
      </c>
      <c r="J542" s="167">
        <f>ROUND(((100%+$M$534)*Table5269[[#This Row],[قیمت (ریال)]])*(100%+$M$535),-6)</f>
        <v>1415000000</v>
      </c>
      <c r="L542" s="10"/>
      <c r="M542" s="10"/>
      <c r="N542" s="29"/>
      <c r="T542" s="29">
        <v>423</v>
      </c>
    </row>
    <row r="543" spans="1:20" customFormat="1">
      <c r="A543" s="47">
        <v>9</v>
      </c>
      <c r="B543" s="47" t="s">
        <v>1033</v>
      </c>
      <c r="C543" s="47">
        <v>9901060024</v>
      </c>
      <c r="D543" s="47" t="s">
        <v>1499</v>
      </c>
      <c r="E543" s="47"/>
      <c r="F543" s="47"/>
      <c r="G543" s="47"/>
      <c r="H543" s="47"/>
      <c r="I543" s="48">
        <v>599000000</v>
      </c>
      <c r="J543" s="167">
        <f>ROUND(((100%+$M$534)*Table5269[[#This Row],[قیمت (ریال)]])*(100%+$M$535),-6)</f>
        <v>719000000</v>
      </c>
      <c r="L543" s="10"/>
      <c r="M543" s="10"/>
      <c r="N543" s="29"/>
      <c r="T543" s="29">
        <v>424</v>
      </c>
    </row>
    <row r="544" spans="1:20">
      <c r="A544" s="47">
        <v>10</v>
      </c>
      <c r="B544" s="47" t="s">
        <v>1033</v>
      </c>
      <c r="C544" s="47">
        <v>9901060025</v>
      </c>
      <c r="D544" s="47" t="s">
        <v>1500</v>
      </c>
      <c r="I544" s="48">
        <v>550300000</v>
      </c>
      <c r="J544" s="167">
        <f>ROUND(((100%+$M$534)*Table5269[[#This Row],[قیمت (ریال)]])*(100%+$M$535),-6)</f>
        <v>660000000</v>
      </c>
      <c r="T544" s="29">
        <v>425</v>
      </c>
    </row>
    <row r="545" spans="1:20">
      <c r="A545" s="47">
        <v>11</v>
      </c>
      <c r="B545" s="47" t="s">
        <v>1033</v>
      </c>
      <c r="C545" s="47">
        <v>9901060026</v>
      </c>
      <c r="D545" s="47" t="s">
        <v>1501</v>
      </c>
      <c r="I545" s="48">
        <v>746900000</v>
      </c>
      <c r="J545" s="167">
        <f>ROUND(((100%+$M$534)*Table5269[[#This Row],[قیمت (ریال)]])*(100%+$M$535),-6)</f>
        <v>896000000</v>
      </c>
      <c r="T545" s="29">
        <v>426</v>
      </c>
    </row>
    <row r="546" spans="1:20">
      <c r="J546" s="168"/>
    </row>
    <row r="547" spans="1:20" customFormat="1">
      <c r="A547" s="47"/>
      <c r="B547" s="47"/>
      <c r="C547" s="47"/>
      <c r="D547" s="47"/>
      <c r="E547" s="47"/>
      <c r="F547" s="47"/>
      <c r="G547" s="47"/>
      <c r="H547" s="47"/>
      <c r="I547" s="48"/>
      <c r="J547" s="168"/>
      <c r="L547" s="10"/>
      <c r="M547" s="10"/>
      <c r="N547" s="29"/>
    </row>
    <row r="548" spans="1:20" customFormat="1" ht="19.5" thickBot="1">
      <c r="A548" s="47"/>
      <c r="B548" s="47"/>
      <c r="C548" s="47"/>
      <c r="D548" s="47"/>
      <c r="E548" s="47"/>
      <c r="F548" s="47"/>
      <c r="G548" s="47"/>
      <c r="H548" s="47"/>
      <c r="I548" s="48"/>
      <c r="J548" s="168"/>
      <c r="L548" s="124"/>
      <c r="M548" s="124"/>
      <c r="N548" s="29"/>
    </row>
    <row r="549" spans="1:20" customFormat="1">
      <c r="A549" s="50" t="s">
        <v>0</v>
      </c>
      <c r="B549" s="50" t="s">
        <v>530</v>
      </c>
      <c r="C549" s="50" t="s">
        <v>1</v>
      </c>
      <c r="D549" s="50" t="s">
        <v>448</v>
      </c>
      <c r="E549" s="50" t="s">
        <v>767</v>
      </c>
      <c r="F549" s="50" t="s">
        <v>768</v>
      </c>
      <c r="G549" s="50" t="s">
        <v>769</v>
      </c>
      <c r="H549" s="50" t="s">
        <v>770</v>
      </c>
      <c r="I549" s="51" t="s">
        <v>251</v>
      </c>
      <c r="J549" s="166" t="s">
        <v>431</v>
      </c>
      <c r="L549" s="120" t="s">
        <v>777</v>
      </c>
      <c r="M549" s="121">
        <v>0.2</v>
      </c>
      <c r="N549" s="29"/>
    </row>
    <row r="550" spans="1:20" customFormat="1" ht="19.5" thickBot="1">
      <c r="A550" s="47">
        <v>1</v>
      </c>
      <c r="B550" s="47" t="s">
        <v>1042</v>
      </c>
      <c r="C550" s="47">
        <v>9901070002</v>
      </c>
      <c r="D550" s="47" t="s">
        <v>1502</v>
      </c>
      <c r="E550" s="47" t="s">
        <v>1503</v>
      </c>
      <c r="F550" s="47"/>
      <c r="G550" s="47"/>
      <c r="H550" s="47"/>
      <c r="I550" s="48">
        <v>127900000</v>
      </c>
      <c r="J550" s="167">
        <f>ROUND(((100%+$M$549)*Table53[[#This Row],[قیمت (ریال)]])*(100%+$M$550),-6)</f>
        <v>153000000</v>
      </c>
      <c r="L550" s="122" t="s">
        <v>779</v>
      </c>
      <c r="M550" s="123">
        <v>0</v>
      </c>
      <c r="N550" s="29"/>
      <c r="T550">
        <v>427</v>
      </c>
    </row>
    <row r="551" spans="1:20" customFormat="1">
      <c r="A551" s="47">
        <v>2</v>
      </c>
      <c r="B551" s="47" t="s">
        <v>1042</v>
      </c>
      <c r="C551" s="47">
        <v>9901070004</v>
      </c>
      <c r="D551" s="47" t="s">
        <v>1504</v>
      </c>
      <c r="E551" s="47" t="s">
        <v>1505</v>
      </c>
      <c r="F551" s="47"/>
      <c r="G551" s="47"/>
      <c r="H551" s="47"/>
      <c r="I551" s="48">
        <v>92400000</v>
      </c>
      <c r="J551" s="167">
        <f>ROUND(((100%+$M$549)*Table53[[#This Row],[قیمت (ریال)]])*(100%+$M$550),-6)</f>
        <v>111000000</v>
      </c>
      <c r="L551" s="10"/>
      <c r="M551" s="10"/>
      <c r="N551" s="29"/>
      <c r="T551">
        <v>428</v>
      </c>
    </row>
    <row r="552" spans="1:20" customFormat="1">
      <c r="A552" s="47">
        <v>3</v>
      </c>
      <c r="B552" s="47" t="s">
        <v>1042</v>
      </c>
      <c r="C552" s="47">
        <v>9901070006</v>
      </c>
      <c r="D552" s="47" t="s">
        <v>1043</v>
      </c>
      <c r="E552" s="47" t="s">
        <v>1044</v>
      </c>
      <c r="F552" s="47"/>
      <c r="G552" s="47"/>
      <c r="H552" s="47"/>
      <c r="I552" s="48">
        <v>108000000</v>
      </c>
      <c r="J552" s="167">
        <f>ROUND(((100%+$M$549)*Table53[[#This Row],[قیمت (ریال)]])*(100%+$M$550),-6)</f>
        <v>130000000</v>
      </c>
      <c r="L552" s="10"/>
      <c r="M552" s="10"/>
      <c r="N552" s="29"/>
      <c r="T552">
        <v>429</v>
      </c>
    </row>
    <row r="553" spans="1:20" customFormat="1">
      <c r="A553" s="47">
        <v>4</v>
      </c>
      <c r="B553" s="47" t="s">
        <v>1042</v>
      </c>
      <c r="C553" s="47">
        <v>9901070008</v>
      </c>
      <c r="D553" s="47" t="s">
        <v>1506</v>
      </c>
      <c r="E553" s="47" t="s">
        <v>1507</v>
      </c>
      <c r="F553" s="47"/>
      <c r="G553" s="47"/>
      <c r="H553" s="47"/>
      <c r="I553" s="48">
        <v>92400000</v>
      </c>
      <c r="J553" s="167">
        <f>ROUND(((100%+$M$549)*Table53[[#This Row],[قیمت (ریال)]])*(100%+$M$550),-6)</f>
        <v>111000000</v>
      </c>
      <c r="L553" s="10"/>
      <c r="M553" s="10"/>
      <c r="N553" s="29"/>
      <c r="T553">
        <v>430</v>
      </c>
    </row>
    <row r="554" spans="1:20" customFormat="1">
      <c r="A554" s="47"/>
      <c r="B554" s="47"/>
      <c r="C554" s="47"/>
      <c r="D554" s="47"/>
      <c r="E554" s="47"/>
      <c r="F554" s="47"/>
      <c r="G554" s="47"/>
      <c r="H554" s="47"/>
      <c r="I554" s="48"/>
      <c r="J554" s="167"/>
      <c r="L554" s="10"/>
      <c r="M554" s="10"/>
      <c r="N554" s="29"/>
    </row>
    <row r="555" spans="1:20" customFormat="1">
      <c r="A555" s="47"/>
      <c r="B555" s="47"/>
      <c r="C555" s="47"/>
      <c r="D555" s="47"/>
      <c r="E555" s="47"/>
      <c r="F555" s="47"/>
      <c r="G555" s="47"/>
      <c r="H555" s="47"/>
      <c r="I555" s="48"/>
      <c r="J555" s="168"/>
      <c r="L555" s="10"/>
      <c r="M555" s="10"/>
      <c r="N555" s="29"/>
    </row>
    <row r="556" spans="1:20" customFormat="1">
      <c r="A556" s="47"/>
      <c r="B556" s="47"/>
      <c r="C556" s="47"/>
      <c r="D556" s="47"/>
      <c r="E556" s="47"/>
      <c r="F556" s="47"/>
      <c r="G556" s="47"/>
      <c r="H556" s="47"/>
      <c r="I556" s="48"/>
      <c r="J556" s="168"/>
      <c r="L556" s="10"/>
      <c r="M556" s="10"/>
      <c r="N556" s="29"/>
    </row>
    <row r="557" spans="1:20" customFormat="1" ht="19.5" thickBot="1">
      <c r="A557" s="47"/>
      <c r="B557" s="47"/>
      <c r="C557" s="47"/>
      <c r="D557" s="47"/>
      <c r="E557" s="47"/>
      <c r="F557" s="47"/>
      <c r="G557" s="47"/>
      <c r="H557" s="47"/>
      <c r="I557" s="48"/>
      <c r="J557" s="168"/>
      <c r="L557" s="10"/>
      <c r="M557" s="10"/>
      <c r="N557" s="29"/>
    </row>
    <row r="558" spans="1:20">
      <c r="A558" s="50" t="s">
        <v>0</v>
      </c>
      <c r="B558" s="50" t="s">
        <v>530</v>
      </c>
      <c r="C558" s="50" t="s">
        <v>1</v>
      </c>
      <c r="D558" s="50" t="s">
        <v>448</v>
      </c>
      <c r="E558" s="50" t="s">
        <v>767</v>
      </c>
      <c r="F558" s="50" t="s">
        <v>768</v>
      </c>
      <c r="G558" s="50" t="s">
        <v>769</v>
      </c>
      <c r="H558" s="50" t="s">
        <v>770</v>
      </c>
      <c r="I558" s="51" t="s">
        <v>251</v>
      </c>
      <c r="J558" s="166" t="s">
        <v>431</v>
      </c>
      <c r="L558" s="120" t="s">
        <v>777</v>
      </c>
      <c r="M558" s="121">
        <v>0.2</v>
      </c>
    </row>
    <row r="559" spans="1:20" ht="19.5" thickBot="1">
      <c r="A559" s="47">
        <v>1</v>
      </c>
      <c r="B559" s="47" t="s">
        <v>1045</v>
      </c>
      <c r="C559" s="47">
        <v>9901030250</v>
      </c>
      <c r="D559" s="47" t="s">
        <v>1046</v>
      </c>
      <c r="E559" s="47" t="s">
        <v>261</v>
      </c>
      <c r="I559" s="48">
        <v>593000000</v>
      </c>
      <c r="J559" s="167">
        <f>ROUND(((100%+$M$558)*Table54[[#This Row],[قیمت (ریال)]])*(100%+$M$559),-6)</f>
        <v>712000000</v>
      </c>
      <c r="L559" s="122" t="s">
        <v>779</v>
      </c>
      <c r="M559" s="123">
        <v>0</v>
      </c>
      <c r="T559" s="162">
        <v>431</v>
      </c>
    </row>
    <row r="560" spans="1:20" customFormat="1">
      <c r="A560" s="47">
        <v>2</v>
      </c>
      <c r="B560" s="47" t="s">
        <v>1045</v>
      </c>
      <c r="C560" s="47">
        <v>9901030251</v>
      </c>
      <c r="D560" s="47" t="s">
        <v>1047</v>
      </c>
      <c r="E560" s="47" t="s">
        <v>261</v>
      </c>
      <c r="F560" s="47"/>
      <c r="G560" s="47"/>
      <c r="H560" s="47"/>
      <c r="I560" s="48">
        <v>322900000</v>
      </c>
      <c r="J560" s="167">
        <f>ROUND(((100%+$M$558)*Table54[[#This Row],[قیمت (ریال)]])*(100%+$M$559),-6)</f>
        <v>387000000</v>
      </c>
      <c r="L560" s="124"/>
      <c r="M560" s="124"/>
      <c r="N560" s="29"/>
      <c r="T560" s="161">
        <v>432</v>
      </c>
    </row>
    <row r="561" spans="1:20" customFormat="1">
      <c r="A561" s="47">
        <v>3</v>
      </c>
      <c r="B561" s="47" t="s">
        <v>1045</v>
      </c>
      <c r="C561" s="47">
        <v>9901030391</v>
      </c>
      <c r="D561" s="47" t="s">
        <v>1508</v>
      </c>
      <c r="E561" s="47" t="s">
        <v>1509</v>
      </c>
      <c r="F561" s="47"/>
      <c r="G561" s="47"/>
      <c r="H561" s="47"/>
      <c r="I561" s="48">
        <v>919900000</v>
      </c>
      <c r="J561" s="167">
        <f>ROUND(((100%+$M$558)*Table54[[#This Row],[قیمت (ریال)]])*(100%+$M$559),-6)</f>
        <v>1104000000</v>
      </c>
      <c r="L561" s="10"/>
      <c r="M561" s="10"/>
      <c r="N561" s="29"/>
      <c r="T561" s="162">
        <v>433</v>
      </c>
    </row>
    <row r="562" spans="1:20" customFormat="1">
      <c r="A562" s="47">
        <v>4</v>
      </c>
      <c r="B562" s="47" t="s">
        <v>1045</v>
      </c>
      <c r="C562" s="47">
        <v>9901030393</v>
      </c>
      <c r="D562" s="47" t="s">
        <v>1510</v>
      </c>
      <c r="E562" s="47" t="s">
        <v>1509</v>
      </c>
      <c r="F562" s="47"/>
      <c r="G562" s="47"/>
      <c r="H562" s="47"/>
      <c r="I562" s="48">
        <v>919900000</v>
      </c>
      <c r="J562" s="167">
        <f>ROUND(((100%+$M$558)*Table54[[#This Row],[قیمت (ریال)]])*(100%+$M$559),-6)</f>
        <v>1104000000</v>
      </c>
      <c r="L562" s="10"/>
      <c r="M562" s="10"/>
      <c r="N562" s="29"/>
      <c r="T562" s="161">
        <v>434</v>
      </c>
    </row>
    <row r="563" spans="1:20" customFormat="1">
      <c r="A563" s="47">
        <v>5</v>
      </c>
      <c r="B563" s="47" t="s">
        <v>1045</v>
      </c>
      <c r="C563" s="47">
        <v>9901030394</v>
      </c>
      <c r="D563" s="47" t="s">
        <v>1511</v>
      </c>
      <c r="E563" s="47" t="s">
        <v>1509</v>
      </c>
      <c r="F563" s="47"/>
      <c r="G563" s="47"/>
      <c r="H563" s="47"/>
      <c r="I563" s="48">
        <v>919900000</v>
      </c>
      <c r="J563" s="167">
        <f>ROUND(((100%+$M$558)*Table54[[#This Row],[قیمت (ریال)]])*(100%+$M$559),-6)</f>
        <v>1104000000</v>
      </c>
      <c r="L563" s="10"/>
      <c r="M563" s="10"/>
      <c r="N563" s="29"/>
      <c r="T563" s="162">
        <v>435</v>
      </c>
    </row>
    <row r="564" spans="1:20" customFormat="1">
      <c r="A564" s="47">
        <v>6</v>
      </c>
      <c r="B564" s="47" t="s">
        <v>1045</v>
      </c>
      <c r="C564" s="47">
        <v>9901030426</v>
      </c>
      <c r="D564" s="47" t="s">
        <v>1048</v>
      </c>
      <c r="E564" s="47" t="s">
        <v>261</v>
      </c>
      <c r="F564" s="47"/>
      <c r="G564" s="47"/>
      <c r="H564" s="47"/>
      <c r="I564" s="48">
        <v>615700000</v>
      </c>
      <c r="J564" s="167">
        <f>ROUND(((100%+$M$558)*Table54[[#This Row],[قیمت (ریال)]])*(100%+$M$559),-6)</f>
        <v>739000000</v>
      </c>
      <c r="L564" s="10"/>
      <c r="M564" s="10"/>
      <c r="N564" s="29"/>
      <c r="T564" s="161">
        <v>436</v>
      </c>
    </row>
    <row r="565" spans="1:20" customFormat="1">
      <c r="A565" s="47">
        <v>7</v>
      </c>
      <c r="B565" s="47" t="s">
        <v>1045</v>
      </c>
      <c r="C565" s="47">
        <v>9901030434</v>
      </c>
      <c r="D565" s="47" t="s">
        <v>1512</v>
      </c>
      <c r="E565" s="47" t="s">
        <v>261</v>
      </c>
      <c r="F565" s="47"/>
      <c r="G565" s="47"/>
      <c r="H565" s="47"/>
      <c r="I565" s="48">
        <v>868000000</v>
      </c>
      <c r="J565" s="167">
        <f>ROUND(((100%+$M$558)*Table54[[#This Row],[قیمت (ریال)]])*(100%+$M$559),-6)</f>
        <v>1042000000</v>
      </c>
      <c r="L565" s="10"/>
      <c r="M565" s="10"/>
      <c r="N565" s="29"/>
      <c r="T565" s="162">
        <v>437</v>
      </c>
    </row>
    <row r="566" spans="1:20" customFormat="1">
      <c r="A566" s="47">
        <v>8</v>
      </c>
      <c r="B566" s="47" t="s">
        <v>1045</v>
      </c>
      <c r="C566" s="47">
        <v>9901030437</v>
      </c>
      <c r="D566" s="47" t="s">
        <v>1513</v>
      </c>
      <c r="E566" s="47" t="s">
        <v>261</v>
      </c>
      <c r="F566" s="47"/>
      <c r="G566" s="47"/>
      <c r="H566" s="47"/>
      <c r="I566" s="48">
        <v>868000000</v>
      </c>
      <c r="J566" s="167">
        <f>ROUND(((100%+$M$558)*Table54[[#This Row],[قیمت (ریال)]])*(100%+$M$559),-6)</f>
        <v>1042000000</v>
      </c>
      <c r="L566" s="10"/>
      <c r="M566" s="10"/>
      <c r="N566" s="29"/>
      <c r="T566" s="161">
        <v>438</v>
      </c>
    </row>
    <row r="567" spans="1:20" customFormat="1">
      <c r="A567" s="47">
        <v>9</v>
      </c>
      <c r="B567" s="47" t="s">
        <v>1045</v>
      </c>
      <c r="C567" s="47">
        <v>9901030438</v>
      </c>
      <c r="D567" s="47" t="s">
        <v>1049</v>
      </c>
      <c r="E567" s="47" t="s">
        <v>261</v>
      </c>
      <c r="F567" s="47"/>
      <c r="G567" s="47"/>
      <c r="H567" s="47"/>
      <c r="I567" s="48">
        <v>522500000</v>
      </c>
      <c r="J567" s="167">
        <f>ROUND(((100%+$M$558)*Table54[[#This Row],[قیمت (ریال)]])*(100%+$M$559),-6)</f>
        <v>627000000</v>
      </c>
      <c r="L567" s="10"/>
      <c r="M567" s="10"/>
      <c r="N567" s="29"/>
      <c r="T567" s="162">
        <v>439</v>
      </c>
    </row>
    <row r="568" spans="1:20" customFormat="1">
      <c r="A568" s="47"/>
      <c r="B568" s="47"/>
      <c r="C568" s="47"/>
      <c r="D568" s="47"/>
      <c r="E568" s="47"/>
      <c r="F568" s="47"/>
      <c r="G568" s="47"/>
      <c r="H568" s="47"/>
      <c r="I568" s="48"/>
      <c r="J568" s="167"/>
      <c r="L568" s="10"/>
      <c r="M568" s="10"/>
      <c r="N568" s="29"/>
    </row>
    <row r="569" spans="1:20" customFormat="1">
      <c r="A569" s="47"/>
      <c r="B569" s="47"/>
      <c r="C569" s="47"/>
      <c r="D569" s="47"/>
      <c r="E569" s="47"/>
      <c r="F569" s="47"/>
      <c r="G569" s="47"/>
      <c r="H569" s="47"/>
      <c r="I569" s="48"/>
      <c r="J569" s="168"/>
      <c r="L569" s="10"/>
      <c r="M569" s="10"/>
      <c r="N569" s="29"/>
    </row>
    <row r="570" spans="1:20" customFormat="1" ht="19.5" thickBot="1">
      <c r="A570" s="47"/>
      <c r="B570" s="47"/>
      <c r="C570" s="47"/>
      <c r="D570" s="47"/>
      <c r="E570" s="47"/>
      <c r="F570" s="47"/>
      <c r="G570" s="47"/>
      <c r="H570" s="47"/>
      <c r="I570" s="48"/>
      <c r="J570" s="168"/>
      <c r="L570" s="10"/>
      <c r="M570" s="10"/>
      <c r="N570" s="29"/>
    </row>
    <row r="571" spans="1:20" customFormat="1">
      <c r="A571" s="50" t="s">
        <v>0</v>
      </c>
      <c r="B571" s="50" t="s">
        <v>530</v>
      </c>
      <c r="C571" s="50" t="s">
        <v>1</v>
      </c>
      <c r="D571" s="50" t="s">
        <v>448</v>
      </c>
      <c r="E571" s="50" t="s">
        <v>767</v>
      </c>
      <c r="F571" s="50" t="s">
        <v>768</v>
      </c>
      <c r="G571" s="50" t="s">
        <v>769</v>
      </c>
      <c r="H571" s="50" t="s">
        <v>770</v>
      </c>
      <c r="I571" s="51" t="s">
        <v>251</v>
      </c>
      <c r="J571" s="166" t="s">
        <v>431</v>
      </c>
      <c r="L571" s="120" t="s">
        <v>777</v>
      </c>
      <c r="M571" s="121">
        <v>0.2</v>
      </c>
      <c r="N571" s="29"/>
    </row>
    <row r="572" spans="1:20" customFormat="1" ht="19.5" thickBot="1">
      <c r="A572" s="47">
        <v>1</v>
      </c>
      <c r="B572" s="47" t="s">
        <v>1050</v>
      </c>
      <c r="C572" s="47">
        <v>9901030014</v>
      </c>
      <c r="D572" s="47" t="s">
        <v>1514</v>
      </c>
      <c r="E572" s="47" t="s">
        <v>261</v>
      </c>
      <c r="F572" s="47"/>
      <c r="G572" s="47"/>
      <c r="H572" s="47"/>
      <c r="I572" s="48">
        <v>81600000</v>
      </c>
      <c r="J572" s="167">
        <f>ROUND(((100%+$M$571)*Table55[[#This Row],[قیمت (ریال)]])*(100%+$M$572),-6)</f>
        <v>98000000</v>
      </c>
      <c r="L572" s="122" t="s">
        <v>779</v>
      </c>
      <c r="M572" s="123">
        <v>0</v>
      </c>
      <c r="N572" s="29"/>
      <c r="T572">
        <v>440</v>
      </c>
    </row>
    <row r="573" spans="1:20" customFormat="1">
      <c r="A573" s="47">
        <v>2</v>
      </c>
      <c r="B573" s="47" t="s">
        <v>1050</v>
      </c>
      <c r="C573" s="47">
        <v>9901030015</v>
      </c>
      <c r="D573" s="47" t="s">
        <v>1515</v>
      </c>
      <c r="E573" s="47" t="s">
        <v>261</v>
      </c>
      <c r="F573" s="47"/>
      <c r="G573" s="47"/>
      <c r="H573" s="47"/>
      <c r="I573" s="48">
        <v>81600000</v>
      </c>
      <c r="J573" s="167">
        <f>ROUND(((100%+$M$571)*Table55[[#This Row],[قیمت (ریال)]])*(100%+$M$572),-6)</f>
        <v>98000000</v>
      </c>
      <c r="L573" s="10"/>
      <c r="M573" s="10"/>
      <c r="N573" s="29"/>
      <c r="T573">
        <v>441</v>
      </c>
    </row>
    <row r="574" spans="1:20" customFormat="1">
      <c r="A574" s="47">
        <v>3</v>
      </c>
      <c r="B574" s="47" t="s">
        <v>1050</v>
      </c>
      <c r="C574" s="47">
        <v>9901030016</v>
      </c>
      <c r="D574" s="47" t="s">
        <v>1516</v>
      </c>
      <c r="E574" s="47" t="s">
        <v>261</v>
      </c>
      <c r="F574" s="47"/>
      <c r="G574" s="47"/>
      <c r="H574" s="47"/>
      <c r="I574" s="48">
        <v>129600000</v>
      </c>
      <c r="J574" s="167">
        <f>ROUND(((100%+$M$571)*Table55[[#This Row],[قیمت (ریال)]])*(100%+$M$572),-6)</f>
        <v>156000000</v>
      </c>
      <c r="L574" s="124"/>
      <c r="M574" s="124"/>
      <c r="N574" s="29"/>
      <c r="T574">
        <v>442</v>
      </c>
    </row>
    <row r="575" spans="1:20" customFormat="1">
      <c r="A575" s="47">
        <v>4</v>
      </c>
      <c r="B575" s="47" t="s">
        <v>1050</v>
      </c>
      <c r="C575" s="47">
        <v>9901030017</v>
      </c>
      <c r="D575" s="47" t="s">
        <v>1517</v>
      </c>
      <c r="E575" s="47" t="s">
        <v>261</v>
      </c>
      <c r="F575" s="47"/>
      <c r="G575" s="47"/>
      <c r="H575" s="47"/>
      <c r="I575" s="48">
        <v>120000000</v>
      </c>
      <c r="J575" s="167">
        <f>ROUND(((100%+$M$571)*Table55[[#This Row],[قیمت (ریال)]])*(100%+$M$572),-6)</f>
        <v>144000000</v>
      </c>
      <c r="L575" s="124"/>
      <c r="M575" s="124"/>
      <c r="N575" s="29"/>
      <c r="T575">
        <v>443</v>
      </c>
    </row>
    <row r="576" spans="1:20" customFormat="1">
      <c r="A576" s="47">
        <v>5</v>
      </c>
      <c r="B576" s="47" t="s">
        <v>1050</v>
      </c>
      <c r="C576" s="47">
        <v>9901030021</v>
      </c>
      <c r="D576" s="47" t="s">
        <v>1051</v>
      </c>
      <c r="E576" s="47" t="s">
        <v>261</v>
      </c>
      <c r="F576" s="47"/>
      <c r="G576" s="47"/>
      <c r="H576" s="47"/>
      <c r="I576" s="48">
        <v>86400000</v>
      </c>
      <c r="J576" s="167">
        <f>ROUND(((100%+$M$571)*Table55[[#This Row],[قیمت (ریال)]])*(100%+$M$572),-6)</f>
        <v>104000000</v>
      </c>
      <c r="L576" s="10"/>
      <c r="M576" s="10"/>
      <c r="N576" s="29"/>
      <c r="T576">
        <v>444</v>
      </c>
    </row>
    <row r="577" spans="1:20" customFormat="1">
      <c r="A577" s="47">
        <v>6</v>
      </c>
      <c r="B577" s="47" t="s">
        <v>1050</v>
      </c>
      <c r="C577" s="47">
        <v>9901030195</v>
      </c>
      <c r="D577" s="47" t="s">
        <v>1518</v>
      </c>
      <c r="E577" s="47" t="s">
        <v>261</v>
      </c>
      <c r="F577" s="47"/>
      <c r="G577" s="47"/>
      <c r="H577" s="47"/>
      <c r="I577" s="48">
        <v>184000000</v>
      </c>
      <c r="J577" s="167">
        <f>ROUND(((100%+$M$571)*Table55[[#This Row],[قیمت (ریال)]])*(100%+$M$572),-6)</f>
        <v>221000000</v>
      </c>
      <c r="L577" s="10"/>
      <c r="M577" s="10"/>
      <c r="N577" s="29"/>
      <c r="T577">
        <v>445</v>
      </c>
    </row>
    <row r="578" spans="1:20" customFormat="1">
      <c r="A578" s="47">
        <v>7</v>
      </c>
      <c r="B578" s="47" t="s">
        <v>1050</v>
      </c>
      <c r="C578" s="47">
        <v>9901030197</v>
      </c>
      <c r="D578" s="47" t="s">
        <v>1519</v>
      </c>
      <c r="E578" s="47" t="s">
        <v>261</v>
      </c>
      <c r="F578" s="47"/>
      <c r="G578" s="47"/>
      <c r="H578" s="47"/>
      <c r="I578" s="48">
        <v>313800000</v>
      </c>
      <c r="J578" s="167">
        <f>ROUND(((100%+$M$571)*Table55[[#This Row],[قیمت (ریال)]])*(100%+$M$572),-6)</f>
        <v>377000000</v>
      </c>
      <c r="L578" s="10"/>
      <c r="M578" s="10"/>
      <c r="N578" s="29"/>
      <c r="T578">
        <v>446</v>
      </c>
    </row>
    <row r="579" spans="1:20">
      <c r="A579" s="47">
        <v>8</v>
      </c>
      <c r="B579" s="47" t="s">
        <v>1050</v>
      </c>
      <c r="C579" s="47">
        <v>9901030198</v>
      </c>
      <c r="D579" s="47" t="s">
        <v>1520</v>
      </c>
      <c r="E579" s="47" t="s">
        <v>261</v>
      </c>
      <c r="I579" s="48">
        <v>313800000</v>
      </c>
      <c r="J579" s="167">
        <f>ROUND(((100%+$M$571)*Table55[[#This Row],[قیمت (ریال)]])*(100%+$M$572),-6)</f>
        <v>377000000</v>
      </c>
      <c r="T579">
        <v>447</v>
      </c>
    </row>
    <row r="580" spans="1:20">
      <c r="A580" s="47">
        <v>9</v>
      </c>
      <c r="B580" s="47" t="s">
        <v>1050</v>
      </c>
      <c r="C580" s="47">
        <v>9901030199</v>
      </c>
      <c r="D580" s="47" t="s">
        <v>1052</v>
      </c>
      <c r="E580" s="47" t="s">
        <v>261</v>
      </c>
      <c r="I580" s="48">
        <v>248700000</v>
      </c>
      <c r="J580" s="167">
        <f>ROUND(((100%+$M$571)*Table55[[#This Row],[قیمت (ریال)]])*(100%+$M$572),-6)</f>
        <v>298000000</v>
      </c>
      <c r="T580">
        <v>448</v>
      </c>
    </row>
    <row r="581" spans="1:20" customFormat="1">
      <c r="A581" s="47">
        <v>10</v>
      </c>
      <c r="B581" s="47" t="s">
        <v>1050</v>
      </c>
      <c r="C581" s="47">
        <v>9901030201</v>
      </c>
      <c r="D581" s="47" t="s">
        <v>1521</v>
      </c>
      <c r="E581" s="47" t="s">
        <v>261</v>
      </c>
      <c r="F581" s="47"/>
      <c r="G581" s="47"/>
      <c r="H581" s="47"/>
      <c r="I581" s="48">
        <v>217000000</v>
      </c>
      <c r="J581" s="167">
        <f>ROUND(((100%+$M$571)*Table55[[#This Row],[قیمت (ریال)]])*(100%+$M$572),-6)</f>
        <v>260000000</v>
      </c>
      <c r="L581" s="10"/>
      <c r="M581" s="10"/>
      <c r="N581" s="29"/>
      <c r="T581">
        <v>449</v>
      </c>
    </row>
    <row r="582" spans="1:20" customFormat="1">
      <c r="A582" s="47">
        <v>11</v>
      </c>
      <c r="B582" s="47" t="s">
        <v>1050</v>
      </c>
      <c r="C582" s="47">
        <v>9901030202</v>
      </c>
      <c r="D582" s="47" t="s">
        <v>1053</v>
      </c>
      <c r="E582" s="47" t="s">
        <v>261</v>
      </c>
      <c r="F582" s="47"/>
      <c r="G582" s="47"/>
      <c r="H582" s="47"/>
      <c r="I582" s="48">
        <v>165800000</v>
      </c>
      <c r="J582" s="167">
        <f>ROUND(((100%+$M$571)*Table55[[#This Row],[قیمت (ریال)]])*(100%+$M$572),-6)</f>
        <v>199000000</v>
      </c>
      <c r="L582" s="124"/>
      <c r="M582" s="124"/>
      <c r="N582" s="29"/>
      <c r="T582">
        <v>450</v>
      </c>
    </row>
    <row r="583" spans="1:20" customFormat="1">
      <c r="A583" s="47">
        <v>12</v>
      </c>
      <c r="B583" s="47" t="s">
        <v>1050</v>
      </c>
      <c r="C583" s="47">
        <v>9901030263</v>
      </c>
      <c r="D583" s="47" t="s">
        <v>1522</v>
      </c>
      <c r="E583" s="47" t="s">
        <v>261</v>
      </c>
      <c r="F583" s="47"/>
      <c r="G583" s="47"/>
      <c r="H583" s="47"/>
      <c r="I583" s="48">
        <v>56600000</v>
      </c>
      <c r="J583" s="167">
        <f>ROUND(((100%+$M$571)*Table55[[#This Row],[قیمت (ریال)]])*(100%+$M$572),-6)</f>
        <v>68000000</v>
      </c>
      <c r="L583" s="124"/>
      <c r="M583" s="124"/>
      <c r="N583" s="29"/>
      <c r="T583">
        <v>451</v>
      </c>
    </row>
    <row r="584" spans="1:20" customFormat="1">
      <c r="A584" s="47">
        <v>13</v>
      </c>
      <c r="B584" s="47" t="s">
        <v>1050</v>
      </c>
      <c r="C584" s="47">
        <v>9901030264</v>
      </c>
      <c r="D584" s="47" t="s">
        <v>1523</v>
      </c>
      <c r="E584" s="47" t="s">
        <v>261</v>
      </c>
      <c r="F584" s="47"/>
      <c r="G584" s="47"/>
      <c r="H584" s="47"/>
      <c r="I584" s="48">
        <v>37900000</v>
      </c>
      <c r="J584" s="167">
        <f>ROUND(((100%+$M$571)*Table55[[#This Row],[قیمت (ریال)]])*(100%+$M$572),-6)</f>
        <v>45000000</v>
      </c>
      <c r="L584" s="124"/>
      <c r="M584" s="124"/>
      <c r="N584" s="29"/>
      <c r="T584">
        <v>452</v>
      </c>
    </row>
    <row r="585" spans="1:20" customFormat="1">
      <c r="A585" s="47"/>
      <c r="B585" s="47"/>
      <c r="C585" s="47"/>
      <c r="D585" s="47"/>
      <c r="E585" s="47"/>
      <c r="F585" s="47"/>
      <c r="G585" s="47"/>
      <c r="H585" s="47"/>
      <c r="I585" s="48"/>
      <c r="J585" s="167"/>
      <c r="L585" s="124"/>
      <c r="M585" s="124"/>
      <c r="N585" s="29"/>
    </row>
    <row r="586" spans="1:20" customFormat="1">
      <c r="A586" s="47"/>
      <c r="B586" s="47"/>
      <c r="C586" s="47"/>
      <c r="D586" s="47"/>
      <c r="E586" s="47"/>
      <c r="F586" s="47"/>
      <c r="G586" s="47"/>
      <c r="H586" s="47"/>
      <c r="I586" s="48"/>
      <c r="J586" s="167"/>
      <c r="L586" s="124"/>
      <c r="M586" s="124"/>
      <c r="N586" s="29"/>
    </row>
    <row r="587" spans="1:20" customFormat="1" ht="19.5" thickBot="1">
      <c r="A587" s="47"/>
      <c r="B587" s="47"/>
      <c r="C587" s="47"/>
      <c r="D587" s="47"/>
      <c r="E587" s="47"/>
      <c r="F587" s="47"/>
      <c r="G587" s="47"/>
      <c r="H587" s="47"/>
      <c r="I587" s="48"/>
      <c r="J587" s="167"/>
      <c r="L587" s="124"/>
      <c r="M587" s="124"/>
      <c r="N587" s="29"/>
    </row>
    <row r="588" spans="1:20" customFormat="1">
      <c r="A588" s="50" t="s">
        <v>0</v>
      </c>
      <c r="B588" s="50" t="s">
        <v>530</v>
      </c>
      <c r="C588" s="50" t="s">
        <v>1</v>
      </c>
      <c r="D588" s="50" t="s">
        <v>448</v>
      </c>
      <c r="E588" s="50" t="s">
        <v>767</v>
      </c>
      <c r="F588" s="50" t="s">
        <v>768</v>
      </c>
      <c r="G588" s="50" t="s">
        <v>769</v>
      </c>
      <c r="H588" s="50" t="s">
        <v>770</v>
      </c>
      <c r="I588" s="51" t="s">
        <v>251</v>
      </c>
      <c r="J588" s="166" t="s">
        <v>431</v>
      </c>
      <c r="L588" s="120" t="s">
        <v>777</v>
      </c>
      <c r="M588" s="121">
        <v>0.2</v>
      </c>
      <c r="N588" s="29"/>
    </row>
    <row r="589" spans="1:20" customFormat="1" ht="19.5" thickBot="1">
      <c r="A589" s="47">
        <v>1</v>
      </c>
      <c r="B589" s="47" t="s">
        <v>1187</v>
      </c>
      <c r="C589" s="47">
        <v>9901030439</v>
      </c>
      <c r="D589" s="47" t="s">
        <v>1188</v>
      </c>
      <c r="E589" s="47" t="s">
        <v>261</v>
      </c>
      <c r="F589" s="47"/>
      <c r="G589" s="47"/>
      <c r="H589" s="47"/>
      <c r="I589" s="48">
        <v>825600000</v>
      </c>
      <c r="J589" s="167">
        <f>ROUND(((100%+$M$588)*Table573[[#This Row],[قیمت (ریال)]])*(100%+$M$589),-6)</f>
        <v>991000000</v>
      </c>
      <c r="L589" s="122" t="s">
        <v>779</v>
      </c>
      <c r="M589" s="123">
        <v>0</v>
      </c>
      <c r="N589" s="29"/>
      <c r="T589">
        <v>453</v>
      </c>
    </row>
    <row r="590" spans="1:20" customFormat="1">
      <c r="A590" s="47">
        <v>2</v>
      </c>
      <c r="B590" s="47" t="s">
        <v>1187</v>
      </c>
      <c r="C590" s="47">
        <v>9901030398</v>
      </c>
      <c r="D590" s="47" t="s">
        <v>1189</v>
      </c>
      <c r="E590" s="47" t="s">
        <v>1190</v>
      </c>
      <c r="F590" s="47"/>
      <c r="G590" s="47"/>
      <c r="H590" s="47"/>
      <c r="I590" s="48">
        <v>896300000</v>
      </c>
      <c r="J590" s="167">
        <f>ROUND(((100%+$M$588)*Table573[[#This Row],[قیمت (ریال)]])*(100%+$M$589),-6)</f>
        <v>1076000000</v>
      </c>
      <c r="L590" s="10"/>
      <c r="M590" s="146"/>
      <c r="N590" s="29"/>
      <c r="T590">
        <v>454</v>
      </c>
    </row>
    <row r="591" spans="1:20" customFormat="1">
      <c r="A591" s="47">
        <v>3</v>
      </c>
      <c r="B591" s="47" t="s">
        <v>1187</v>
      </c>
      <c r="C591" s="47">
        <v>9901030401</v>
      </c>
      <c r="D591" s="47" t="s">
        <v>1191</v>
      </c>
      <c r="E591" s="47" t="s">
        <v>1190</v>
      </c>
      <c r="F591" s="47"/>
      <c r="G591" s="47"/>
      <c r="H591" s="47"/>
      <c r="I591" s="48">
        <v>896300000</v>
      </c>
      <c r="J591" s="167">
        <f>ROUND(((100%+$M$588)*Table573[[#This Row],[قیمت (ریال)]])*(100%+$M$589),-6)</f>
        <v>1076000000</v>
      </c>
      <c r="L591" s="124"/>
      <c r="M591" s="124"/>
      <c r="N591" s="29"/>
      <c r="T591">
        <v>455</v>
      </c>
    </row>
    <row r="592" spans="1:20" customFormat="1">
      <c r="A592" s="47"/>
      <c r="B592" s="47"/>
      <c r="C592" s="47"/>
      <c r="D592" s="47"/>
      <c r="E592" s="47"/>
      <c r="F592" s="47"/>
      <c r="G592" s="47"/>
      <c r="H592" s="47"/>
      <c r="I592" s="48"/>
      <c r="J592" s="167"/>
      <c r="L592" s="124"/>
      <c r="M592" s="124"/>
      <c r="N592" s="29"/>
    </row>
    <row r="593" spans="1:20" customFormat="1">
      <c r="A593" s="47"/>
      <c r="B593" s="47"/>
      <c r="C593" s="47"/>
      <c r="D593" s="47"/>
      <c r="E593" s="47"/>
      <c r="F593" s="47"/>
      <c r="G593" s="47"/>
      <c r="H593" s="47"/>
      <c r="I593" s="48"/>
      <c r="J593" s="168"/>
      <c r="L593" s="10"/>
      <c r="M593" s="146"/>
      <c r="N593" s="29"/>
    </row>
    <row r="594" spans="1:20" customFormat="1" ht="19.5" thickBot="1">
      <c r="A594" s="47"/>
      <c r="B594" s="47"/>
      <c r="C594" s="47"/>
      <c r="D594" s="47"/>
      <c r="E594" s="47"/>
      <c r="F594" s="47"/>
      <c r="G594" s="47"/>
      <c r="H594" s="47"/>
      <c r="I594" s="48"/>
      <c r="J594" s="168"/>
      <c r="L594" s="10"/>
      <c r="M594" s="146"/>
      <c r="N594" s="29"/>
    </row>
    <row r="595" spans="1:20" customFormat="1">
      <c r="A595" s="50" t="s">
        <v>0</v>
      </c>
      <c r="B595" s="50" t="s">
        <v>530</v>
      </c>
      <c r="C595" s="50" t="s">
        <v>1</v>
      </c>
      <c r="D595" s="50" t="s">
        <v>448</v>
      </c>
      <c r="E595" s="50" t="s">
        <v>767</v>
      </c>
      <c r="F595" s="50" t="s">
        <v>768</v>
      </c>
      <c r="G595" s="50" t="s">
        <v>769</v>
      </c>
      <c r="H595" s="50" t="s">
        <v>770</v>
      </c>
      <c r="I595" s="51" t="s">
        <v>251</v>
      </c>
      <c r="J595" s="166" t="s">
        <v>431</v>
      </c>
      <c r="L595" s="120" t="s">
        <v>777</v>
      </c>
      <c r="M595" s="121">
        <v>0.2</v>
      </c>
      <c r="N595" s="29"/>
    </row>
    <row r="596" spans="1:20" customFormat="1" ht="19.5" thickBot="1">
      <c r="A596" s="47">
        <v>1</v>
      </c>
      <c r="B596" s="47" t="s">
        <v>1054</v>
      </c>
      <c r="C596" s="47">
        <v>9901030200</v>
      </c>
      <c r="D596" s="47" t="s">
        <v>1055</v>
      </c>
      <c r="E596" s="47" t="s">
        <v>261</v>
      </c>
      <c r="F596" s="47"/>
      <c r="G596" s="47"/>
      <c r="H596" s="47"/>
      <c r="I596" s="48">
        <v>180200000</v>
      </c>
      <c r="J596" s="167">
        <f>ROUND(((100%+$M$595)*Table57[[#This Row],[قیمت (ریال)]])*(100%+$M$596),-6)</f>
        <v>216000000</v>
      </c>
      <c r="L596" s="122" t="s">
        <v>779</v>
      </c>
      <c r="M596" s="123">
        <v>0</v>
      </c>
      <c r="N596" s="29"/>
      <c r="T596">
        <v>456</v>
      </c>
    </row>
    <row r="597" spans="1:20" customFormat="1">
      <c r="A597" s="47">
        <v>2</v>
      </c>
      <c r="B597" s="47" t="s">
        <v>1054</v>
      </c>
      <c r="C597" s="47">
        <v>9901030325</v>
      </c>
      <c r="D597" s="47" t="s">
        <v>1524</v>
      </c>
      <c r="E597" s="47" t="s">
        <v>261</v>
      </c>
      <c r="F597" s="47"/>
      <c r="G597" s="47"/>
      <c r="H597" s="47"/>
      <c r="I597" s="48">
        <v>393000000</v>
      </c>
      <c r="J597" s="167">
        <f>ROUND(((100%+$M$595)*Table57[[#This Row],[قیمت (ریال)]])*(100%+$M$596),-6)</f>
        <v>472000000</v>
      </c>
      <c r="L597" s="10"/>
      <c r="M597" s="146"/>
      <c r="N597" s="29"/>
      <c r="T597">
        <v>457</v>
      </c>
    </row>
    <row r="598" spans="1:20" customFormat="1">
      <c r="A598" s="47">
        <v>3</v>
      </c>
      <c r="B598" s="47" t="s">
        <v>1054</v>
      </c>
      <c r="C598" s="47">
        <v>9901030402</v>
      </c>
      <c r="D598" s="47" t="s">
        <v>1056</v>
      </c>
      <c r="E598" s="47" t="s">
        <v>1057</v>
      </c>
      <c r="F598" s="47"/>
      <c r="G598" s="47"/>
      <c r="H598" s="47"/>
      <c r="I598" s="48">
        <v>322500000</v>
      </c>
      <c r="J598" s="167">
        <f>ROUND(((100%+$M$595)*Table57[[#This Row],[قیمت (ریال)]])*(100%+$M$596),-6)</f>
        <v>387000000</v>
      </c>
      <c r="L598" s="10"/>
      <c r="M598" s="146"/>
      <c r="N598" s="29"/>
      <c r="T598">
        <v>458</v>
      </c>
    </row>
    <row r="599" spans="1:20" customFormat="1">
      <c r="A599" s="47">
        <v>4</v>
      </c>
      <c r="B599" s="47" t="s">
        <v>1054</v>
      </c>
      <c r="C599" s="47">
        <v>9901030403</v>
      </c>
      <c r="D599" s="47" t="s">
        <v>1058</v>
      </c>
      <c r="E599" s="47" t="s">
        <v>1057</v>
      </c>
      <c r="F599" s="47"/>
      <c r="G599" s="47"/>
      <c r="H599" s="47"/>
      <c r="I599" s="48">
        <v>322500000</v>
      </c>
      <c r="J599" s="167">
        <f>ROUND(((100%+$M$595)*Table57[[#This Row],[قیمت (ریال)]])*(100%+$M$596),-6)</f>
        <v>387000000</v>
      </c>
      <c r="L599" s="10"/>
      <c r="M599" s="146"/>
      <c r="N599" s="29"/>
      <c r="T599">
        <v>459</v>
      </c>
    </row>
    <row r="600" spans="1:20" customFormat="1">
      <c r="A600" s="47">
        <v>5</v>
      </c>
      <c r="B600" s="47" t="s">
        <v>1054</v>
      </c>
      <c r="C600" s="47">
        <v>9901030404</v>
      </c>
      <c r="D600" s="47" t="s">
        <v>1525</v>
      </c>
      <c r="E600" s="47" t="s">
        <v>1057</v>
      </c>
      <c r="F600" s="47"/>
      <c r="G600" s="47"/>
      <c r="H600" s="47"/>
      <c r="I600" s="48">
        <v>422200000</v>
      </c>
      <c r="J600" s="167">
        <f>ROUND(((100%+$M$595)*Table57[[#This Row],[قیمت (ریال)]])*(100%+$M$596),-6)</f>
        <v>507000000</v>
      </c>
      <c r="L600" s="10"/>
      <c r="M600" s="146"/>
      <c r="N600" s="29"/>
      <c r="T600">
        <v>460</v>
      </c>
    </row>
    <row r="601" spans="1:20" customFormat="1">
      <c r="A601" s="47"/>
      <c r="B601" s="47"/>
      <c r="C601" s="47"/>
      <c r="D601" s="47"/>
      <c r="E601" s="47"/>
      <c r="F601" s="47"/>
      <c r="G601" s="47"/>
      <c r="H601" s="47"/>
      <c r="I601" s="48"/>
      <c r="J601" s="167"/>
      <c r="L601" s="10"/>
      <c r="M601" s="146"/>
      <c r="N601" s="29"/>
    </row>
    <row r="602" spans="1:20" customFormat="1">
      <c r="A602" s="47"/>
      <c r="B602" s="47"/>
      <c r="C602" s="47"/>
      <c r="D602" s="47"/>
      <c r="E602" s="47"/>
      <c r="F602" s="47"/>
      <c r="G602" s="47"/>
      <c r="H602" s="47"/>
      <c r="I602" s="48"/>
      <c r="J602" s="167"/>
      <c r="L602" s="10"/>
      <c r="M602" s="146"/>
      <c r="N602" s="29"/>
    </row>
    <row r="603" spans="1:20" customFormat="1">
      <c r="A603" s="47"/>
      <c r="B603" s="47"/>
      <c r="C603" s="47"/>
      <c r="D603" s="47"/>
      <c r="E603" s="47"/>
      <c r="F603" s="47"/>
      <c r="G603" s="47"/>
      <c r="H603" s="47"/>
      <c r="I603" s="48"/>
      <c r="J603" s="167"/>
      <c r="L603" s="10"/>
      <c r="M603" s="146"/>
      <c r="N603" s="29"/>
    </row>
    <row r="604" spans="1:20" customFormat="1" ht="19.5" thickBot="1">
      <c r="A604" s="158" t="s">
        <v>0</v>
      </c>
      <c r="B604" s="158" t="s">
        <v>530</v>
      </c>
      <c r="C604" s="158" t="s">
        <v>1</v>
      </c>
      <c r="D604" s="158" t="s">
        <v>448</v>
      </c>
      <c r="E604" s="158" t="s">
        <v>767</v>
      </c>
      <c r="F604" s="158" t="s">
        <v>768</v>
      </c>
      <c r="G604" s="158" t="s">
        <v>769</v>
      </c>
      <c r="H604" s="158" t="s">
        <v>770</v>
      </c>
      <c r="I604" s="159" t="s">
        <v>251</v>
      </c>
      <c r="J604" s="173" t="s">
        <v>431</v>
      </c>
      <c r="L604" s="10"/>
      <c r="M604" s="146"/>
      <c r="N604" s="29"/>
    </row>
    <row r="605" spans="1:20" customFormat="1">
      <c r="A605" s="47">
        <v>1</v>
      </c>
      <c r="B605" s="47" t="s">
        <v>1192</v>
      </c>
      <c r="C605" s="47">
        <v>9901080001</v>
      </c>
      <c r="D605" s="47" t="s">
        <v>1193</v>
      </c>
      <c r="E605" s="47" t="s">
        <v>1194</v>
      </c>
      <c r="F605" s="47"/>
      <c r="G605" s="47"/>
      <c r="H605" s="47"/>
      <c r="I605" s="48">
        <v>845300000</v>
      </c>
      <c r="J605" s="167">
        <f>ROUND(((100%+$M$605)*Table5[[#This Row],[قیمت (ریال)]])*(100%+$M$606),-6)</f>
        <v>1014000000</v>
      </c>
      <c r="L605" s="120" t="s">
        <v>777</v>
      </c>
      <c r="M605" s="121">
        <v>0.2</v>
      </c>
      <c r="N605" s="29"/>
      <c r="T605">
        <v>461</v>
      </c>
    </row>
    <row r="606" spans="1:20" customFormat="1" ht="19.5" thickBot="1">
      <c r="A606" s="47">
        <v>2</v>
      </c>
      <c r="B606" s="47" t="s">
        <v>1192</v>
      </c>
      <c r="C606" s="47">
        <v>9901080003</v>
      </c>
      <c r="D606" s="47" t="s">
        <v>1195</v>
      </c>
      <c r="E606" s="47" t="s">
        <v>1194</v>
      </c>
      <c r="F606" s="47"/>
      <c r="G606" s="47"/>
      <c r="H606" s="47"/>
      <c r="I606" s="48">
        <v>845300000</v>
      </c>
      <c r="J606" s="167">
        <f>ROUND(((100%+$M$605)*Table5[[#This Row],[قیمت (ریال)]])*(100%+$M$606),-6)</f>
        <v>1014000000</v>
      </c>
      <c r="L606" s="122" t="s">
        <v>779</v>
      </c>
      <c r="M606" s="123">
        <v>0</v>
      </c>
      <c r="N606" s="29"/>
      <c r="T606">
        <v>462</v>
      </c>
    </row>
    <row r="607" spans="1:20" customFormat="1">
      <c r="A607" s="47">
        <v>3</v>
      </c>
      <c r="B607" s="47" t="s">
        <v>1192</v>
      </c>
      <c r="C607" s="47">
        <v>9901080004</v>
      </c>
      <c r="D607" s="47" t="s">
        <v>1196</v>
      </c>
      <c r="E607" s="47" t="s">
        <v>1194</v>
      </c>
      <c r="F607" s="47"/>
      <c r="G607" s="47"/>
      <c r="H607" s="47"/>
      <c r="I607" s="48">
        <v>845300000</v>
      </c>
      <c r="J607" s="167">
        <f>ROUND(((100%+$M$605)*Table5[[#This Row],[قیمت (ریال)]])*(100%+$M$606),-6)</f>
        <v>1014000000</v>
      </c>
      <c r="L607" s="10"/>
      <c r="M607" s="146"/>
      <c r="N607" s="29"/>
      <c r="T607">
        <v>463</v>
      </c>
    </row>
    <row r="608" spans="1:20" customFormat="1">
      <c r="A608" s="47">
        <v>4</v>
      </c>
      <c r="B608" s="47" t="s">
        <v>1192</v>
      </c>
      <c r="C608" s="47">
        <v>9901080005</v>
      </c>
      <c r="D608" s="47" t="s">
        <v>1197</v>
      </c>
      <c r="E608" s="47" t="s">
        <v>1194</v>
      </c>
      <c r="F608" s="47"/>
      <c r="G608" s="47"/>
      <c r="H608" s="47"/>
      <c r="I608" s="48">
        <v>688000000</v>
      </c>
      <c r="J608" s="167">
        <f>ROUND(((100%+$M$605)*Table5[[#This Row],[قیمت (ریال)]])*(100%+$M$606),-6)</f>
        <v>826000000</v>
      </c>
      <c r="L608" s="10"/>
      <c r="M608" s="146"/>
      <c r="N608" s="29"/>
      <c r="T608">
        <v>464</v>
      </c>
    </row>
    <row r="609" spans="1:20" customFormat="1">
      <c r="A609" s="47">
        <v>5</v>
      </c>
      <c r="B609" s="47" t="s">
        <v>1192</v>
      </c>
      <c r="C609" s="47">
        <v>9901080006</v>
      </c>
      <c r="D609" s="47" t="s">
        <v>1198</v>
      </c>
      <c r="E609" s="47" t="s">
        <v>1199</v>
      </c>
      <c r="F609" s="47"/>
      <c r="G609" s="47"/>
      <c r="H609" s="47"/>
      <c r="I609" s="48">
        <v>845300000</v>
      </c>
      <c r="J609" s="167">
        <f>ROUND(((100%+$M$605)*Table5[[#This Row],[قیمت (ریال)]])*(100%+$M$606),-6)</f>
        <v>1014000000</v>
      </c>
      <c r="L609" s="10"/>
      <c r="M609" s="146"/>
      <c r="N609" s="29"/>
      <c r="T609">
        <v>465</v>
      </c>
    </row>
    <row r="610" spans="1:20" customFormat="1">
      <c r="A610" s="47">
        <v>6</v>
      </c>
      <c r="B610" s="47" t="s">
        <v>1192</v>
      </c>
      <c r="C610" s="47">
        <v>9901080007</v>
      </c>
      <c r="D610" s="47" t="s">
        <v>1200</v>
      </c>
      <c r="E610" s="47" t="s">
        <v>1194</v>
      </c>
      <c r="F610" s="47"/>
      <c r="G610" s="47"/>
      <c r="H610" s="47"/>
      <c r="I610" s="48">
        <v>845300000</v>
      </c>
      <c r="J610" s="167">
        <f>ROUND(((100%+$M$605)*Table5[[#This Row],[قیمت (ریال)]])*(100%+$M$606),-6)</f>
        <v>1014000000</v>
      </c>
      <c r="L610" s="10"/>
      <c r="M610" s="146"/>
      <c r="N610" s="29"/>
      <c r="T610">
        <v>466</v>
      </c>
    </row>
    <row r="611" spans="1:20" customFormat="1">
      <c r="A611" s="47">
        <v>7</v>
      </c>
      <c r="B611" s="47" t="s">
        <v>1192</v>
      </c>
      <c r="C611" s="47">
        <v>9901080008</v>
      </c>
      <c r="D611" s="47" t="s">
        <v>1201</v>
      </c>
      <c r="E611" s="47" t="s">
        <v>1194</v>
      </c>
      <c r="F611" s="47"/>
      <c r="G611" s="47"/>
      <c r="H611" s="47"/>
      <c r="I611" s="48">
        <v>737200000</v>
      </c>
      <c r="J611" s="167">
        <f>ROUND(((100%+$M$605)*Table5[[#This Row],[قیمت (ریال)]])*(100%+$M$606),-6)</f>
        <v>885000000</v>
      </c>
      <c r="L611" s="10"/>
      <c r="M611" s="146"/>
      <c r="N611" s="29"/>
      <c r="T611">
        <v>467</v>
      </c>
    </row>
    <row r="612" spans="1:20" customFormat="1">
      <c r="A612" s="47">
        <v>8</v>
      </c>
      <c r="B612" s="47" t="s">
        <v>1192</v>
      </c>
      <c r="C612" s="47">
        <v>9901080009</v>
      </c>
      <c r="D612" s="47" t="s">
        <v>1202</v>
      </c>
      <c r="E612" s="47" t="s">
        <v>1199</v>
      </c>
      <c r="F612" s="47"/>
      <c r="G612" s="47"/>
      <c r="H612" s="47"/>
      <c r="I612" s="48">
        <v>1081200000</v>
      </c>
      <c r="J612" s="167">
        <f>ROUND(((100%+$M$605)*Table5[[#This Row],[قیمت (ریال)]])*(100%+$M$606),-6)</f>
        <v>1297000000</v>
      </c>
      <c r="L612" s="10"/>
      <c r="M612" s="146"/>
      <c r="N612" s="29"/>
      <c r="T612">
        <v>468</v>
      </c>
    </row>
    <row r="613" spans="1:20" customFormat="1">
      <c r="A613" s="47">
        <v>9</v>
      </c>
      <c r="B613" s="47" t="s">
        <v>1192</v>
      </c>
      <c r="C613" s="47">
        <v>9901080010</v>
      </c>
      <c r="D613" s="47" t="s">
        <v>1203</v>
      </c>
      <c r="E613" s="47" t="s">
        <v>1194</v>
      </c>
      <c r="F613" s="47"/>
      <c r="G613" s="47"/>
      <c r="H613" s="47"/>
      <c r="I613" s="48">
        <v>737200000</v>
      </c>
      <c r="J613" s="167">
        <f>ROUND(((100%+$M$605)*Table5[[#This Row],[قیمت (ریال)]])*(100%+$M$606),-6)</f>
        <v>885000000</v>
      </c>
      <c r="L613" s="10"/>
      <c r="M613" s="146"/>
      <c r="N613" s="29"/>
      <c r="T613">
        <v>469</v>
      </c>
    </row>
    <row r="614" spans="1:20" customFormat="1">
      <c r="A614" s="47">
        <v>10</v>
      </c>
      <c r="B614" s="47" t="s">
        <v>1192</v>
      </c>
      <c r="C614" s="47">
        <v>9901080011</v>
      </c>
      <c r="D614" s="47" t="s">
        <v>1204</v>
      </c>
      <c r="E614" s="47" t="s">
        <v>1199</v>
      </c>
      <c r="F614" s="47"/>
      <c r="G614" s="47"/>
      <c r="H614" s="47"/>
      <c r="I614" s="48">
        <v>1081200000</v>
      </c>
      <c r="J614" s="167">
        <f>ROUND(((100%+$M$605)*Table5[[#This Row],[قیمت (ریال)]])*(100%+$M$606),-6)</f>
        <v>1297000000</v>
      </c>
      <c r="L614" s="10"/>
      <c r="M614" s="146"/>
      <c r="N614" s="29"/>
      <c r="T614">
        <v>470</v>
      </c>
    </row>
    <row r="615" spans="1:20">
      <c r="A615" s="47">
        <v>11</v>
      </c>
      <c r="B615" s="47" t="s">
        <v>1192</v>
      </c>
      <c r="C615" s="47">
        <v>9901080012</v>
      </c>
      <c r="D615" s="47" t="s">
        <v>1205</v>
      </c>
      <c r="E615" s="47" t="s">
        <v>1194</v>
      </c>
      <c r="I615" s="48">
        <v>2358700000</v>
      </c>
      <c r="J615" s="167">
        <f>ROUND(((100%+$M$605)*Table5[[#This Row],[قیمت (ریال)]])*(100%+$M$606),-6)</f>
        <v>2830000000</v>
      </c>
      <c r="L615" s="10"/>
      <c r="M615" s="146"/>
      <c r="T615">
        <v>471</v>
      </c>
    </row>
    <row r="616" spans="1:20">
      <c r="A616" s="47">
        <v>12</v>
      </c>
      <c r="B616" s="47" t="s">
        <v>1192</v>
      </c>
      <c r="C616" s="47">
        <v>9901080013</v>
      </c>
      <c r="D616" s="47" t="s">
        <v>1206</v>
      </c>
      <c r="E616" s="47" t="s">
        <v>1207</v>
      </c>
      <c r="I616" s="48">
        <v>3145000000</v>
      </c>
      <c r="J616" s="167">
        <f>ROUND(((100%+$M$605)*Table5[[#This Row],[قیمت (ریال)]])*(100%+$M$606),-6)</f>
        <v>3774000000</v>
      </c>
      <c r="L616" s="10"/>
      <c r="M616" s="146"/>
      <c r="T616">
        <v>472</v>
      </c>
    </row>
    <row r="617" spans="1:20">
      <c r="A617" s="47">
        <v>13</v>
      </c>
      <c r="B617" s="47" t="s">
        <v>1192</v>
      </c>
      <c r="C617" s="47">
        <v>9901080014</v>
      </c>
      <c r="D617" s="47" t="s">
        <v>1208</v>
      </c>
      <c r="E617" s="47" t="s">
        <v>1194</v>
      </c>
      <c r="I617" s="48">
        <v>1749500000</v>
      </c>
      <c r="J617" s="167">
        <f>ROUND(((100%+$M$605)*Table5[[#This Row],[قیمت (ریال)]])*(100%+$M$606),-6)</f>
        <v>2099000000</v>
      </c>
      <c r="L617" s="10"/>
      <c r="M617" s="146"/>
      <c r="T617">
        <v>473</v>
      </c>
    </row>
    <row r="618" spans="1:20" customFormat="1">
      <c r="A618" s="47">
        <v>14</v>
      </c>
      <c r="B618" s="47" t="s">
        <v>1192</v>
      </c>
      <c r="C618" s="47">
        <v>9901080015</v>
      </c>
      <c r="D618" s="47" t="s">
        <v>1209</v>
      </c>
      <c r="E618" s="47" t="s">
        <v>1210</v>
      </c>
      <c r="F618" s="47"/>
      <c r="G618" s="47"/>
      <c r="H618" s="47"/>
      <c r="I618" s="48">
        <v>1120400000</v>
      </c>
      <c r="J618" s="167">
        <f>ROUND(((100%+$M$605)*Table5[[#This Row],[قیمت (ریال)]])*(100%+$M$606),-6)</f>
        <v>1344000000</v>
      </c>
      <c r="L618" s="10"/>
      <c r="M618" s="146"/>
      <c r="N618" s="29"/>
      <c r="T618">
        <v>474</v>
      </c>
    </row>
    <row r="619" spans="1:20" customFormat="1">
      <c r="A619" s="47">
        <v>15</v>
      </c>
      <c r="B619" s="47" t="s">
        <v>1192</v>
      </c>
      <c r="C619" s="47">
        <v>9901080016</v>
      </c>
      <c r="D619" s="47" t="s">
        <v>1211</v>
      </c>
      <c r="E619" s="47" t="s">
        <v>1210</v>
      </c>
      <c r="F619" s="47"/>
      <c r="G619" s="47"/>
      <c r="H619" s="47"/>
      <c r="I619" s="48">
        <v>1120400000</v>
      </c>
      <c r="J619" s="167">
        <f>ROUND(((100%+$M$605)*Table5[[#This Row],[قیمت (ریال)]])*(100%+$M$606),-6)</f>
        <v>1344000000</v>
      </c>
      <c r="L619" s="10"/>
      <c r="M619" s="146"/>
      <c r="N619" s="29"/>
      <c r="T619">
        <v>475</v>
      </c>
    </row>
    <row r="620" spans="1:20" customFormat="1">
      <c r="A620" s="47">
        <v>16</v>
      </c>
      <c r="B620" s="47" t="s">
        <v>1192</v>
      </c>
      <c r="C620" s="47">
        <v>9901080017</v>
      </c>
      <c r="D620" s="47" t="s">
        <v>1212</v>
      </c>
      <c r="E620" s="47" t="s">
        <v>1213</v>
      </c>
      <c r="F620" s="47"/>
      <c r="G620" s="47"/>
      <c r="H620" s="47"/>
      <c r="I620" s="48">
        <v>1690400000</v>
      </c>
      <c r="J620" s="167">
        <f>ROUND(((100%+$M$605)*Table5[[#This Row],[قیمت (ریال)]])*(100%+$M$606),-6)</f>
        <v>2028000000</v>
      </c>
      <c r="L620" s="10"/>
      <c r="M620" s="146"/>
      <c r="N620" s="29"/>
      <c r="T620">
        <v>476</v>
      </c>
    </row>
    <row r="621" spans="1:20" customFormat="1">
      <c r="A621" s="47">
        <v>17</v>
      </c>
      <c r="B621" s="47" t="s">
        <v>1192</v>
      </c>
      <c r="C621" s="47">
        <v>9901080018</v>
      </c>
      <c r="D621" s="47" t="s">
        <v>1214</v>
      </c>
      <c r="E621" s="47" t="s">
        <v>1199</v>
      </c>
      <c r="F621" s="47"/>
      <c r="G621" s="47"/>
      <c r="H621" s="47"/>
      <c r="I621" s="48">
        <v>1218700000</v>
      </c>
      <c r="J621" s="167">
        <f>ROUND(((100%+$M$605)*Table5[[#This Row],[قیمت (ریال)]])*(100%+$M$606),-6)</f>
        <v>1462000000</v>
      </c>
      <c r="L621" s="10"/>
      <c r="M621" s="146"/>
      <c r="N621" s="29"/>
      <c r="T621">
        <v>477</v>
      </c>
    </row>
    <row r="622" spans="1:20" customFormat="1">
      <c r="A622" s="47">
        <v>18</v>
      </c>
      <c r="B622" s="47" t="s">
        <v>1192</v>
      </c>
      <c r="C622" s="47">
        <v>9901080019</v>
      </c>
      <c r="D622" s="47" t="s">
        <v>1215</v>
      </c>
      <c r="E622" s="47" t="s">
        <v>1194</v>
      </c>
      <c r="F622" s="47"/>
      <c r="G622" s="47"/>
      <c r="H622" s="47"/>
      <c r="I622" s="48">
        <v>845300000</v>
      </c>
      <c r="J622" s="167">
        <f>ROUND(((100%+$M$605)*Table5[[#This Row],[قیمت (ریال)]])*(100%+$M$606),-6)</f>
        <v>1014000000</v>
      </c>
      <c r="L622" s="10"/>
      <c r="M622" s="146"/>
      <c r="N622" s="29"/>
      <c r="T622">
        <v>478</v>
      </c>
    </row>
    <row r="623" spans="1:20">
      <c r="A623" s="47">
        <v>19</v>
      </c>
      <c r="B623" s="47" t="s">
        <v>1192</v>
      </c>
      <c r="C623" s="47">
        <v>9901080020</v>
      </c>
      <c r="D623" s="47" t="s">
        <v>1216</v>
      </c>
      <c r="E623" s="47" t="s">
        <v>1217</v>
      </c>
      <c r="I623" s="48">
        <v>1218700000</v>
      </c>
      <c r="J623" s="167">
        <f>ROUND(((100%+$M$605)*Table5[[#This Row],[قیمت (ریال)]])*(100%+$M$606),-6)</f>
        <v>1462000000</v>
      </c>
      <c r="L623" s="10"/>
      <c r="M623" s="146"/>
      <c r="T623">
        <v>479</v>
      </c>
    </row>
    <row r="624" spans="1:20">
      <c r="A624" s="47">
        <v>20</v>
      </c>
      <c r="B624" s="47" t="s">
        <v>1192</v>
      </c>
      <c r="C624" s="47">
        <v>9901080021</v>
      </c>
      <c r="D624" s="47" t="s">
        <v>1218</v>
      </c>
      <c r="E624" s="47" t="s">
        <v>1194</v>
      </c>
      <c r="I624" s="48">
        <v>845300000</v>
      </c>
      <c r="J624" s="167">
        <f>ROUND(((100%+$M$605)*Table5[[#This Row],[قیمت (ریال)]])*(100%+$M$606),-6)</f>
        <v>1014000000</v>
      </c>
      <c r="L624" s="10"/>
      <c r="M624" s="146"/>
      <c r="T624">
        <v>480</v>
      </c>
    </row>
    <row r="625" spans="1:20">
      <c r="A625" s="47">
        <v>21</v>
      </c>
      <c r="B625" s="47" t="s">
        <v>1192</v>
      </c>
      <c r="C625" s="47">
        <v>9901080022</v>
      </c>
      <c r="D625" s="47" t="s">
        <v>1219</v>
      </c>
      <c r="E625" s="47" t="s">
        <v>1220</v>
      </c>
      <c r="I625" s="48">
        <v>1507700000</v>
      </c>
      <c r="J625" s="167">
        <f>ROUND(((100%+$M$605)*Table5[[#This Row],[قیمت (ریال)]])*(100%+$M$606),-6)</f>
        <v>1809000000</v>
      </c>
      <c r="L625" s="10"/>
      <c r="M625" s="146"/>
      <c r="T625">
        <v>481</v>
      </c>
    </row>
    <row r="626" spans="1:20">
      <c r="A626" s="47">
        <v>22</v>
      </c>
      <c r="B626" s="47" t="s">
        <v>1192</v>
      </c>
      <c r="C626" s="47">
        <v>9901080023</v>
      </c>
      <c r="D626" s="47" t="s">
        <v>1221</v>
      </c>
      <c r="E626" s="47" t="s">
        <v>1220</v>
      </c>
      <c r="I626" s="48">
        <v>1507700000</v>
      </c>
      <c r="J626" s="167">
        <f>ROUND(((100%+$M$605)*Table5[[#This Row],[قیمت (ریال)]])*(100%+$M$606),-6)</f>
        <v>1809000000</v>
      </c>
      <c r="L626" s="10"/>
      <c r="M626" s="146"/>
      <c r="T626">
        <v>482</v>
      </c>
    </row>
    <row r="627" spans="1:20">
      <c r="A627" s="47">
        <v>23</v>
      </c>
      <c r="B627" s="47" t="s">
        <v>1192</v>
      </c>
      <c r="C627" s="47">
        <v>9901080024</v>
      </c>
      <c r="D627" s="47" t="s">
        <v>1222</v>
      </c>
      <c r="E627" s="47" t="s">
        <v>1194</v>
      </c>
      <c r="I627" s="48">
        <v>845300000</v>
      </c>
      <c r="J627" s="167">
        <f>ROUND(((100%+$M$605)*Table5[[#This Row],[قیمت (ریال)]])*(100%+$M$606),-6)</f>
        <v>1014000000</v>
      </c>
      <c r="L627" s="10"/>
      <c r="M627" s="146"/>
      <c r="T627">
        <v>483</v>
      </c>
    </row>
    <row r="628" spans="1:20">
      <c r="A628" s="47">
        <v>24</v>
      </c>
      <c r="B628" s="47" t="s">
        <v>1192</v>
      </c>
      <c r="C628" s="47">
        <v>9901080025</v>
      </c>
      <c r="D628" s="47" t="s">
        <v>1223</v>
      </c>
      <c r="E628" s="47" t="s">
        <v>1194</v>
      </c>
      <c r="I628" s="48">
        <v>766700000</v>
      </c>
      <c r="J628" s="167">
        <f>ROUND(((100%+$M$605)*Table5[[#This Row],[قیمت (ریال)]])*(100%+$M$606),-6)</f>
        <v>920000000</v>
      </c>
      <c r="L628" s="10"/>
      <c r="M628" s="146"/>
      <c r="T628">
        <v>484</v>
      </c>
    </row>
    <row r="629" spans="1:20" customFormat="1">
      <c r="A629" s="47">
        <v>25</v>
      </c>
      <c r="B629" s="47" t="s">
        <v>1192</v>
      </c>
      <c r="C629" s="47">
        <v>9901080026</v>
      </c>
      <c r="D629" s="47" t="s">
        <v>1224</v>
      </c>
      <c r="E629" s="47" t="s">
        <v>1194</v>
      </c>
      <c r="F629" s="47"/>
      <c r="G629" s="47"/>
      <c r="H629" s="47"/>
      <c r="I629" s="48">
        <v>845300000</v>
      </c>
      <c r="J629" s="167">
        <f>ROUND(((100%+$M$605)*Table5[[#This Row],[قیمت (ریال)]])*(100%+$M$606),-6)</f>
        <v>1014000000</v>
      </c>
      <c r="L629" s="10"/>
      <c r="M629" s="146"/>
      <c r="N629" s="29"/>
      <c r="T629">
        <v>485</v>
      </c>
    </row>
    <row r="630" spans="1:20" customFormat="1">
      <c r="A630" s="47">
        <v>26</v>
      </c>
      <c r="B630" s="47" t="s">
        <v>1192</v>
      </c>
      <c r="C630" s="47">
        <v>9901080027</v>
      </c>
      <c r="D630" s="47" t="s">
        <v>1225</v>
      </c>
      <c r="E630" s="47" t="s">
        <v>1194</v>
      </c>
      <c r="F630" s="47"/>
      <c r="G630" s="47"/>
      <c r="H630" s="47"/>
      <c r="I630" s="48">
        <v>845300000</v>
      </c>
      <c r="J630" s="167">
        <f>ROUND(((100%+$M$605)*Table5[[#This Row],[قیمت (ریال)]])*(100%+$M$606),-6)</f>
        <v>1014000000</v>
      </c>
      <c r="L630" s="10"/>
      <c r="M630" s="146"/>
      <c r="N630" s="29"/>
      <c r="T630">
        <v>486</v>
      </c>
    </row>
    <row r="631" spans="1:20" customFormat="1">
      <c r="A631" s="47">
        <v>27</v>
      </c>
      <c r="B631" s="47" t="s">
        <v>1192</v>
      </c>
      <c r="C631" s="47">
        <v>9901080028</v>
      </c>
      <c r="D631" s="47" t="s">
        <v>1226</v>
      </c>
      <c r="E631" s="47" t="s">
        <v>1194</v>
      </c>
      <c r="F631" s="47"/>
      <c r="G631" s="47"/>
      <c r="H631" s="47"/>
      <c r="I631" s="48">
        <v>845300000</v>
      </c>
      <c r="J631" s="167">
        <f>ROUND(((100%+$M$605)*Table5[[#This Row],[قیمت (ریال)]])*(100%+$M$606),-6)</f>
        <v>1014000000</v>
      </c>
      <c r="L631" s="10"/>
      <c r="M631" s="146"/>
      <c r="N631" s="29"/>
      <c r="T631">
        <v>487</v>
      </c>
    </row>
    <row r="632" spans="1:20" customFormat="1">
      <c r="A632" s="47">
        <v>28</v>
      </c>
      <c r="B632" s="47" t="s">
        <v>1192</v>
      </c>
      <c r="C632" s="47">
        <v>9901080030</v>
      </c>
      <c r="D632" s="47" t="s">
        <v>1227</v>
      </c>
      <c r="E632" s="47" t="s">
        <v>1194</v>
      </c>
      <c r="F632" s="47"/>
      <c r="G632" s="47"/>
      <c r="H632" s="47"/>
      <c r="I632" s="48">
        <v>845300000</v>
      </c>
      <c r="J632" s="167">
        <f>ROUND(((100%+$M$605)*Table5[[#This Row],[قیمت (ریال)]])*(100%+$M$606),-6)</f>
        <v>1014000000</v>
      </c>
      <c r="L632" s="10"/>
      <c r="M632" s="146"/>
      <c r="N632" s="29"/>
      <c r="T632">
        <v>488</v>
      </c>
    </row>
    <row r="633" spans="1:20">
      <c r="A633" s="47">
        <v>29</v>
      </c>
      <c r="B633" s="47" t="s">
        <v>1192</v>
      </c>
      <c r="C633" s="47">
        <v>9901080031</v>
      </c>
      <c r="D633" s="47" t="s">
        <v>1228</v>
      </c>
      <c r="E633" s="47" t="s">
        <v>1229</v>
      </c>
      <c r="I633" s="48">
        <v>737200000</v>
      </c>
      <c r="J633" s="167">
        <f>ROUND(((100%+$M$605)*Table5[[#This Row],[قیمت (ریال)]])*(100%+$M$606),-6)</f>
        <v>885000000</v>
      </c>
      <c r="L633" s="10"/>
      <c r="M633" s="146"/>
      <c r="T633">
        <v>489</v>
      </c>
    </row>
    <row r="634" spans="1:20">
      <c r="A634" s="47">
        <v>30</v>
      </c>
      <c r="B634" s="47" t="s">
        <v>1192</v>
      </c>
      <c r="C634" s="47">
        <v>9901080032</v>
      </c>
      <c r="D634" s="47" t="s">
        <v>1230</v>
      </c>
      <c r="E634" s="47" t="s">
        <v>1229</v>
      </c>
      <c r="I634" s="48">
        <v>521000000</v>
      </c>
      <c r="J634" s="167">
        <f>ROUND(((100%+$M$605)*Table5[[#This Row],[قیمت (ریال)]])*(100%+$M$606),-6)</f>
        <v>625000000</v>
      </c>
      <c r="L634" s="10"/>
      <c r="M634" s="146"/>
      <c r="T634">
        <v>490</v>
      </c>
    </row>
    <row r="635" spans="1:20">
      <c r="A635" s="47">
        <v>31</v>
      </c>
      <c r="B635" s="47" t="s">
        <v>1192</v>
      </c>
      <c r="C635" s="47">
        <v>9901080033</v>
      </c>
      <c r="D635" s="47" t="s">
        <v>1231</v>
      </c>
      <c r="E635" s="47" t="s">
        <v>1229</v>
      </c>
      <c r="I635" s="48">
        <v>521000000</v>
      </c>
      <c r="J635" s="167">
        <f>ROUND(((100%+$M$605)*Table5[[#This Row],[قیمت (ریال)]])*(100%+$M$606),-6)</f>
        <v>625000000</v>
      </c>
      <c r="L635" s="10"/>
      <c r="M635" s="146"/>
      <c r="T635">
        <v>491</v>
      </c>
    </row>
    <row r="636" spans="1:20">
      <c r="A636" s="47">
        <v>32</v>
      </c>
      <c r="B636" s="47" t="s">
        <v>1192</v>
      </c>
      <c r="C636" s="47">
        <v>9901080034</v>
      </c>
      <c r="D636" s="47" t="s">
        <v>1232</v>
      </c>
      <c r="E636" s="47" t="s">
        <v>1229</v>
      </c>
      <c r="I636" s="48">
        <v>521000000</v>
      </c>
      <c r="J636" s="167">
        <f>ROUND(((100%+$M$605)*Table5[[#This Row],[قیمت (ریال)]])*(100%+$M$606),-6)</f>
        <v>625000000</v>
      </c>
      <c r="L636" s="10"/>
      <c r="M636" s="146"/>
      <c r="T636">
        <v>492</v>
      </c>
    </row>
    <row r="637" spans="1:20">
      <c r="A637" s="47">
        <v>33</v>
      </c>
      <c r="B637" s="47" t="s">
        <v>1192</v>
      </c>
      <c r="C637" s="47">
        <v>9901080035</v>
      </c>
      <c r="D637" s="47" t="s">
        <v>1233</v>
      </c>
      <c r="E637" s="47" t="s">
        <v>1194</v>
      </c>
      <c r="I637" s="48">
        <v>766700000</v>
      </c>
      <c r="J637" s="167">
        <f>ROUND(((100%+$M$605)*Table5[[#This Row],[قیمت (ریال)]])*(100%+$M$606),-6)</f>
        <v>920000000</v>
      </c>
      <c r="L637" s="10"/>
      <c r="M637" s="146"/>
      <c r="T637">
        <v>493</v>
      </c>
    </row>
    <row r="638" spans="1:20">
      <c r="A638" s="47">
        <v>34</v>
      </c>
      <c r="B638" s="47" t="s">
        <v>1192</v>
      </c>
      <c r="C638" s="47">
        <v>9901080036</v>
      </c>
      <c r="D638" s="47" t="s">
        <v>1234</v>
      </c>
      <c r="E638" s="47" t="s">
        <v>1194</v>
      </c>
      <c r="I638" s="48">
        <v>688000000</v>
      </c>
      <c r="J638" s="167">
        <f>ROUND(((100%+$M$605)*Table5[[#This Row],[قیمت (ریال)]])*(100%+$M$606),-6)</f>
        <v>826000000</v>
      </c>
      <c r="L638" s="10"/>
      <c r="M638" s="146"/>
      <c r="T638">
        <v>494</v>
      </c>
    </row>
    <row r="639" spans="1:20">
      <c r="A639" s="47">
        <v>35</v>
      </c>
      <c r="B639" s="47" t="s">
        <v>1192</v>
      </c>
      <c r="C639" s="47">
        <v>9901080037</v>
      </c>
      <c r="D639" s="47" t="s">
        <v>1235</v>
      </c>
      <c r="E639" s="47" t="s">
        <v>1236</v>
      </c>
      <c r="I639" s="48">
        <v>521000000</v>
      </c>
      <c r="J639" s="167">
        <f>ROUND(((100%+$M$605)*Table5[[#This Row],[قیمت (ریال)]])*(100%+$M$606),-6)</f>
        <v>625000000</v>
      </c>
      <c r="L639" s="10"/>
      <c r="M639" s="146"/>
      <c r="T639">
        <v>495</v>
      </c>
    </row>
    <row r="640" spans="1:20">
      <c r="A640" s="47">
        <v>36</v>
      </c>
      <c r="B640" s="47" t="s">
        <v>1192</v>
      </c>
      <c r="C640" s="47">
        <v>9901080038</v>
      </c>
      <c r="D640" s="47" t="s">
        <v>1237</v>
      </c>
      <c r="E640" s="47" t="s">
        <v>1194</v>
      </c>
      <c r="I640" s="48">
        <v>845300000</v>
      </c>
      <c r="J640" s="167">
        <f>ROUND(((100%+$M$605)*Table5[[#This Row],[قیمت (ریال)]])*(100%+$M$606),-6)</f>
        <v>1014000000</v>
      </c>
      <c r="L640" s="10"/>
      <c r="M640" s="146"/>
      <c r="T640">
        <v>496</v>
      </c>
    </row>
    <row r="641" spans="1:20">
      <c r="A641" s="47">
        <v>37</v>
      </c>
      <c r="B641" s="47" t="s">
        <v>1192</v>
      </c>
      <c r="C641" s="47">
        <v>9901080039</v>
      </c>
      <c r="D641" s="47" t="s">
        <v>1238</v>
      </c>
      <c r="E641" s="47" t="s">
        <v>1194</v>
      </c>
      <c r="I641" s="48">
        <v>845300000</v>
      </c>
      <c r="J641" s="167">
        <f>ROUND(((100%+$M$605)*Table5[[#This Row],[قیمت (ریال)]])*(100%+$M$606),-6)</f>
        <v>1014000000</v>
      </c>
      <c r="L641" s="10"/>
      <c r="M641" s="146"/>
      <c r="T641">
        <v>497</v>
      </c>
    </row>
    <row r="642" spans="1:20">
      <c r="A642" s="47">
        <v>38</v>
      </c>
      <c r="B642" s="47" t="s">
        <v>1192</v>
      </c>
      <c r="C642" s="47">
        <v>9901080040</v>
      </c>
      <c r="D642" s="47" t="s">
        <v>1239</v>
      </c>
      <c r="E642" s="47" t="s">
        <v>1240</v>
      </c>
      <c r="I642" s="48">
        <v>521000000</v>
      </c>
      <c r="J642" s="167">
        <f>ROUND(((100%+$M$605)*Table5[[#This Row],[قیمت (ریال)]])*(100%+$M$606),-6)</f>
        <v>625000000</v>
      </c>
      <c r="L642" s="10"/>
      <c r="M642" s="146"/>
      <c r="T642">
        <v>498</v>
      </c>
    </row>
    <row r="643" spans="1:20">
      <c r="A643" s="47">
        <v>39</v>
      </c>
      <c r="B643" s="47" t="s">
        <v>1192</v>
      </c>
      <c r="C643" s="47">
        <v>9901080041</v>
      </c>
      <c r="D643" s="47" t="s">
        <v>1241</v>
      </c>
      <c r="E643" s="47" t="s">
        <v>1194</v>
      </c>
      <c r="I643" s="48">
        <v>845300000</v>
      </c>
      <c r="J643" s="167">
        <f>ROUND(((100%+$M$605)*Table5[[#This Row],[قیمت (ریال)]])*(100%+$M$606),-6)</f>
        <v>1014000000</v>
      </c>
      <c r="L643" s="10"/>
      <c r="M643" s="146"/>
      <c r="T643">
        <v>499</v>
      </c>
    </row>
    <row r="644" spans="1:20">
      <c r="A644" s="47">
        <v>40</v>
      </c>
      <c r="B644" s="47" t="s">
        <v>1192</v>
      </c>
      <c r="C644" s="47">
        <v>9901080042</v>
      </c>
      <c r="D644" s="47" t="s">
        <v>1242</v>
      </c>
      <c r="E644" s="47" t="s">
        <v>1229</v>
      </c>
      <c r="I644" s="48">
        <v>521000000</v>
      </c>
      <c r="J644" s="167">
        <f>ROUND(((100%+$M$605)*Table5[[#This Row],[قیمت (ریال)]])*(100%+$M$606),-6)</f>
        <v>625000000</v>
      </c>
      <c r="L644" s="10"/>
      <c r="M644" s="146"/>
      <c r="T644">
        <v>500</v>
      </c>
    </row>
    <row r="645" spans="1:20">
      <c r="A645" s="47">
        <v>41</v>
      </c>
      <c r="B645" s="47" t="s">
        <v>1192</v>
      </c>
      <c r="C645" s="47">
        <v>9901080043</v>
      </c>
      <c r="D645" s="47" t="s">
        <v>1243</v>
      </c>
      <c r="E645" s="47" t="s">
        <v>1244</v>
      </c>
      <c r="I645" s="48">
        <v>521000000</v>
      </c>
      <c r="J645" s="167">
        <f>ROUND(((100%+$M$605)*Table5[[#This Row],[قیمت (ریال)]])*(100%+$M$606),-6)</f>
        <v>625000000</v>
      </c>
      <c r="L645" s="10"/>
      <c r="M645" s="146"/>
      <c r="T645">
        <v>501</v>
      </c>
    </row>
    <row r="646" spans="1:20">
      <c r="A646" s="47">
        <v>42</v>
      </c>
      <c r="B646" s="47" t="s">
        <v>1192</v>
      </c>
      <c r="C646" s="47">
        <v>9901080044</v>
      </c>
      <c r="D646" s="47" t="s">
        <v>1245</v>
      </c>
      <c r="E646" s="47" t="s">
        <v>1244</v>
      </c>
      <c r="I646" s="48">
        <v>521000000</v>
      </c>
      <c r="J646" s="167">
        <f>ROUND(((100%+$M$605)*Table5[[#This Row],[قیمت (ریال)]])*(100%+$M$606),-6)</f>
        <v>625000000</v>
      </c>
      <c r="L646" s="10"/>
      <c r="M646" s="146"/>
      <c r="T646">
        <v>502</v>
      </c>
    </row>
    <row r="647" spans="1:20">
      <c r="A647" s="47">
        <v>43</v>
      </c>
      <c r="B647" s="47" t="s">
        <v>1192</v>
      </c>
      <c r="C647" s="47">
        <v>9901080045</v>
      </c>
      <c r="D647" s="47" t="s">
        <v>1246</v>
      </c>
      <c r="E647" s="47" t="s">
        <v>1244</v>
      </c>
      <c r="I647" s="48">
        <v>521000000</v>
      </c>
      <c r="J647" s="167">
        <f>ROUND(((100%+$M$605)*Table5[[#This Row],[قیمت (ریال)]])*(100%+$M$606),-6)</f>
        <v>625000000</v>
      </c>
      <c r="L647" s="10"/>
      <c r="M647" s="146"/>
      <c r="T647">
        <v>503</v>
      </c>
    </row>
    <row r="648" spans="1:20">
      <c r="A648" s="47">
        <v>44</v>
      </c>
      <c r="B648" s="47" t="s">
        <v>1192</v>
      </c>
      <c r="C648" s="47">
        <v>9901080046</v>
      </c>
      <c r="D648" s="47" t="s">
        <v>1247</v>
      </c>
      <c r="E648" s="47" t="s">
        <v>1229</v>
      </c>
      <c r="I648" s="48">
        <v>737200000</v>
      </c>
      <c r="J648" s="167">
        <f>ROUND(((100%+$M$605)*Table5[[#This Row],[قیمت (ریال)]])*(100%+$M$606),-6)</f>
        <v>885000000</v>
      </c>
      <c r="L648" s="10"/>
      <c r="M648" s="146"/>
      <c r="T648">
        <v>504</v>
      </c>
    </row>
    <row r="649" spans="1:20">
      <c r="A649" s="47">
        <v>45</v>
      </c>
      <c r="B649" s="47" t="s">
        <v>1192</v>
      </c>
      <c r="C649" s="47">
        <v>9901080047</v>
      </c>
      <c r="D649" s="47" t="s">
        <v>1248</v>
      </c>
      <c r="E649" s="47" t="s">
        <v>1229</v>
      </c>
      <c r="I649" s="48">
        <v>737200000</v>
      </c>
      <c r="J649" s="167">
        <f>ROUND(((100%+$M$605)*Table5[[#This Row],[قیمت (ریال)]])*(100%+$M$606),-6)</f>
        <v>885000000</v>
      </c>
      <c r="L649" s="10"/>
      <c r="M649" s="146"/>
      <c r="T649">
        <v>505</v>
      </c>
    </row>
    <row r="650" spans="1:20">
      <c r="A650" s="47">
        <v>46</v>
      </c>
      <c r="B650" s="47" t="s">
        <v>1192</v>
      </c>
      <c r="C650" s="47">
        <v>9901080048</v>
      </c>
      <c r="D650" s="47" t="s">
        <v>1249</v>
      </c>
      <c r="E650" s="47" t="s">
        <v>1229</v>
      </c>
      <c r="I650" s="48">
        <v>1120400000</v>
      </c>
      <c r="J650" s="167">
        <f>ROUND(((100%+$M$605)*Table5[[#This Row],[قیمت (ریال)]])*(100%+$M$606),-6)</f>
        <v>1344000000</v>
      </c>
      <c r="L650" s="10"/>
      <c r="M650" s="146"/>
      <c r="T650">
        <v>506</v>
      </c>
    </row>
    <row r="651" spans="1:20">
      <c r="A651" s="47">
        <v>47</v>
      </c>
      <c r="B651" s="47" t="s">
        <v>1192</v>
      </c>
      <c r="C651" s="47">
        <v>9901080050</v>
      </c>
      <c r="D651" s="47" t="s">
        <v>1250</v>
      </c>
      <c r="E651" s="47" t="s">
        <v>1194</v>
      </c>
      <c r="I651" s="48">
        <v>845300000</v>
      </c>
      <c r="J651" s="167">
        <f>ROUND(((100%+$M$605)*Table5[[#This Row],[قیمت (ریال)]])*(100%+$M$606),-6)</f>
        <v>1014000000</v>
      </c>
      <c r="L651" s="10"/>
      <c r="M651" s="146"/>
      <c r="T651">
        <v>507</v>
      </c>
    </row>
    <row r="652" spans="1:20">
      <c r="A652" s="47">
        <v>48</v>
      </c>
      <c r="B652" s="47" t="s">
        <v>1192</v>
      </c>
      <c r="C652" s="47">
        <v>9901080051</v>
      </c>
      <c r="D652" s="47" t="s">
        <v>1251</v>
      </c>
      <c r="E652" s="47" t="s">
        <v>1194</v>
      </c>
      <c r="I652" s="48">
        <v>845300000</v>
      </c>
      <c r="J652" s="167">
        <f>ROUND(((100%+$M$605)*Table5[[#This Row],[قیمت (ریال)]])*(100%+$M$606),-6)</f>
        <v>1014000000</v>
      </c>
      <c r="L652" s="10"/>
      <c r="M652" s="146"/>
      <c r="T652">
        <v>508</v>
      </c>
    </row>
    <row r="653" spans="1:20">
      <c r="A653" s="47">
        <v>49</v>
      </c>
      <c r="B653" s="47" t="s">
        <v>1192</v>
      </c>
      <c r="C653" s="47">
        <v>9901080052</v>
      </c>
      <c r="D653" s="47" t="s">
        <v>1252</v>
      </c>
      <c r="E653" s="47" t="s">
        <v>1194</v>
      </c>
      <c r="I653" s="48">
        <v>845300000</v>
      </c>
      <c r="J653" s="167">
        <f>ROUND(((100%+$M$605)*Table5[[#This Row],[قیمت (ریال)]])*(100%+$M$606),-6)</f>
        <v>1014000000</v>
      </c>
      <c r="L653" s="10"/>
      <c r="M653" s="146"/>
      <c r="T653">
        <v>509</v>
      </c>
    </row>
    <row r="654" spans="1:20">
      <c r="A654" s="47">
        <v>50</v>
      </c>
      <c r="B654" s="47" t="s">
        <v>1192</v>
      </c>
      <c r="C654" s="47">
        <v>9901080053</v>
      </c>
      <c r="D654" s="47" t="s">
        <v>1253</v>
      </c>
      <c r="E654" s="47" t="s">
        <v>1194</v>
      </c>
      <c r="I654" s="48">
        <v>1226600000</v>
      </c>
      <c r="J654" s="167">
        <f>ROUND(((100%+$M$605)*Table5[[#This Row],[قیمت (ریال)]])*(100%+$M$606),-6)</f>
        <v>1472000000</v>
      </c>
      <c r="L654" s="10"/>
      <c r="M654" s="146"/>
      <c r="T654">
        <v>510</v>
      </c>
    </row>
    <row r="655" spans="1:20">
      <c r="A655" s="47">
        <v>51</v>
      </c>
      <c r="B655" s="47" t="s">
        <v>1192</v>
      </c>
      <c r="C655" s="47">
        <v>9901080054</v>
      </c>
      <c r="D655" s="47" t="s">
        <v>1254</v>
      </c>
      <c r="E655" s="47" t="s">
        <v>1194</v>
      </c>
      <c r="I655" s="48">
        <v>1120400000</v>
      </c>
      <c r="J655" s="167">
        <f>ROUND(((100%+$M$605)*Table5[[#This Row],[قیمت (ریال)]])*(100%+$M$606),-6)</f>
        <v>1344000000</v>
      </c>
      <c r="L655" s="10"/>
      <c r="M655" s="146"/>
      <c r="T655">
        <v>511</v>
      </c>
    </row>
    <row r="656" spans="1:20">
      <c r="A656" s="47">
        <v>52</v>
      </c>
      <c r="B656" s="47" t="s">
        <v>1192</v>
      </c>
      <c r="C656" s="47">
        <v>9901080055</v>
      </c>
      <c r="D656" s="47" t="s">
        <v>1255</v>
      </c>
      <c r="E656" s="47" t="s">
        <v>1194</v>
      </c>
      <c r="I656" s="48">
        <v>1120400000</v>
      </c>
      <c r="J656" s="167">
        <f>ROUND(((100%+$M$605)*Table5[[#This Row],[قیمت (ریال)]])*(100%+$M$606),-6)</f>
        <v>1344000000</v>
      </c>
      <c r="L656" s="10"/>
      <c r="M656" s="146"/>
      <c r="T656">
        <v>512</v>
      </c>
    </row>
    <row r="657" spans="1:20">
      <c r="A657" s="47">
        <v>53</v>
      </c>
      <c r="B657" s="47" t="s">
        <v>1192</v>
      </c>
      <c r="C657" s="47">
        <v>9901080056</v>
      </c>
      <c r="D657" s="47" t="s">
        <v>1256</v>
      </c>
      <c r="E657" s="47" t="s">
        <v>1194</v>
      </c>
      <c r="I657" s="48">
        <v>1507700000</v>
      </c>
      <c r="J657" s="167">
        <f>ROUND(((100%+$M$605)*Table5[[#This Row],[قیمت (ریال)]])*(100%+$M$606),-6)</f>
        <v>1809000000</v>
      </c>
      <c r="L657" s="10"/>
      <c r="M657" s="146"/>
      <c r="T657">
        <v>513</v>
      </c>
    </row>
    <row r="658" spans="1:20">
      <c r="A658" s="47">
        <v>54</v>
      </c>
      <c r="B658" s="47" t="s">
        <v>1192</v>
      </c>
      <c r="C658" s="47">
        <v>9901080057</v>
      </c>
      <c r="D658" s="47" t="s">
        <v>1257</v>
      </c>
      <c r="E658" s="47" t="s">
        <v>1217</v>
      </c>
      <c r="I658" s="48">
        <v>1336600000</v>
      </c>
      <c r="J658" s="167">
        <f>ROUND(((100%+$M$605)*Table5[[#This Row],[قیمت (ریال)]])*(100%+$M$606),-6)</f>
        <v>1604000000</v>
      </c>
      <c r="L658" s="10"/>
      <c r="M658" s="146"/>
      <c r="T658">
        <v>514</v>
      </c>
    </row>
    <row r="659" spans="1:20">
      <c r="A659" s="47">
        <v>55</v>
      </c>
      <c r="B659" s="47" t="s">
        <v>1192</v>
      </c>
      <c r="C659" s="47">
        <v>9901080058</v>
      </c>
      <c r="D659" s="47" t="s">
        <v>1258</v>
      </c>
      <c r="E659" s="47" t="s">
        <v>1217</v>
      </c>
      <c r="I659" s="48">
        <v>1226600000</v>
      </c>
      <c r="J659" s="167">
        <f>ROUND(((100%+$M$605)*Table5[[#This Row],[قیمت (ریال)]])*(100%+$M$606),-6)</f>
        <v>1472000000</v>
      </c>
      <c r="L659" s="10"/>
      <c r="M659" s="146"/>
      <c r="T659">
        <v>515</v>
      </c>
    </row>
    <row r="660" spans="1:20">
      <c r="A660" s="47">
        <v>56</v>
      </c>
      <c r="B660" s="47" t="s">
        <v>1192</v>
      </c>
      <c r="C660" s="47">
        <v>9901080059</v>
      </c>
      <c r="D660" s="47" t="s">
        <v>1259</v>
      </c>
      <c r="I660" s="48">
        <v>1226600000</v>
      </c>
      <c r="J660" s="167">
        <f>ROUND(((100%+$M$605)*Table5[[#This Row],[قیمت (ریال)]])*(100%+$M$606),-6)</f>
        <v>1472000000</v>
      </c>
      <c r="L660" s="10"/>
      <c r="M660" s="146"/>
      <c r="T660">
        <v>516</v>
      </c>
    </row>
    <row r="661" spans="1:20">
      <c r="A661" s="47">
        <v>57</v>
      </c>
      <c r="B661" s="47" t="s">
        <v>1192</v>
      </c>
      <c r="C661" s="47">
        <v>9901080060</v>
      </c>
      <c r="D661" s="47" t="s">
        <v>1260</v>
      </c>
      <c r="E661" s="47" t="s">
        <v>1217</v>
      </c>
      <c r="I661" s="48">
        <v>1552800000</v>
      </c>
      <c r="J661" s="167">
        <f>ROUND(((100%+$M$605)*Table5[[#This Row],[قیمت (ریال)]])*(100%+$M$606),-6)</f>
        <v>1863000000</v>
      </c>
      <c r="L661" s="10"/>
      <c r="M661" s="146"/>
      <c r="T661">
        <v>517</v>
      </c>
    </row>
    <row r="662" spans="1:20">
      <c r="A662" s="47">
        <v>58</v>
      </c>
      <c r="B662" s="47" t="s">
        <v>1192</v>
      </c>
      <c r="C662" s="47">
        <v>9901080061</v>
      </c>
      <c r="D662" s="47" t="s">
        <v>1261</v>
      </c>
      <c r="E662" s="47" t="s">
        <v>1217</v>
      </c>
      <c r="I662" s="48">
        <v>1552800000</v>
      </c>
      <c r="J662" s="167">
        <f>ROUND(((100%+$M$605)*Table5[[#This Row],[قیمت (ریال)]])*(100%+$M$606),-6)</f>
        <v>1863000000</v>
      </c>
      <c r="L662" s="10"/>
      <c r="M662" s="146"/>
      <c r="T662">
        <v>518</v>
      </c>
    </row>
    <row r="663" spans="1:20">
      <c r="A663" s="47">
        <v>59</v>
      </c>
      <c r="B663" s="47" t="s">
        <v>1192</v>
      </c>
      <c r="C663" s="47">
        <v>9901080062</v>
      </c>
      <c r="D663" s="47" t="s">
        <v>1262</v>
      </c>
      <c r="E663" s="47" t="s">
        <v>1217</v>
      </c>
      <c r="I663" s="48">
        <v>1552800000</v>
      </c>
      <c r="J663" s="167">
        <f>ROUND(((100%+$M$605)*Table5[[#This Row],[قیمت (ریال)]])*(100%+$M$606),-6)</f>
        <v>1863000000</v>
      </c>
      <c r="L663" s="10"/>
      <c r="M663" s="146"/>
      <c r="T663">
        <v>519</v>
      </c>
    </row>
    <row r="664" spans="1:20">
      <c r="A664" s="47">
        <v>60</v>
      </c>
      <c r="B664" s="47" t="s">
        <v>1192</v>
      </c>
      <c r="C664" s="47">
        <v>9901080064</v>
      </c>
      <c r="D664" s="47" t="s">
        <v>1263</v>
      </c>
      <c r="E664" s="47" t="s">
        <v>1217</v>
      </c>
      <c r="I664" s="48">
        <v>1552800000</v>
      </c>
      <c r="J664" s="167">
        <f>ROUND(((100%+$M$605)*Table5[[#This Row],[قیمت (ریال)]])*(100%+$M$606),-6)</f>
        <v>1863000000</v>
      </c>
      <c r="L664" s="10"/>
      <c r="M664" s="146"/>
      <c r="T664">
        <v>520</v>
      </c>
    </row>
    <row r="665" spans="1:20">
      <c r="A665" s="47">
        <v>61</v>
      </c>
      <c r="B665" s="47" t="s">
        <v>1192</v>
      </c>
      <c r="C665" s="47">
        <v>9901080065</v>
      </c>
      <c r="D665" s="47" t="s">
        <v>1264</v>
      </c>
      <c r="E665" s="47" t="s">
        <v>1217</v>
      </c>
      <c r="I665" s="48">
        <v>1690400000</v>
      </c>
      <c r="J665" s="167">
        <f>ROUND(((100%+$M$605)*Table5[[#This Row],[قیمت (ریال)]])*(100%+$M$606),-6)</f>
        <v>2028000000</v>
      </c>
      <c r="L665" s="10"/>
      <c r="M665" s="146"/>
      <c r="T665">
        <v>521</v>
      </c>
    </row>
    <row r="666" spans="1:20">
      <c r="A666" s="47">
        <v>62</v>
      </c>
      <c r="B666" s="47" t="s">
        <v>1192</v>
      </c>
      <c r="C666" s="47">
        <v>9901080066</v>
      </c>
      <c r="D666" s="47" t="s">
        <v>1265</v>
      </c>
      <c r="E666" s="47" t="s">
        <v>1217</v>
      </c>
      <c r="I666" s="48">
        <v>1690400000</v>
      </c>
      <c r="J666" s="167">
        <f>ROUND(((100%+$M$605)*Table5[[#This Row],[قیمت (ریال)]])*(100%+$M$606),-6)</f>
        <v>2028000000</v>
      </c>
      <c r="L666" s="10"/>
      <c r="M666" s="146"/>
      <c r="T666">
        <v>522</v>
      </c>
    </row>
    <row r="667" spans="1:20">
      <c r="A667" s="47">
        <v>63</v>
      </c>
      <c r="B667" s="47" t="s">
        <v>1192</v>
      </c>
      <c r="C667" s="47">
        <v>9901080067</v>
      </c>
      <c r="D667" s="47" t="s">
        <v>1266</v>
      </c>
      <c r="E667" s="47" t="s">
        <v>1217</v>
      </c>
      <c r="I667" s="48">
        <v>1847600000</v>
      </c>
      <c r="J667" s="167">
        <f>ROUND(((100%+$M$605)*Table5[[#This Row],[قیمت (ریال)]])*(100%+$M$606),-6)</f>
        <v>2217000000</v>
      </c>
      <c r="L667" s="10"/>
      <c r="M667" s="146"/>
      <c r="T667">
        <v>523</v>
      </c>
    </row>
    <row r="668" spans="1:20">
      <c r="A668" s="47">
        <v>64</v>
      </c>
      <c r="B668" s="47" t="s">
        <v>1192</v>
      </c>
      <c r="C668" s="47">
        <v>9901080068</v>
      </c>
      <c r="D668" s="47" t="s">
        <v>1267</v>
      </c>
      <c r="E668" s="47" t="s">
        <v>1220</v>
      </c>
      <c r="I668" s="48">
        <v>2162200000</v>
      </c>
      <c r="J668" s="167">
        <f>ROUND(((100%+$M$605)*Table5[[#This Row],[قیمت (ریال)]])*(100%+$M$606),-6)</f>
        <v>2595000000</v>
      </c>
      <c r="L668" s="10"/>
      <c r="M668" s="146"/>
      <c r="T668">
        <v>524</v>
      </c>
    </row>
    <row r="669" spans="1:20">
      <c r="A669" s="47">
        <v>65</v>
      </c>
      <c r="B669" s="47" t="s">
        <v>1192</v>
      </c>
      <c r="C669" s="47">
        <v>9901080069</v>
      </c>
      <c r="D669" s="47" t="s">
        <v>1268</v>
      </c>
      <c r="E669" s="47" t="s">
        <v>1220</v>
      </c>
      <c r="I669" s="48">
        <v>2398000000</v>
      </c>
      <c r="J669" s="167">
        <f>ROUND(((100%+$M$605)*Table5[[#This Row],[قیمت (ریال)]])*(100%+$M$606),-6)</f>
        <v>2878000000</v>
      </c>
      <c r="L669" s="10"/>
      <c r="M669" s="146"/>
      <c r="T669">
        <v>525</v>
      </c>
    </row>
    <row r="670" spans="1:20">
      <c r="A670" s="47">
        <v>66</v>
      </c>
      <c r="B670" s="47" t="s">
        <v>1192</v>
      </c>
      <c r="C670" s="47">
        <v>9901080070</v>
      </c>
      <c r="D670" s="47" t="s">
        <v>1269</v>
      </c>
      <c r="E670" s="47" t="s">
        <v>1220</v>
      </c>
      <c r="I670" s="48">
        <v>2398000000</v>
      </c>
      <c r="J670" s="167">
        <f>ROUND(((100%+$M$605)*Table5[[#This Row],[قیمت (ریال)]])*(100%+$M$606),-6)</f>
        <v>2878000000</v>
      </c>
      <c r="L670" s="10"/>
      <c r="M670" s="146"/>
      <c r="T670">
        <v>526</v>
      </c>
    </row>
    <row r="671" spans="1:20">
      <c r="A671" s="47">
        <v>67</v>
      </c>
      <c r="B671" s="47" t="s">
        <v>1192</v>
      </c>
      <c r="C671" s="47">
        <v>9901080071</v>
      </c>
      <c r="D671" s="47" t="s">
        <v>1270</v>
      </c>
      <c r="E671" s="47" t="s">
        <v>1220</v>
      </c>
      <c r="I671" s="48">
        <v>2398000000</v>
      </c>
      <c r="J671" s="167">
        <f>ROUND(((100%+$M$605)*Table5[[#This Row],[قیمت (ریال)]])*(100%+$M$606),-6)</f>
        <v>2878000000</v>
      </c>
      <c r="L671" s="10"/>
      <c r="M671" s="146"/>
      <c r="T671">
        <v>527</v>
      </c>
    </row>
    <row r="672" spans="1:20">
      <c r="A672" s="47">
        <v>68</v>
      </c>
      <c r="B672" s="47" t="s">
        <v>1192</v>
      </c>
      <c r="C672" s="47">
        <v>9901080072</v>
      </c>
      <c r="D672" s="47" t="s">
        <v>1271</v>
      </c>
      <c r="E672" s="47" t="s">
        <v>1220</v>
      </c>
      <c r="I672" s="48">
        <v>2555300000</v>
      </c>
      <c r="J672" s="167">
        <f>ROUND(((100%+$M$605)*Table5[[#This Row],[قیمت (ریال)]])*(100%+$M$606),-6)</f>
        <v>3066000000</v>
      </c>
      <c r="L672" s="10"/>
      <c r="M672" s="146"/>
      <c r="T672">
        <v>528</v>
      </c>
    </row>
    <row r="673" spans="1:20">
      <c r="A673" s="47">
        <v>69</v>
      </c>
      <c r="B673" s="47" t="s">
        <v>1192</v>
      </c>
      <c r="C673" s="47">
        <v>9901080073</v>
      </c>
      <c r="D673" s="47" t="s">
        <v>1272</v>
      </c>
      <c r="E673" s="47" t="s">
        <v>1229</v>
      </c>
      <c r="I673" s="48">
        <v>521000000</v>
      </c>
      <c r="J673" s="167">
        <f>ROUND(((100%+$M$605)*Table5[[#This Row],[قیمت (ریال)]])*(100%+$M$606),-6)</f>
        <v>625000000</v>
      </c>
      <c r="L673" s="10"/>
      <c r="M673" s="146"/>
      <c r="T673">
        <v>529</v>
      </c>
    </row>
    <row r="674" spans="1:20">
      <c r="A674" s="47">
        <v>70</v>
      </c>
      <c r="B674" s="47" t="s">
        <v>1192</v>
      </c>
      <c r="C674" s="47">
        <v>9901080074</v>
      </c>
      <c r="D674" s="47" t="s">
        <v>1273</v>
      </c>
      <c r="E674" s="47" t="s">
        <v>1229</v>
      </c>
      <c r="I674" s="48">
        <v>521000000</v>
      </c>
      <c r="J674" s="167">
        <f>ROUND(((100%+$M$605)*Table5[[#This Row],[قیمت (ریال)]])*(100%+$M$606),-6)</f>
        <v>625000000</v>
      </c>
      <c r="T674">
        <v>530</v>
      </c>
    </row>
    <row r="675" spans="1:20">
      <c r="A675" s="47">
        <v>71</v>
      </c>
      <c r="B675" s="47" t="s">
        <v>1192</v>
      </c>
      <c r="C675" s="47">
        <v>9901080075</v>
      </c>
      <c r="D675" s="47" t="s">
        <v>1274</v>
      </c>
      <c r="E675" s="47" t="s">
        <v>1275</v>
      </c>
      <c r="I675" s="48">
        <v>521000000</v>
      </c>
      <c r="J675" s="167">
        <f>ROUND(((100%+$M$605)*Table5[[#This Row],[قیمت (ریال)]])*(100%+$M$606),-6)</f>
        <v>625000000</v>
      </c>
      <c r="T675">
        <v>531</v>
      </c>
    </row>
    <row r="676" spans="1:20">
      <c r="A676" s="47">
        <v>72</v>
      </c>
      <c r="B676" s="47" t="s">
        <v>1192</v>
      </c>
      <c r="C676" s="47">
        <v>9901080076</v>
      </c>
      <c r="D676" s="47" t="s">
        <v>1276</v>
      </c>
      <c r="E676" s="47" t="s">
        <v>1275</v>
      </c>
      <c r="I676" s="48">
        <v>521000000</v>
      </c>
      <c r="J676" s="167">
        <f>ROUND(((100%+$M$605)*Table5[[#This Row],[قیمت (ریال)]])*(100%+$M$606),-6)</f>
        <v>625000000</v>
      </c>
      <c r="L676" s="10"/>
      <c r="M676" s="10"/>
      <c r="T676">
        <v>532</v>
      </c>
    </row>
    <row r="677" spans="1:20">
      <c r="A677" s="47">
        <v>73</v>
      </c>
      <c r="B677" s="47" t="s">
        <v>1192</v>
      </c>
      <c r="C677" s="47">
        <v>9901080077</v>
      </c>
      <c r="D677" s="47" t="s">
        <v>1277</v>
      </c>
      <c r="E677" s="47" t="s">
        <v>1278</v>
      </c>
      <c r="I677" s="48">
        <v>845300000</v>
      </c>
      <c r="J677" s="167">
        <f>ROUND(((100%+$M$605)*Table5[[#This Row],[قیمت (ریال)]])*(100%+$M$606),-6)</f>
        <v>1014000000</v>
      </c>
      <c r="L677" s="10"/>
      <c r="M677" s="10"/>
      <c r="T677">
        <v>533</v>
      </c>
    </row>
    <row r="678" spans="1:20">
      <c r="A678" s="47">
        <v>74</v>
      </c>
      <c r="B678" s="47" t="s">
        <v>1192</v>
      </c>
      <c r="C678" s="47">
        <v>9901080117</v>
      </c>
      <c r="D678" s="47" t="s">
        <v>1279</v>
      </c>
      <c r="I678" s="48">
        <v>121700000</v>
      </c>
      <c r="J678" s="167">
        <f>ROUND(((100%+$M$605)*Table5[[#This Row],[قیمت (ریال)]])*(100%+$M$606),-6)</f>
        <v>146000000</v>
      </c>
      <c r="L678" s="10"/>
      <c r="M678" s="10"/>
      <c r="T678">
        <v>534</v>
      </c>
    </row>
    <row r="679" spans="1:20">
      <c r="A679" s="47">
        <v>75</v>
      </c>
      <c r="B679" s="47" t="s">
        <v>1192</v>
      </c>
      <c r="C679" s="47">
        <v>9901080124</v>
      </c>
      <c r="D679" s="47" t="s">
        <v>1280</v>
      </c>
      <c r="I679" s="48">
        <v>1347800000</v>
      </c>
      <c r="J679" s="167">
        <f>ROUND(((100%+$M$605)*Table5[[#This Row],[قیمت (ریال)]])*(100%+$M$606),-6)</f>
        <v>1617000000</v>
      </c>
      <c r="L679" s="10"/>
      <c r="M679" s="146"/>
      <c r="T679">
        <v>535</v>
      </c>
    </row>
    <row r="680" spans="1:20">
      <c r="A680" s="47">
        <v>76</v>
      </c>
      <c r="B680" s="47" t="s">
        <v>1192</v>
      </c>
      <c r="C680" s="47">
        <v>9901080125</v>
      </c>
      <c r="D680" s="47" t="s">
        <v>1281</v>
      </c>
      <c r="I680" s="48">
        <v>1347800000</v>
      </c>
      <c r="J680" s="167">
        <f>ROUND(((100%+$M$605)*Table5[[#This Row],[قیمت (ریال)]])*(100%+$M$606),-6)</f>
        <v>1617000000</v>
      </c>
      <c r="T680">
        <v>536</v>
      </c>
    </row>
    <row r="681" spans="1:20">
      <c r="J681" s="167"/>
    </row>
    <row r="682" spans="1:20">
      <c r="J682" s="167"/>
    </row>
    <row r="683" spans="1:20">
      <c r="J683" s="167"/>
    </row>
    <row r="684" spans="1:20">
      <c r="J684" s="167"/>
    </row>
    <row r="685" spans="1:20" ht="19.5" thickBot="1">
      <c r="A685" s="50" t="s">
        <v>0</v>
      </c>
      <c r="B685" s="50" t="s">
        <v>530</v>
      </c>
      <c r="C685" s="50" t="s">
        <v>1</v>
      </c>
      <c r="D685" s="50" t="s">
        <v>448</v>
      </c>
      <c r="E685" s="50" t="s">
        <v>767</v>
      </c>
      <c r="F685" s="50" t="s">
        <v>768</v>
      </c>
      <c r="G685" s="50" t="s">
        <v>769</v>
      </c>
      <c r="H685" s="50" t="s">
        <v>770</v>
      </c>
      <c r="I685" s="51" t="s">
        <v>251</v>
      </c>
      <c r="J685" s="166" t="s">
        <v>431</v>
      </c>
    </row>
    <row r="686" spans="1:20">
      <c r="A686" s="47">
        <v>1</v>
      </c>
      <c r="B686" s="47" t="s">
        <v>1059</v>
      </c>
      <c r="C686" s="47">
        <v>9901030196</v>
      </c>
      <c r="D686" s="47" t="s">
        <v>1060</v>
      </c>
      <c r="E686" s="47" t="s">
        <v>261</v>
      </c>
      <c r="I686" s="48">
        <v>124300000</v>
      </c>
      <c r="J686" s="167">
        <f>ROUND(((100%+$M$686)*Table6081[[#This Row],[قیمت (ریال)]])*(100%+$M$687),-6)</f>
        <v>149000000</v>
      </c>
      <c r="L686" s="120" t="s">
        <v>777</v>
      </c>
      <c r="M686" s="121">
        <v>0.2</v>
      </c>
      <c r="T686" s="29">
        <v>537</v>
      </c>
    </row>
    <row r="687" spans="1:20" ht="19.5" thickBot="1">
      <c r="A687" s="47">
        <v>2</v>
      </c>
      <c r="B687" s="47" t="s">
        <v>1059</v>
      </c>
      <c r="C687" s="47">
        <v>9901030324</v>
      </c>
      <c r="D687" s="47" t="s">
        <v>1064</v>
      </c>
      <c r="E687" s="47" t="s">
        <v>261</v>
      </c>
      <c r="I687" s="48">
        <v>97700000</v>
      </c>
      <c r="J687" s="167">
        <f>ROUND(((100%+$M$686)*Table6081[[#This Row],[قیمت (ریال)]])*(100%+$M$687),-6)</f>
        <v>117000000</v>
      </c>
      <c r="L687" s="122" t="s">
        <v>779</v>
      </c>
      <c r="M687" s="123">
        <v>0</v>
      </c>
      <c r="T687" s="29">
        <v>538</v>
      </c>
    </row>
    <row r="688" spans="1:20">
      <c r="A688" s="47">
        <v>3</v>
      </c>
      <c r="B688" s="47" t="s">
        <v>1059</v>
      </c>
      <c r="C688" s="47">
        <v>9901030406</v>
      </c>
      <c r="D688" s="47" t="s">
        <v>1061</v>
      </c>
      <c r="E688" s="47" t="s">
        <v>1062</v>
      </c>
      <c r="I688" s="48">
        <v>54000000</v>
      </c>
      <c r="J688" s="167">
        <f>ROUND(((100%+$M$686)*Table6081[[#This Row],[قیمت (ریال)]])*(100%+$M$687),-6)</f>
        <v>65000000</v>
      </c>
      <c r="T688" s="29">
        <v>539</v>
      </c>
    </row>
    <row r="689" spans="1:20">
      <c r="A689" s="47">
        <v>4</v>
      </c>
      <c r="B689" s="47" t="s">
        <v>1059</v>
      </c>
      <c r="C689" s="47">
        <v>9901030407</v>
      </c>
      <c r="D689" s="47" t="s">
        <v>1063</v>
      </c>
      <c r="E689" s="47" t="s">
        <v>1062</v>
      </c>
      <c r="I689" s="48">
        <v>54000000</v>
      </c>
      <c r="J689" s="167">
        <f>ROUND(((100%+$M$686)*Table6081[[#This Row],[قیمت (ریال)]])*(100%+$M$687),-6)</f>
        <v>65000000</v>
      </c>
      <c r="T689" s="29">
        <v>540</v>
      </c>
    </row>
    <row r="690" spans="1:20">
      <c r="A690" s="47">
        <v>5</v>
      </c>
      <c r="B690" s="47" t="s">
        <v>1059</v>
      </c>
      <c r="C690" s="47">
        <v>9901030408</v>
      </c>
      <c r="D690" s="47" t="s">
        <v>1526</v>
      </c>
      <c r="E690" s="47" t="s">
        <v>1062</v>
      </c>
      <c r="I690" s="48">
        <v>70700000</v>
      </c>
      <c r="J690" s="167">
        <f>ROUND(((100%+$M$686)*Table6081[[#This Row],[قیمت (ریال)]])*(100%+$M$687),-6)</f>
        <v>85000000</v>
      </c>
      <c r="T690" s="29">
        <v>541</v>
      </c>
    </row>
    <row r="691" spans="1:20">
      <c r="J691" s="168"/>
      <c r="L691" s="10"/>
      <c r="M691" s="10"/>
    </row>
    <row r="692" spans="1:20">
      <c r="J692" s="168"/>
      <c r="L692" s="10"/>
      <c r="M692" s="10"/>
    </row>
    <row r="693" spans="1:20">
      <c r="J693" s="168"/>
    </row>
    <row r="694" spans="1:20">
      <c r="J694" s="168"/>
    </row>
    <row r="695" spans="1:20">
      <c r="J695" s="168"/>
    </row>
    <row r="696" spans="1:20">
      <c r="J696" s="168"/>
    </row>
    <row r="697" spans="1:20">
      <c r="J697" s="168"/>
    </row>
    <row r="698" spans="1:20">
      <c r="J698" s="168"/>
    </row>
    <row r="699" spans="1:20" ht="19.5" thickBot="1">
      <c r="J699" s="168"/>
    </row>
    <row r="700" spans="1:20">
      <c r="A700" s="50" t="s">
        <v>0</v>
      </c>
      <c r="B700" s="50" t="s">
        <v>530</v>
      </c>
      <c r="C700" s="50" t="s">
        <v>1</v>
      </c>
      <c r="D700" s="50" t="s">
        <v>448</v>
      </c>
      <c r="E700" s="50" t="s">
        <v>767</v>
      </c>
      <c r="F700" s="50" t="s">
        <v>768</v>
      </c>
      <c r="G700" s="50" t="s">
        <v>769</v>
      </c>
      <c r="H700" s="50" t="s">
        <v>770</v>
      </c>
      <c r="I700" s="51" t="s">
        <v>251</v>
      </c>
      <c r="J700" s="166" t="s">
        <v>431</v>
      </c>
      <c r="L700" s="120" t="s">
        <v>777</v>
      </c>
      <c r="M700" s="121">
        <v>0.2</v>
      </c>
    </row>
    <row r="701" spans="1:20" ht="19.5" thickBot="1">
      <c r="A701" s="47">
        <v>1</v>
      </c>
      <c r="B701" s="47" t="s">
        <v>1065</v>
      </c>
      <c r="C701" s="47">
        <v>9901030478</v>
      </c>
      <c r="D701" s="47" t="s">
        <v>1066</v>
      </c>
      <c r="I701" s="48">
        <v>351300000</v>
      </c>
      <c r="J701" s="167">
        <f>ROUND(((100%+$M$700)*Table31[[#This Row],[قیمت (ریال)]])*(100%+$M$701),-6)</f>
        <v>422000000</v>
      </c>
      <c r="L701" s="122" t="s">
        <v>779</v>
      </c>
      <c r="M701" s="123">
        <v>0</v>
      </c>
      <c r="T701" s="29">
        <v>542</v>
      </c>
    </row>
    <row r="702" spans="1:20">
      <c r="A702" s="47">
        <v>2</v>
      </c>
      <c r="B702" s="47" t="s">
        <v>1065</v>
      </c>
      <c r="C702" s="47">
        <v>9901030479</v>
      </c>
      <c r="D702" s="47" t="s">
        <v>1067</v>
      </c>
      <c r="I702" s="48">
        <v>351300000</v>
      </c>
      <c r="J702" s="167">
        <f>ROUND(((100%+$M$700)*Table31[[#This Row],[قیمت (ریال)]])*(100%+$M$701),-6)</f>
        <v>422000000</v>
      </c>
      <c r="T702" s="29">
        <v>543</v>
      </c>
    </row>
    <row r="703" spans="1:20">
      <c r="A703" s="47">
        <v>3</v>
      </c>
      <c r="B703" s="47" t="s">
        <v>1065</v>
      </c>
      <c r="C703" s="47">
        <v>9901030480</v>
      </c>
      <c r="D703" s="47" t="s">
        <v>1068</v>
      </c>
      <c r="I703" s="48">
        <v>351300000</v>
      </c>
      <c r="J703" s="167">
        <f>ROUND(((100%+$M$700)*Table31[[#This Row],[قیمت (ریال)]])*(100%+$M$701),-6)</f>
        <v>422000000</v>
      </c>
      <c r="T703" s="29">
        <v>544</v>
      </c>
    </row>
    <row r="704" spans="1:20">
      <c r="A704" s="47">
        <v>4</v>
      </c>
      <c r="B704" s="47" t="s">
        <v>1065</v>
      </c>
      <c r="C704" s="47">
        <v>9901030489</v>
      </c>
      <c r="D704" s="47" t="s">
        <v>1527</v>
      </c>
      <c r="I704" s="48">
        <v>579800000</v>
      </c>
      <c r="J704" s="167">
        <f>ROUND(((100%+$M$700)*Table31[[#This Row],[قیمت (ریال)]])*(100%+$M$701),-6)</f>
        <v>696000000</v>
      </c>
      <c r="T704" s="29">
        <v>545</v>
      </c>
    </row>
    <row r="705" spans="1:20">
      <c r="J705" s="168"/>
    </row>
    <row r="706" spans="1:20">
      <c r="J706" s="168"/>
    </row>
    <row r="707" spans="1:20">
      <c r="J707" s="168"/>
    </row>
    <row r="708" spans="1:20">
      <c r="J708" s="168"/>
    </row>
    <row r="709" spans="1:20" ht="19.5" thickBot="1">
      <c r="A709" s="157" t="s">
        <v>0</v>
      </c>
      <c r="B709" s="158" t="s">
        <v>530</v>
      </c>
      <c r="C709" s="158" t="s">
        <v>1</v>
      </c>
      <c r="D709" s="158" t="s">
        <v>448</v>
      </c>
      <c r="E709" s="158" t="s">
        <v>767</v>
      </c>
      <c r="F709" s="158" t="s">
        <v>768</v>
      </c>
      <c r="G709" s="158" t="s">
        <v>769</v>
      </c>
      <c r="H709" s="158" t="s">
        <v>770</v>
      </c>
      <c r="I709" s="160" t="s">
        <v>251</v>
      </c>
      <c r="J709" s="173" t="s">
        <v>431</v>
      </c>
    </row>
    <row r="710" spans="1:20">
      <c r="A710" s="47">
        <v>1</v>
      </c>
      <c r="C710" s="47">
        <v>9901030496</v>
      </c>
      <c r="D710" s="47" t="s">
        <v>1282</v>
      </c>
      <c r="I710" s="48">
        <v>6400000</v>
      </c>
      <c r="J710" s="174">
        <f>ROUND(((100%+$M$710)*Table8[[#This Row],[قیمت (ریال)]])*(100%+$M$711),-6)</f>
        <v>8000000</v>
      </c>
      <c r="L710" s="120" t="s">
        <v>777</v>
      </c>
      <c r="M710" s="121">
        <v>0.2</v>
      </c>
      <c r="T710" s="29">
        <v>546</v>
      </c>
    </row>
    <row r="711" spans="1:20" ht="19.5" thickBot="1">
      <c r="A711" s="47">
        <v>2</v>
      </c>
      <c r="C711" s="47">
        <v>9901030497</v>
      </c>
      <c r="D711" s="47" t="s">
        <v>1283</v>
      </c>
      <c r="I711" s="48">
        <v>16700000</v>
      </c>
      <c r="J711" s="174">
        <f>ROUND(((100%+$M$710)*Table8[[#This Row],[قیمت (ریال)]])*(100%+$M$711),-6)</f>
        <v>20000000</v>
      </c>
      <c r="L711" s="122" t="s">
        <v>779</v>
      </c>
      <c r="M711" s="123">
        <v>0</v>
      </c>
      <c r="T711" s="29">
        <v>547</v>
      </c>
    </row>
    <row r="712" spans="1:20">
      <c r="A712" s="47">
        <v>3</v>
      </c>
      <c r="C712" s="47">
        <v>9901030498</v>
      </c>
      <c r="D712" s="47" t="s">
        <v>1284</v>
      </c>
      <c r="I712" s="48">
        <v>8200000</v>
      </c>
      <c r="J712" s="174">
        <f>ROUND(((100%+$M$710)*Table8[[#This Row],[قیمت (ریال)]])*(100%+$M$711),-6)</f>
        <v>10000000</v>
      </c>
      <c r="T712" s="29">
        <v>548</v>
      </c>
    </row>
    <row r="713" spans="1:20">
      <c r="A713" s="47">
        <v>4</v>
      </c>
      <c r="C713" s="47">
        <v>9901030499</v>
      </c>
      <c r="D713" s="47" t="s">
        <v>1285</v>
      </c>
      <c r="I713" s="48">
        <v>8200000</v>
      </c>
      <c r="J713" s="174">
        <f>ROUND(((100%+$M$710)*Table8[[#This Row],[قیمت (ریال)]])*(100%+$M$711),-6)</f>
        <v>10000000</v>
      </c>
      <c r="T713" s="29">
        <v>549</v>
      </c>
    </row>
    <row r="714" spans="1:20">
      <c r="A714" s="47">
        <v>5</v>
      </c>
      <c r="C714" s="47">
        <v>9901030500</v>
      </c>
      <c r="D714" s="47" t="s">
        <v>1286</v>
      </c>
      <c r="I714" s="48">
        <v>7000000</v>
      </c>
      <c r="J714" s="174">
        <f>ROUND(((100%+$M$710)*Table8[[#This Row],[قیمت (ریال)]])*(100%+$M$711),-6)</f>
        <v>8000000</v>
      </c>
      <c r="T714" s="29">
        <v>550</v>
      </c>
    </row>
    <row r="715" spans="1:20">
      <c r="A715" s="47">
        <v>6</v>
      </c>
      <c r="C715" s="47">
        <v>9901030501</v>
      </c>
      <c r="D715" s="47" t="s">
        <v>1287</v>
      </c>
      <c r="I715" s="48">
        <v>6400000</v>
      </c>
      <c r="J715" s="174">
        <f>ROUND(((100%+$M$710)*Table8[[#This Row],[قیمت (ریال)]])*(100%+$M$711),-6)</f>
        <v>8000000</v>
      </c>
      <c r="T715" s="29">
        <v>551</v>
      </c>
    </row>
    <row r="716" spans="1:20">
      <c r="A716" s="47">
        <v>7</v>
      </c>
      <c r="C716" s="47">
        <v>9901030502</v>
      </c>
      <c r="D716" s="47" t="s">
        <v>1288</v>
      </c>
      <c r="I716" s="48">
        <v>7000000</v>
      </c>
      <c r="J716" s="174">
        <f>ROUND(((100%+$M$710)*Table8[[#This Row],[قیمت (ریال)]])*(100%+$M$711),-6)</f>
        <v>8000000</v>
      </c>
      <c r="T716" s="29">
        <v>552</v>
      </c>
    </row>
    <row r="717" spans="1:20">
      <c r="A717" s="47">
        <v>8</v>
      </c>
      <c r="C717" s="47">
        <v>9901030503</v>
      </c>
      <c r="D717" s="47" t="s">
        <v>1289</v>
      </c>
      <c r="I717" s="48">
        <v>7000000</v>
      </c>
      <c r="J717" s="174">
        <f>ROUND(((100%+$M$710)*Table8[[#This Row],[قیمت (ریال)]])*(100%+$M$711),-6)</f>
        <v>8000000</v>
      </c>
      <c r="T717" s="29">
        <v>553</v>
      </c>
    </row>
    <row r="718" spans="1:20">
      <c r="J718" s="168"/>
    </row>
    <row r="719" spans="1:20">
      <c r="J719" s="168"/>
    </row>
    <row r="720" spans="1:20">
      <c r="J720" s="168"/>
    </row>
    <row r="721" spans="10:10">
      <c r="J721" s="168"/>
    </row>
    <row r="722" spans="10:10">
      <c r="J722" s="168"/>
    </row>
    <row r="723" spans="10:10">
      <c r="J723" s="168"/>
    </row>
    <row r="724" spans="10:10">
      <c r="J724" s="168"/>
    </row>
    <row r="725" spans="10:10">
      <c r="J725" s="168"/>
    </row>
    <row r="726" spans="10:10">
      <c r="J726" s="168"/>
    </row>
    <row r="727" spans="10:10">
      <c r="J727" s="168"/>
    </row>
    <row r="728" spans="10:10">
      <c r="J728" s="168"/>
    </row>
    <row r="729" spans="10:10">
      <c r="J729" s="168"/>
    </row>
    <row r="730" spans="10:10">
      <c r="J730" s="168"/>
    </row>
    <row r="731" spans="10:10">
      <c r="J731" s="168"/>
    </row>
    <row r="732" spans="10:10">
      <c r="J732" s="168"/>
    </row>
    <row r="733" spans="10:10">
      <c r="J733" s="168"/>
    </row>
    <row r="734" spans="10:10">
      <c r="J734" s="168"/>
    </row>
    <row r="735" spans="10:10">
      <c r="J735" s="168"/>
    </row>
    <row r="736" spans="10:10">
      <c r="J736" s="168"/>
    </row>
    <row r="737" spans="10:10">
      <c r="J737" s="168"/>
    </row>
    <row r="738" spans="10:10">
      <c r="J738" s="168"/>
    </row>
    <row r="739" spans="10:10">
      <c r="J739" s="168"/>
    </row>
    <row r="740" spans="10:10">
      <c r="J740" s="168"/>
    </row>
    <row r="741" spans="10:10">
      <c r="J741" s="168"/>
    </row>
    <row r="742" spans="10:10">
      <c r="J742" s="168"/>
    </row>
    <row r="743" spans="10:10">
      <c r="J743" s="168"/>
    </row>
    <row r="744" spans="10:10">
      <c r="J744" s="168"/>
    </row>
    <row r="745" spans="10:10">
      <c r="J745" s="168"/>
    </row>
    <row r="746" spans="10:10">
      <c r="J746" s="168"/>
    </row>
    <row r="747" spans="10:10">
      <c r="J747" s="168"/>
    </row>
    <row r="748" spans="10:10">
      <c r="J748" s="168"/>
    </row>
    <row r="749" spans="10:10">
      <c r="J749" s="168"/>
    </row>
  </sheetData>
  <sheetProtection selectLockedCells="1" selectUnlockedCells="1"/>
  <mergeCells count="1">
    <mergeCell ref="A1:I1"/>
  </mergeCells>
  <phoneticPr fontId="1" type="noConversion"/>
  <pageMargins left="0.7" right="0.7" top="0.75" bottom="0.75" header="0.3" footer="0.3"/>
  <pageSetup paperSize="9" orientation="landscape" r:id="rId1"/>
  <tableParts count="2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2A50-538E-4B1C-8619-1C1CC59B7402}">
  <dimension ref="A1:P104"/>
  <sheetViews>
    <sheetView showGridLines="0" rightToLeft="1" topLeftCell="A78" zoomScaleNormal="100" zoomScaleSheetLayoutView="145" workbookViewId="0">
      <selection activeCell="C84" sqref="C84"/>
    </sheetView>
  </sheetViews>
  <sheetFormatPr defaultRowHeight="18.75"/>
  <cols>
    <col min="1" max="1" width="9.42578125" bestFit="1" customWidth="1"/>
    <col min="2" max="2" width="14" bestFit="1" customWidth="1"/>
    <col min="3" max="3" width="25.7109375" customWidth="1"/>
    <col min="4" max="4" width="35" bestFit="1" customWidth="1"/>
    <col min="5" max="5" width="17" bestFit="1" customWidth="1"/>
    <col min="6" max="6" width="25" style="10" customWidth="1"/>
    <col min="7" max="9" width="9.140625" customWidth="1"/>
    <col min="10" max="11" width="9.140625" style="10" customWidth="1"/>
    <col min="12" max="15" width="9.140625" customWidth="1"/>
    <col min="16" max="16" width="0" hidden="1" customWidth="1"/>
  </cols>
  <sheetData>
    <row r="1" spans="1:16" ht="20.25">
      <c r="A1" s="261" t="s">
        <v>1148</v>
      </c>
      <c r="B1" s="261"/>
      <c r="C1" s="261"/>
      <c r="D1" s="261"/>
      <c r="E1" s="261"/>
      <c r="F1" s="261"/>
    </row>
    <row r="2" spans="1:16">
      <c r="A2" s="1" t="s">
        <v>0</v>
      </c>
      <c r="B2" s="1" t="s">
        <v>530</v>
      </c>
      <c r="C2" s="1" t="s">
        <v>1</v>
      </c>
      <c r="D2" s="1" t="s">
        <v>448</v>
      </c>
      <c r="E2" s="1" t="s">
        <v>251</v>
      </c>
      <c r="F2" s="8" t="s">
        <v>431</v>
      </c>
      <c r="P2" t="s">
        <v>1101</v>
      </c>
    </row>
    <row r="3" spans="1:16">
      <c r="A3" s="2">
        <v>1</v>
      </c>
      <c r="B3" s="2" t="s">
        <v>532</v>
      </c>
      <c r="C3" s="5" t="s">
        <v>533</v>
      </c>
      <c r="D3" s="6" t="s">
        <v>534</v>
      </c>
      <c r="E3" s="9">
        <v>74900000</v>
      </c>
      <c r="F3" s="9">
        <f>ROUND(((100%+$K$4)*Table1085024[[#This Row],[قیمت (ریال)]])*(100%+$K$5),-6)</f>
        <v>90000000</v>
      </c>
      <c r="P3">
        <v>2</v>
      </c>
    </row>
    <row r="4" spans="1:16">
      <c r="A4" s="2">
        <f t="shared" ref="A4:A14" si="0">A3+1</f>
        <v>2</v>
      </c>
      <c r="B4" s="2" t="s">
        <v>532</v>
      </c>
      <c r="C4" s="5" t="s">
        <v>535</v>
      </c>
      <c r="D4" s="6" t="s">
        <v>536</v>
      </c>
      <c r="E4" s="9">
        <v>84200000</v>
      </c>
      <c r="F4" s="9">
        <f>ROUND(((100%+$K$4)*Table1085024[[#This Row],[قیمت (ریال)]])*(100%+$K$5),-6)</f>
        <v>101000000</v>
      </c>
      <c r="J4" s="118" t="s">
        <v>696</v>
      </c>
      <c r="K4" s="119">
        <v>0.2</v>
      </c>
      <c r="P4">
        <v>3</v>
      </c>
    </row>
    <row r="5" spans="1:16">
      <c r="A5" s="2">
        <f t="shared" si="0"/>
        <v>3</v>
      </c>
      <c r="B5" s="2" t="s">
        <v>532</v>
      </c>
      <c r="C5" s="5" t="s">
        <v>537</v>
      </c>
      <c r="D5" s="6" t="s">
        <v>538</v>
      </c>
      <c r="E5" s="9">
        <v>64600000</v>
      </c>
      <c r="F5" s="9">
        <f>ROUND(((100%+$K$4)*Table1085024[[#This Row],[قیمت (ریال)]])*(100%+$K$5),-6)</f>
        <v>78000000</v>
      </c>
      <c r="J5" s="118" t="s">
        <v>697</v>
      </c>
      <c r="K5" s="119">
        <v>0</v>
      </c>
      <c r="P5">
        <v>4</v>
      </c>
    </row>
    <row r="6" spans="1:16">
      <c r="A6" s="2">
        <f t="shared" si="0"/>
        <v>4</v>
      </c>
      <c r="B6" s="2" t="s">
        <v>532</v>
      </c>
      <c r="C6" s="5" t="s">
        <v>539</v>
      </c>
      <c r="D6" s="6" t="s">
        <v>540</v>
      </c>
      <c r="E6" s="9">
        <v>56000000</v>
      </c>
      <c r="F6" s="9">
        <f>ROUND(((100%+$K$4)*Table1085024[[#This Row],[قیمت (ریال)]])*(100%+$K$5),-6)</f>
        <v>67000000</v>
      </c>
      <c r="P6">
        <v>5</v>
      </c>
    </row>
    <row r="7" spans="1:16">
      <c r="A7" s="2">
        <f t="shared" si="0"/>
        <v>5</v>
      </c>
      <c r="B7" s="2" t="s">
        <v>532</v>
      </c>
      <c r="C7" s="5" t="s">
        <v>541</v>
      </c>
      <c r="D7" s="6" t="s">
        <v>542</v>
      </c>
      <c r="E7" s="9">
        <v>63600000</v>
      </c>
      <c r="F7" s="9">
        <f>ROUND(((100%+$K$4)*Table1085024[[#This Row],[قیمت (ریال)]])*(100%+$K$5),-6)</f>
        <v>76000000</v>
      </c>
      <c r="P7">
        <v>6</v>
      </c>
    </row>
    <row r="8" spans="1:16">
      <c r="A8" s="2">
        <f t="shared" si="0"/>
        <v>6</v>
      </c>
      <c r="B8" s="2" t="s">
        <v>532</v>
      </c>
      <c r="C8" s="5" t="s">
        <v>543</v>
      </c>
      <c r="D8" s="6" t="s">
        <v>544</v>
      </c>
      <c r="E8" s="9">
        <v>63600000</v>
      </c>
      <c r="F8" s="9">
        <f>ROUND(((100%+$K$4)*Table1085024[[#This Row],[قیمت (ریال)]])*(100%+$K$5),-6)</f>
        <v>76000000</v>
      </c>
      <c r="P8">
        <v>7</v>
      </c>
    </row>
    <row r="9" spans="1:16">
      <c r="A9" s="2">
        <f t="shared" si="0"/>
        <v>7</v>
      </c>
      <c r="B9" s="2" t="s">
        <v>532</v>
      </c>
      <c r="C9" s="5" t="s">
        <v>545</v>
      </c>
      <c r="D9" s="6" t="s">
        <v>546</v>
      </c>
      <c r="E9" s="9">
        <v>63600000</v>
      </c>
      <c r="F9" s="9">
        <f>ROUND(((100%+$K$4)*Table1085024[[#This Row],[قیمت (ریال)]])*(100%+$K$5),-6)</f>
        <v>76000000</v>
      </c>
      <c r="P9">
        <v>8</v>
      </c>
    </row>
    <row r="10" spans="1:16">
      <c r="A10" s="2">
        <f t="shared" si="0"/>
        <v>8</v>
      </c>
      <c r="B10" s="2" t="s">
        <v>532</v>
      </c>
      <c r="C10" s="5" t="s">
        <v>547</v>
      </c>
      <c r="D10" s="6" t="s">
        <v>548</v>
      </c>
      <c r="E10" s="9">
        <v>73000000</v>
      </c>
      <c r="F10" s="9">
        <f>ROUND(((100%+$K$4)*Table1085024[[#This Row],[قیمت (ریال)]])*(100%+$K$5),-6)</f>
        <v>88000000</v>
      </c>
      <c r="P10">
        <v>9</v>
      </c>
    </row>
    <row r="11" spans="1:16">
      <c r="A11" s="2">
        <f t="shared" si="0"/>
        <v>9</v>
      </c>
      <c r="B11" s="2" t="s">
        <v>532</v>
      </c>
      <c r="C11" s="5" t="s">
        <v>549</v>
      </c>
      <c r="D11" s="6" t="s">
        <v>550</v>
      </c>
      <c r="E11" s="9">
        <v>89900000</v>
      </c>
      <c r="F11" s="9">
        <f>ROUND(((100%+$K$4)*Table1085024[[#This Row],[قیمت (ریال)]])*(100%+$K$5),-6)</f>
        <v>108000000</v>
      </c>
      <c r="P11">
        <v>10</v>
      </c>
    </row>
    <row r="12" spans="1:16">
      <c r="A12" s="2">
        <f t="shared" si="0"/>
        <v>10</v>
      </c>
      <c r="B12" s="5" t="s">
        <v>532</v>
      </c>
      <c r="C12" s="5">
        <v>9900120023</v>
      </c>
      <c r="D12" s="6" t="s">
        <v>1087</v>
      </c>
      <c r="E12" s="9">
        <v>144000000</v>
      </c>
      <c r="F12" s="9">
        <f>ROUND(((100%+$K$4)*Table1085024[[#This Row],[قیمت (ریال)]])*(100%+$K$5),-6)</f>
        <v>173000000</v>
      </c>
      <c r="P12">
        <v>11</v>
      </c>
    </row>
    <row r="13" spans="1:16">
      <c r="A13" s="2">
        <f t="shared" si="0"/>
        <v>11</v>
      </c>
      <c r="B13" s="5" t="s">
        <v>532</v>
      </c>
      <c r="C13" s="5">
        <v>9900120024</v>
      </c>
      <c r="D13" s="6" t="s">
        <v>1088</v>
      </c>
      <c r="E13" s="9">
        <v>88000000</v>
      </c>
      <c r="F13" s="9">
        <f>ROUND(((100%+$K$4)*Table1085024[[#This Row],[قیمت (ریال)]])*(100%+$K$5),-6)</f>
        <v>106000000</v>
      </c>
      <c r="P13">
        <v>12</v>
      </c>
    </row>
    <row r="14" spans="1:16">
      <c r="A14" s="2">
        <f t="shared" si="0"/>
        <v>12</v>
      </c>
      <c r="B14" s="5" t="s">
        <v>532</v>
      </c>
      <c r="C14" s="6">
        <v>9900120025</v>
      </c>
      <c r="D14" s="6" t="s">
        <v>1086</v>
      </c>
      <c r="E14" s="9">
        <v>136800000</v>
      </c>
      <c r="F14" s="9">
        <f>ROUND(((100%+$K$4)*Table1085024[[#This Row],[قیمت (ریال)]])*(100%+$K$5),-6)</f>
        <v>164000000</v>
      </c>
      <c r="P14">
        <v>13</v>
      </c>
    </row>
    <row r="15" spans="1:16">
      <c r="A15" s="55"/>
      <c r="B15" s="56"/>
      <c r="C15" s="57"/>
      <c r="D15" s="57"/>
      <c r="E15" s="58"/>
      <c r="F15" s="9"/>
    </row>
    <row r="16" spans="1:16">
      <c r="A16" s="55"/>
      <c r="B16" s="56"/>
      <c r="C16" s="57"/>
      <c r="D16" s="57"/>
      <c r="E16" s="58"/>
      <c r="F16" s="9"/>
    </row>
    <row r="17" spans="1:16">
      <c r="A17" s="2"/>
      <c r="B17" s="2"/>
      <c r="C17" s="5"/>
      <c r="D17" s="6"/>
      <c r="E17" s="4"/>
    </row>
    <row r="19" spans="1:16">
      <c r="A19" s="1" t="s">
        <v>0</v>
      </c>
      <c r="B19" s="1" t="s">
        <v>530</v>
      </c>
      <c r="C19" s="1" t="s">
        <v>1</v>
      </c>
      <c r="D19" s="1" t="s">
        <v>448</v>
      </c>
      <c r="E19" s="1" t="s">
        <v>251</v>
      </c>
      <c r="F19" s="8" t="s">
        <v>431</v>
      </c>
      <c r="J19" s="118" t="s">
        <v>696</v>
      </c>
      <c r="K19" s="119">
        <v>0.2</v>
      </c>
    </row>
    <row r="20" spans="1:16">
      <c r="A20" s="2">
        <v>1</v>
      </c>
      <c r="B20" s="5" t="s">
        <v>531</v>
      </c>
      <c r="C20" s="5" t="s">
        <v>551</v>
      </c>
      <c r="D20" s="6" t="s">
        <v>552</v>
      </c>
      <c r="E20" s="4">
        <v>279600000</v>
      </c>
      <c r="F20" s="9">
        <f>ROUND(((100%+$K$19)*Table10850247[[#This Row],[قیمت (ریال)]])*(100%+$K$20),-6)</f>
        <v>336000000</v>
      </c>
      <c r="J20" s="118" t="s">
        <v>697</v>
      </c>
      <c r="K20" s="119">
        <v>0</v>
      </c>
      <c r="P20">
        <v>14</v>
      </c>
    </row>
    <row r="21" spans="1:16">
      <c r="A21" s="2">
        <f>A20+1</f>
        <v>2</v>
      </c>
      <c r="B21" s="5" t="s">
        <v>531</v>
      </c>
      <c r="C21" s="5" t="s">
        <v>553</v>
      </c>
      <c r="D21" s="6" t="s">
        <v>554</v>
      </c>
      <c r="E21" s="4">
        <v>279600000</v>
      </c>
      <c r="F21" s="9">
        <f>ROUND(((100%+$K$19)*Table10850247[[#This Row],[قیمت (ریال)]])*(100%+$K$20),-6)</f>
        <v>336000000</v>
      </c>
      <c r="P21">
        <v>15</v>
      </c>
    </row>
    <row r="22" spans="1:16">
      <c r="A22" s="2">
        <f t="shared" ref="A22:A50" si="1">A21+1</f>
        <v>3</v>
      </c>
      <c r="B22" s="5" t="s">
        <v>531</v>
      </c>
      <c r="C22" s="5" t="s">
        <v>555</v>
      </c>
      <c r="D22" s="6" t="s">
        <v>556</v>
      </c>
      <c r="E22" s="4">
        <v>279600000</v>
      </c>
      <c r="F22" s="9">
        <f>ROUND(((100%+$K$19)*Table10850247[[#This Row],[قیمت (ریال)]])*(100%+$K$20),-6)</f>
        <v>336000000</v>
      </c>
      <c r="P22">
        <v>16</v>
      </c>
    </row>
    <row r="23" spans="1:16">
      <c r="A23" s="2">
        <f t="shared" si="1"/>
        <v>4</v>
      </c>
      <c r="B23" s="5" t="s">
        <v>531</v>
      </c>
      <c r="C23" s="5" t="s">
        <v>557</v>
      </c>
      <c r="D23" s="6" t="s">
        <v>558</v>
      </c>
      <c r="E23" s="4">
        <v>279600000</v>
      </c>
      <c r="F23" s="9">
        <f>ROUND(((100%+$K$19)*Table10850247[[#This Row],[قیمت (ریال)]])*(100%+$K$20),-6)</f>
        <v>336000000</v>
      </c>
      <c r="P23">
        <v>17</v>
      </c>
    </row>
    <row r="24" spans="1:16">
      <c r="A24" s="2">
        <f t="shared" si="1"/>
        <v>5</v>
      </c>
      <c r="B24" s="5" t="s">
        <v>531</v>
      </c>
      <c r="C24" s="5" t="s">
        <v>559</v>
      </c>
      <c r="D24" s="6" t="s">
        <v>560</v>
      </c>
      <c r="E24" s="4">
        <v>223000000</v>
      </c>
      <c r="F24" s="9">
        <f>ROUND(((100%+$K$19)*Table10850247[[#This Row],[قیمت (ریال)]])*(100%+$K$20),-6)</f>
        <v>268000000</v>
      </c>
      <c r="P24">
        <v>18</v>
      </c>
    </row>
    <row r="25" spans="1:16">
      <c r="A25" s="2">
        <f t="shared" si="1"/>
        <v>6</v>
      </c>
      <c r="B25" s="5" t="s">
        <v>531</v>
      </c>
      <c r="C25" s="5" t="s">
        <v>561</v>
      </c>
      <c r="D25" s="6" t="s">
        <v>562</v>
      </c>
      <c r="E25" s="4">
        <v>223000000</v>
      </c>
      <c r="F25" s="9">
        <f>ROUND(((100%+$K$19)*Table10850247[[#This Row],[قیمت (ریال)]])*(100%+$K$20),-6)</f>
        <v>268000000</v>
      </c>
      <c r="P25">
        <v>19</v>
      </c>
    </row>
    <row r="26" spans="1:16">
      <c r="A26" s="2">
        <f t="shared" si="1"/>
        <v>7</v>
      </c>
      <c r="B26" s="5" t="s">
        <v>531</v>
      </c>
      <c r="C26" s="5" t="s">
        <v>563</v>
      </c>
      <c r="D26" s="6" t="s">
        <v>564</v>
      </c>
      <c r="E26" s="4">
        <v>223000000</v>
      </c>
      <c r="F26" s="9">
        <f>ROUND(((100%+$K$19)*Table10850247[[#This Row],[قیمت (ریال)]])*(100%+$K$20),-6)</f>
        <v>268000000</v>
      </c>
      <c r="P26">
        <v>20</v>
      </c>
    </row>
    <row r="27" spans="1:16">
      <c r="A27" s="2">
        <f t="shared" si="1"/>
        <v>8</v>
      </c>
      <c r="B27" s="5" t="s">
        <v>531</v>
      </c>
      <c r="C27" s="5" t="s">
        <v>565</v>
      </c>
      <c r="D27" s="6" t="s">
        <v>566</v>
      </c>
      <c r="E27" s="4">
        <v>223000000</v>
      </c>
      <c r="F27" s="9">
        <f>ROUND(((100%+$K$19)*Table10850247[[#This Row],[قیمت (ریال)]])*(100%+$K$20),-6)</f>
        <v>268000000</v>
      </c>
      <c r="P27">
        <v>21</v>
      </c>
    </row>
    <row r="28" spans="1:16">
      <c r="A28" s="2">
        <f t="shared" si="1"/>
        <v>9</v>
      </c>
      <c r="B28" s="5" t="s">
        <v>531</v>
      </c>
      <c r="C28" s="5">
        <v>9900130022</v>
      </c>
      <c r="D28" s="6" t="s">
        <v>1069</v>
      </c>
      <c r="E28" s="4">
        <v>622400000</v>
      </c>
      <c r="F28" s="9">
        <f>ROUND(((100%+$K$19)*Table10850247[[#This Row],[قیمت (ریال)]])*(100%+$K$20),-6)</f>
        <v>747000000</v>
      </c>
      <c r="P28">
        <v>22</v>
      </c>
    </row>
    <row r="29" spans="1:16">
      <c r="A29" s="2">
        <f t="shared" si="1"/>
        <v>10</v>
      </c>
      <c r="B29" s="5" t="s">
        <v>531</v>
      </c>
      <c r="C29" s="5">
        <v>9900130025</v>
      </c>
      <c r="D29" s="6" t="s">
        <v>1070</v>
      </c>
      <c r="E29" s="4">
        <v>828800000</v>
      </c>
      <c r="F29" s="9">
        <f>ROUND(((100%+$K$19)*Table10850247[[#This Row],[قیمت (ریال)]])*(100%+$K$20),-6)</f>
        <v>995000000</v>
      </c>
      <c r="P29">
        <v>23</v>
      </c>
    </row>
    <row r="30" spans="1:16">
      <c r="A30" s="2">
        <f t="shared" si="1"/>
        <v>11</v>
      </c>
      <c r="B30" s="5" t="s">
        <v>531</v>
      </c>
      <c r="C30" s="5" t="s">
        <v>567</v>
      </c>
      <c r="D30" s="6" t="s">
        <v>568</v>
      </c>
      <c r="E30" s="4">
        <v>114500000</v>
      </c>
      <c r="F30" s="9">
        <f>ROUND(((100%+$K$19)*Table10850247[[#This Row],[قیمت (ریال)]])*(100%+$K$20),-6)</f>
        <v>137000000</v>
      </c>
      <c r="P30">
        <v>24</v>
      </c>
    </row>
    <row r="31" spans="1:16">
      <c r="A31" s="2">
        <f t="shared" si="1"/>
        <v>12</v>
      </c>
      <c r="B31" s="5" t="s">
        <v>531</v>
      </c>
      <c r="C31" s="5" t="s">
        <v>569</v>
      </c>
      <c r="D31" s="6" t="s">
        <v>570</v>
      </c>
      <c r="E31" s="4">
        <v>114500000</v>
      </c>
      <c r="F31" s="9">
        <f>ROUND(((100%+$K$19)*Table10850247[[#This Row],[قیمت (ریال)]])*(100%+$K$20),-6)</f>
        <v>137000000</v>
      </c>
      <c r="P31">
        <v>25</v>
      </c>
    </row>
    <row r="32" spans="1:16">
      <c r="A32" s="2">
        <f t="shared" si="1"/>
        <v>13</v>
      </c>
      <c r="B32" s="5" t="s">
        <v>531</v>
      </c>
      <c r="C32" s="5" t="s">
        <v>571</v>
      </c>
      <c r="D32" s="6" t="s">
        <v>572</v>
      </c>
      <c r="E32" s="4">
        <v>114500000</v>
      </c>
      <c r="F32" s="9">
        <f>ROUND(((100%+$K$19)*Table10850247[[#This Row],[قیمت (ریال)]])*(100%+$K$20),-6)</f>
        <v>137000000</v>
      </c>
      <c r="P32">
        <v>26</v>
      </c>
    </row>
    <row r="33" spans="1:16">
      <c r="A33" s="2">
        <f t="shared" si="1"/>
        <v>14</v>
      </c>
      <c r="B33" s="5" t="s">
        <v>531</v>
      </c>
      <c r="C33" s="5" t="s">
        <v>573</v>
      </c>
      <c r="D33" s="6" t="s">
        <v>574</v>
      </c>
      <c r="E33" s="4">
        <v>114500000</v>
      </c>
      <c r="F33" s="9">
        <f>ROUND(((100%+$K$19)*Table10850247[[#This Row],[قیمت (ریال)]])*(100%+$K$20),-6)</f>
        <v>137000000</v>
      </c>
      <c r="P33">
        <v>27</v>
      </c>
    </row>
    <row r="34" spans="1:16">
      <c r="A34" s="2">
        <f t="shared" si="1"/>
        <v>15</v>
      </c>
      <c r="B34" s="5" t="s">
        <v>531</v>
      </c>
      <c r="C34" s="5" t="s">
        <v>575</v>
      </c>
      <c r="D34" s="6" t="s">
        <v>576</v>
      </c>
      <c r="E34" s="4">
        <v>114500000</v>
      </c>
      <c r="F34" s="9">
        <f>ROUND(((100%+$K$19)*Table10850247[[#This Row],[قیمت (ریال)]])*(100%+$K$20),-6)</f>
        <v>137000000</v>
      </c>
      <c r="P34">
        <v>28</v>
      </c>
    </row>
    <row r="35" spans="1:16">
      <c r="A35" s="2">
        <f t="shared" si="1"/>
        <v>16</v>
      </c>
      <c r="B35" s="5" t="s">
        <v>531</v>
      </c>
      <c r="C35" s="5" t="s">
        <v>577</v>
      </c>
      <c r="D35" s="6" t="s">
        <v>578</v>
      </c>
      <c r="E35" s="4">
        <v>114500000</v>
      </c>
      <c r="F35" s="9">
        <f>ROUND(((100%+$K$19)*Table10850247[[#This Row],[قیمت (ریال)]])*(100%+$K$20),-6)</f>
        <v>137000000</v>
      </c>
      <c r="P35">
        <v>29</v>
      </c>
    </row>
    <row r="36" spans="1:16">
      <c r="A36" s="2">
        <f t="shared" si="1"/>
        <v>17</v>
      </c>
      <c r="B36" s="5" t="s">
        <v>531</v>
      </c>
      <c r="C36" s="5" t="s">
        <v>579</v>
      </c>
      <c r="D36" s="6" t="s">
        <v>580</v>
      </c>
      <c r="E36" s="4">
        <v>223000000</v>
      </c>
      <c r="F36" s="9">
        <f>ROUND(((100%+$K$19)*Table10850247[[#This Row],[قیمت (ریال)]])*(100%+$K$20),-6)</f>
        <v>268000000</v>
      </c>
      <c r="P36">
        <v>30</v>
      </c>
    </row>
    <row r="37" spans="1:16">
      <c r="A37" s="2">
        <f t="shared" si="1"/>
        <v>18</v>
      </c>
      <c r="B37" s="5" t="s">
        <v>531</v>
      </c>
      <c r="C37" s="5" t="s">
        <v>581</v>
      </c>
      <c r="D37" s="6" t="s">
        <v>582</v>
      </c>
      <c r="E37" s="4">
        <v>223000000</v>
      </c>
      <c r="F37" s="9">
        <f>ROUND(((100%+$K$19)*Table10850247[[#This Row],[قیمت (ریال)]])*(100%+$K$20),-6)</f>
        <v>268000000</v>
      </c>
      <c r="P37">
        <v>31</v>
      </c>
    </row>
    <row r="38" spans="1:16">
      <c r="A38" s="2">
        <f t="shared" si="1"/>
        <v>19</v>
      </c>
      <c r="B38" s="5" t="s">
        <v>531</v>
      </c>
      <c r="C38" s="5" t="s">
        <v>583</v>
      </c>
      <c r="D38" s="6" t="s">
        <v>584</v>
      </c>
      <c r="E38" s="4">
        <v>223000000</v>
      </c>
      <c r="F38" s="9">
        <f>ROUND(((100%+$K$19)*Table10850247[[#This Row],[قیمت (ریال)]])*(100%+$K$20),-6)</f>
        <v>268000000</v>
      </c>
      <c r="P38">
        <v>32</v>
      </c>
    </row>
    <row r="39" spans="1:16">
      <c r="A39" s="2">
        <f t="shared" si="1"/>
        <v>20</v>
      </c>
      <c r="B39" s="5" t="s">
        <v>531</v>
      </c>
      <c r="C39" s="5" t="s">
        <v>585</v>
      </c>
      <c r="D39" s="6" t="s">
        <v>586</v>
      </c>
      <c r="E39" s="4">
        <v>223000000</v>
      </c>
      <c r="F39" s="9">
        <f>ROUND(((100%+$K$19)*Table10850247[[#This Row],[قیمت (ریال)]])*(100%+$K$20),-6)</f>
        <v>268000000</v>
      </c>
      <c r="P39">
        <v>33</v>
      </c>
    </row>
    <row r="40" spans="1:16">
      <c r="A40" s="2">
        <f t="shared" si="1"/>
        <v>21</v>
      </c>
      <c r="B40" s="5" t="s">
        <v>531</v>
      </c>
      <c r="C40" s="5" t="s">
        <v>587</v>
      </c>
      <c r="D40" s="6" t="s">
        <v>588</v>
      </c>
      <c r="E40" s="4">
        <v>223000000</v>
      </c>
      <c r="F40" s="9">
        <f>ROUND(((100%+$K$19)*Table10850247[[#This Row],[قیمت (ریال)]])*(100%+$K$20),-6)</f>
        <v>268000000</v>
      </c>
      <c r="P40">
        <v>34</v>
      </c>
    </row>
    <row r="41" spans="1:16">
      <c r="A41" s="2">
        <f t="shared" si="1"/>
        <v>22</v>
      </c>
      <c r="B41" s="5" t="s">
        <v>531</v>
      </c>
      <c r="C41" s="5" t="s">
        <v>589</v>
      </c>
      <c r="D41" s="6" t="s">
        <v>590</v>
      </c>
      <c r="E41" s="4">
        <v>223000000</v>
      </c>
      <c r="F41" s="9">
        <f>ROUND(((100%+$K$19)*Table10850247[[#This Row],[قیمت (ریال)]])*(100%+$K$20),-6)</f>
        <v>268000000</v>
      </c>
      <c r="P41">
        <v>35</v>
      </c>
    </row>
    <row r="42" spans="1:16">
      <c r="A42" s="2">
        <f t="shared" si="1"/>
        <v>23</v>
      </c>
      <c r="B42" s="5" t="s">
        <v>531</v>
      </c>
      <c r="C42" s="5" t="s">
        <v>591</v>
      </c>
      <c r="D42" s="6" t="s">
        <v>592</v>
      </c>
      <c r="E42" s="4">
        <v>223000000</v>
      </c>
      <c r="F42" s="9">
        <f>ROUND(((100%+$K$19)*Table10850247[[#This Row],[قیمت (ریال)]])*(100%+$K$20),-6)</f>
        <v>268000000</v>
      </c>
      <c r="P42">
        <v>36</v>
      </c>
    </row>
    <row r="43" spans="1:16">
      <c r="A43" s="2">
        <f t="shared" si="1"/>
        <v>24</v>
      </c>
      <c r="B43" s="5" t="s">
        <v>531</v>
      </c>
      <c r="C43" s="5" t="s">
        <v>593</v>
      </c>
      <c r="D43" s="6" t="s">
        <v>594</v>
      </c>
      <c r="E43" s="4">
        <v>223000000</v>
      </c>
      <c r="F43" s="9">
        <f>ROUND(((100%+$K$19)*Table10850247[[#This Row],[قیمت (ریال)]])*(100%+$K$20),-6)</f>
        <v>268000000</v>
      </c>
      <c r="P43">
        <v>37</v>
      </c>
    </row>
    <row r="44" spans="1:16">
      <c r="A44" s="2">
        <f t="shared" si="1"/>
        <v>25</v>
      </c>
      <c r="B44" s="5" t="s">
        <v>531</v>
      </c>
      <c r="C44" s="5" t="s">
        <v>595</v>
      </c>
      <c r="D44" s="6" t="s">
        <v>596</v>
      </c>
      <c r="E44" s="4">
        <v>223000000</v>
      </c>
      <c r="F44" s="9">
        <f>ROUND(((100%+$K$19)*Table10850247[[#This Row],[قیمت (ریال)]])*(100%+$K$20),-6)</f>
        <v>268000000</v>
      </c>
      <c r="P44">
        <v>38</v>
      </c>
    </row>
    <row r="45" spans="1:16">
      <c r="A45" s="2">
        <f t="shared" si="1"/>
        <v>26</v>
      </c>
      <c r="B45" s="5" t="s">
        <v>531</v>
      </c>
      <c r="C45" s="5" t="s">
        <v>597</v>
      </c>
      <c r="D45" s="6" t="s">
        <v>598</v>
      </c>
      <c r="E45" s="4">
        <v>223000000</v>
      </c>
      <c r="F45" s="9">
        <f>ROUND(((100%+$K$19)*Table10850247[[#This Row],[قیمت (ریال)]])*(100%+$K$20),-6)</f>
        <v>268000000</v>
      </c>
      <c r="P45">
        <v>39</v>
      </c>
    </row>
    <row r="46" spans="1:16">
      <c r="A46" s="2">
        <f t="shared" si="1"/>
        <v>27</v>
      </c>
      <c r="B46" s="5" t="s">
        <v>531</v>
      </c>
      <c r="C46" s="5" t="s">
        <v>599</v>
      </c>
      <c r="D46" s="6" t="s">
        <v>600</v>
      </c>
      <c r="E46" s="4">
        <v>530800000</v>
      </c>
      <c r="F46" s="9">
        <f>ROUND(((100%+$K$19)*Table10850247[[#This Row],[قیمت (ریال)]])*(100%+$K$20),-6)</f>
        <v>637000000</v>
      </c>
      <c r="P46">
        <v>40</v>
      </c>
    </row>
    <row r="47" spans="1:16">
      <c r="A47" s="2">
        <f t="shared" si="1"/>
        <v>28</v>
      </c>
      <c r="B47" s="5" t="s">
        <v>531</v>
      </c>
      <c r="C47" s="5" t="s">
        <v>601</v>
      </c>
      <c r="D47" s="6" t="s">
        <v>602</v>
      </c>
      <c r="E47" s="4">
        <v>530800000</v>
      </c>
      <c r="F47" s="9">
        <f>ROUND(((100%+$K$19)*Table10850247[[#This Row],[قیمت (ریال)]])*(100%+$K$20),-6)</f>
        <v>637000000</v>
      </c>
      <c r="P47">
        <v>41</v>
      </c>
    </row>
    <row r="48" spans="1:16">
      <c r="A48" s="2">
        <f t="shared" si="1"/>
        <v>29</v>
      </c>
      <c r="B48" s="5" t="s">
        <v>531</v>
      </c>
      <c r="C48" s="5" t="s">
        <v>603</v>
      </c>
      <c r="D48" s="6" t="s">
        <v>604</v>
      </c>
      <c r="E48" s="4">
        <v>530800000</v>
      </c>
      <c r="F48" s="9">
        <f>ROUND(((100%+$K$19)*Table10850247[[#This Row],[قیمت (ریال)]])*(100%+$K$20),-6)</f>
        <v>637000000</v>
      </c>
      <c r="P48">
        <v>42</v>
      </c>
    </row>
    <row r="49" spans="1:16">
      <c r="A49" s="2">
        <f t="shared" si="1"/>
        <v>30</v>
      </c>
      <c r="B49" s="5" t="s">
        <v>531</v>
      </c>
      <c r="C49" s="5" t="s">
        <v>605</v>
      </c>
      <c r="D49" s="6" t="s">
        <v>606</v>
      </c>
      <c r="E49" s="4">
        <v>377500000</v>
      </c>
      <c r="F49" s="9">
        <f>ROUND(((100%+$K$19)*Table10850247[[#This Row],[قیمت (ریال)]])*(100%+$K$20),-6)</f>
        <v>453000000</v>
      </c>
      <c r="P49">
        <v>43</v>
      </c>
    </row>
    <row r="50" spans="1:16">
      <c r="A50" s="2">
        <f t="shared" si="1"/>
        <v>31</v>
      </c>
      <c r="B50" s="5" t="s">
        <v>531</v>
      </c>
      <c r="C50" s="5" t="s">
        <v>607</v>
      </c>
      <c r="D50" s="6" t="s">
        <v>608</v>
      </c>
      <c r="E50" s="4">
        <v>377500000</v>
      </c>
      <c r="F50" s="9">
        <f>ROUND(((100%+$K$19)*Table10850247[[#This Row],[قیمت (ریال)]])*(100%+$K$20),-6)</f>
        <v>453000000</v>
      </c>
      <c r="P50">
        <v>44</v>
      </c>
    </row>
    <row r="53" spans="1:16">
      <c r="A53" s="1" t="s">
        <v>0</v>
      </c>
      <c r="B53" s="1" t="s">
        <v>530</v>
      </c>
      <c r="C53" s="1" t="s">
        <v>1</v>
      </c>
      <c r="D53" s="1" t="s">
        <v>448</v>
      </c>
      <c r="E53" s="1" t="s">
        <v>251</v>
      </c>
      <c r="F53" s="8" t="s">
        <v>431</v>
      </c>
      <c r="J53" s="118" t="s">
        <v>696</v>
      </c>
      <c r="K53" s="119">
        <v>0.2</v>
      </c>
    </row>
    <row r="54" spans="1:16">
      <c r="A54" s="2">
        <v>1</v>
      </c>
      <c r="B54" s="2" t="s">
        <v>609</v>
      </c>
      <c r="C54" s="5">
        <v>9900140002</v>
      </c>
      <c r="D54" s="6" t="s">
        <v>1618</v>
      </c>
      <c r="E54" s="4">
        <v>286700000</v>
      </c>
      <c r="F54" s="9">
        <f>ROUND(((100%+$K$53)*Table10850248[[#This Row],[قیمت (ریال)]])*(100%+$K$54),-6)</f>
        <v>344000000</v>
      </c>
      <c r="J54" s="118" t="s">
        <v>697</v>
      </c>
      <c r="K54" s="119">
        <v>0</v>
      </c>
    </row>
    <row r="55" spans="1:16">
      <c r="A55" s="2">
        <f>A54+1</f>
        <v>2</v>
      </c>
      <c r="B55" s="2" t="s">
        <v>609</v>
      </c>
      <c r="C55" s="5" t="s">
        <v>610</v>
      </c>
      <c r="D55" s="6" t="s">
        <v>611</v>
      </c>
      <c r="E55" s="4">
        <v>271800000</v>
      </c>
      <c r="F55" s="9">
        <f>ROUND(((100%+$K$53)*Table10850248[[#This Row],[قیمت (ریال)]])*(100%+$K$54),-6)</f>
        <v>326000000</v>
      </c>
      <c r="J55" s="118"/>
      <c r="K55" s="119"/>
      <c r="P55">
        <v>45</v>
      </c>
    </row>
    <row r="56" spans="1:16">
      <c r="A56" s="2">
        <v>2</v>
      </c>
      <c r="B56" s="2" t="s">
        <v>609</v>
      </c>
      <c r="C56" s="5" t="s">
        <v>612</v>
      </c>
      <c r="D56" s="6" t="s">
        <v>613</v>
      </c>
      <c r="E56" s="4">
        <v>271800000</v>
      </c>
      <c r="F56" s="9">
        <f>ROUND(((100%+$K$53)*Table10850248[[#This Row],[قیمت (ریال)]])*(100%+$K$54),-6)</f>
        <v>326000000</v>
      </c>
      <c r="P56">
        <v>46</v>
      </c>
    </row>
    <row r="57" spans="1:16">
      <c r="A57" s="2">
        <f t="shared" ref="A57" si="2">A56+1</f>
        <v>3</v>
      </c>
      <c r="B57" s="2" t="s">
        <v>609</v>
      </c>
      <c r="C57" s="5" t="s">
        <v>614</v>
      </c>
      <c r="D57" s="6" t="s">
        <v>615</v>
      </c>
      <c r="E57" s="4">
        <v>271800000</v>
      </c>
      <c r="F57" s="9">
        <f>ROUND(((100%+$K$53)*Table10850248[[#This Row],[قیمت (ریال)]])*(100%+$K$54),-6)</f>
        <v>326000000</v>
      </c>
      <c r="P57">
        <v>47</v>
      </c>
    </row>
    <row r="58" spans="1:16">
      <c r="A58" s="2">
        <v>3</v>
      </c>
      <c r="B58" s="2" t="s">
        <v>609</v>
      </c>
      <c r="C58" s="5" t="s">
        <v>616</v>
      </c>
      <c r="D58" s="6" t="s">
        <v>617</v>
      </c>
      <c r="E58" s="4">
        <v>223100000</v>
      </c>
      <c r="F58" s="9">
        <f>ROUND(((100%+$K$53)*Table10850248[[#This Row],[قیمت (ریال)]])*(100%+$K$54),-6)</f>
        <v>268000000</v>
      </c>
      <c r="P58">
        <v>48</v>
      </c>
    </row>
    <row r="59" spans="1:16">
      <c r="A59" s="2">
        <f t="shared" ref="A59" si="3">A58+1</f>
        <v>4</v>
      </c>
      <c r="B59" s="2" t="s">
        <v>609</v>
      </c>
      <c r="C59" s="5" t="s">
        <v>618</v>
      </c>
      <c r="D59" s="6" t="s">
        <v>619</v>
      </c>
      <c r="E59" s="4">
        <v>296400000</v>
      </c>
      <c r="F59" s="9">
        <f>ROUND(((100%+$K$53)*Table10850248[[#This Row],[قیمت (ریال)]])*(100%+$K$54),-6)</f>
        <v>356000000</v>
      </c>
      <c r="P59">
        <v>49</v>
      </c>
    </row>
    <row r="60" spans="1:16">
      <c r="A60" s="2">
        <v>4</v>
      </c>
      <c r="B60" s="2" t="s">
        <v>609</v>
      </c>
      <c r="C60" s="5" t="s">
        <v>620</v>
      </c>
      <c r="D60" s="6" t="s">
        <v>621</v>
      </c>
      <c r="E60" s="4">
        <v>350000000</v>
      </c>
      <c r="F60" s="9">
        <f>ROUND(((100%+$K$53)*Table10850248[[#This Row],[قیمت (ریال)]])*(100%+$K$54),-6)</f>
        <v>420000000</v>
      </c>
      <c r="P60">
        <v>50</v>
      </c>
    </row>
    <row r="61" spans="1:16">
      <c r="A61" s="2">
        <f t="shared" ref="A61" si="4">A60+1</f>
        <v>5</v>
      </c>
      <c r="B61" s="2" t="s">
        <v>609</v>
      </c>
      <c r="C61" s="5" t="s">
        <v>622</v>
      </c>
      <c r="D61" s="6" t="s">
        <v>623</v>
      </c>
      <c r="E61" s="4">
        <v>350000000</v>
      </c>
      <c r="F61" s="9">
        <f>ROUND(((100%+$K$53)*Table10850248[[#This Row],[قیمت (ریال)]])*(100%+$K$54),-6)</f>
        <v>420000000</v>
      </c>
      <c r="P61">
        <v>51</v>
      </c>
    </row>
    <row r="62" spans="1:16">
      <c r="A62" s="2">
        <v>5</v>
      </c>
      <c r="B62" s="2" t="s">
        <v>609</v>
      </c>
      <c r="C62" s="5" t="s">
        <v>624</v>
      </c>
      <c r="D62" s="6" t="s">
        <v>625</v>
      </c>
      <c r="E62" s="4">
        <v>154400000</v>
      </c>
      <c r="F62" s="9">
        <f>ROUND(((100%+$K$53)*Table10850248[[#This Row],[قیمت (ریال)]])*(100%+$K$54),-6)</f>
        <v>185000000</v>
      </c>
      <c r="P62">
        <v>52</v>
      </c>
    </row>
    <row r="63" spans="1:16">
      <c r="A63" s="2">
        <f t="shared" ref="A63" si="5">A62+1</f>
        <v>6</v>
      </c>
      <c r="B63" s="2" t="s">
        <v>609</v>
      </c>
      <c r="C63" s="5" t="s">
        <v>626</v>
      </c>
      <c r="D63" s="6" t="s">
        <v>627</v>
      </c>
      <c r="E63" s="4">
        <v>278000000</v>
      </c>
      <c r="F63" s="9">
        <f>ROUND(((100%+$K$53)*Table10850248[[#This Row],[قیمت (ریال)]])*(100%+$K$54),-6)</f>
        <v>334000000</v>
      </c>
      <c r="P63">
        <v>53</v>
      </c>
    </row>
    <row r="64" spans="1:16">
      <c r="A64" s="2">
        <v>6</v>
      </c>
      <c r="B64" s="2" t="s">
        <v>609</v>
      </c>
      <c r="C64" s="5" t="s">
        <v>628</v>
      </c>
      <c r="D64" s="6" t="s">
        <v>629</v>
      </c>
      <c r="E64" s="4">
        <v>298600000</v>
      </c>
      <c r="F64" s="9">
        <f>ROUND(((100%+$K$53)*Table10850248[[#This Row],[قیمت (ریال)]])*(100%+$K$54),-6)</f>
        <v>358000000</v>
      </c>
      <c r="P64">
        <v>54</v>
      </c>
    </row>
    <row r="65" spans="1:16">
      <c r="A65" s="2">
        <f t="shared" ref="A65" si="6">A64+1</f>
        <v>7</v>
      </c>
      <c r="B65" s="2" t="s">
        <v>609</v>
      </c>
      <c r="C65" s="5" t="s">
        <v>630</v>
      </c>
      <c r="D65" s="6" t="s">
        <v>631</v>
      </c>
      <c r="E65" s="4">
        <v>263600000</v>
      </c>
      <c r="F65" s="9">
        <f>ROUND(((100%+$K$53)*Table10850248[[#This Row],[قیمت (ریال)]])*(100%+$K$54),-6)</f>
        <v>316000000</v>
      </c>
      <c r="P65">
        <v>55</v>
      </c>
    </row>
    <row r="66" spans="1:16">
      <c r="A66" s="2">
        <v>7</v>
      </c>
      <c r="B66" s="2" t="s">
        <v>609</v>
      </c>
      <c r="C66" s="6" t="s">
        <v>632</v>
      </c>
      <c r="D66" s="6" t="s">
        <v>633</v>
      </c>
      <c r="E66" s="4">
        <v>284300000</v>
      </c>
      <c r="F66" s="9">
        <f>ROUND(((100%+$K$53)*Table10850248[[#This Row],[قیمت (ریال)]])*(100%+$K$54),-6)</f>
        <v>341000000</v>
      </c>
      <c r="P66">
        <v>56</v>
      </c>
    </row>
    <row r="67" spans="1:16">
      <c r="A67" s="2">
        <f t="shared" ref="A67" si="7">A66+1</f>
        <v>8</v>
      </c>
      <c r="B67" s="2" t="s">
        <v>609</v>
      </c>
      <c r="C67" s="6" t="s">
        <v>634</v>
      </c>
      <c r="D67" s="6" t="s">
        <v>635</v>
      </c>
      <c r="E67" s="4">
        <v>263600000</v>
      </c>
      <c r="F67" s="9">
        <f>ROUND(((100%+$K$53)*Table10850248[[#This Row],[قیمت (ریال)]])*(100%+$K$54),-6)</f>
        <v>316000000</v>
      </c>
      <c r="P67">
        <v>57</v>
      </c>
    </row>
    <row r="68" spans="1:16">
      <c r="A68" s="2">
        <v>8</v>
      </c>
      <c r="B68" s="2" t="s">
        <v>609</v>
      </c>
      <c r="C68" s="6" t="s">
        <v>636</v>
      </c>
      <c r="D68" s="6" t="s">
        <v>637</v>
      </c>
      <c r="E68" s="4">
        <v>284300000</v>
      </c>
      <c r="F68" s="9">
        <f>ROUND(((100%+$K$53)*Table10850248[[#This Row],[قیمت (ریال)]])*(100%+$K$54),-6)</f>
        <v>341000000</v>
      </c>
      <c r="P68">
        <v>58</v>
      </c>
    </row>
    <row r="70" spans="1:16">
      <c r="A70" s="1" t="s">
        <v>0</v>
      </c>
      <c r="B70" s="1" t="s">
        <v>530</v>
      </c>
      <c r="C70" s="1" t="s">
        <v>1</v>
      </c>
      <c r="D70" s="1" t="s">
        <v>448</v>
      </c>
      <c r="E70" s="1" t="s">
        <v>251</v>
      </c>
      <c r="F70" s="8" t="s">
        <v>431</v>
      </c>
      <c r="J70" s="118" t="s">
        <v>696</v>
      </c>
      <c r="K70" s="119">
        <v>0.2</v>
      </c>
    </row>
    <row r="71" spans="1:16">
      <c r="A71" s="2">
        <v>1</v>
      </c>
      <c r="B71" s="7" t="s">
        <v>638</v>
      </c>
      <c r="C71" s="5" t="s">
        <v>639</v>
      </c>
      <c r="D71" s="6" t="s">
        <v>640</v>
      </c>
      <c r="E71" s="4">
        <v>179800000</v>
      </c>
      <c r="F71" s="9">
        <f>ROUND(((100%+$K$70)*Table1085024810[[#This Row],[قیمت (ریال)]])*(100%+$K$71),-6)</f>
        <v>216000000</v>
      </c>
      <c r="J71" s="118" t="s">
        <v>697</v>
      </c>
      <c r="K71" s="119">
        <v>0</v>
      </c>
      <c r="P71">
        <v>59</v>
      </c>
    </row>
    <row r="72" spans="1:16">
      <c r="A72" s="2">
        <f>A71+1</f>
        <v>2</v>
      </c>
      <c r="B72" s="7" t="s">
        <v>638</v>
      </c>
      <c r="C72" s="5" t="s">
        <v>641</v>
      </c>
      <c r="D72" s="6" t="s">
        <v>642</v>
      </c>
      <c r="E72" s="4">
        <v>121700000</v>
      </c>
      <c r="F72" s="9">
        <f>ROUND(((100%+$K$70)*Table1085024810[[#This Row],[قیمت (ریال)]])*(100%+$K$71),-6)</f>
        <v>146000000</v>
      </c>
      <c r="P72">
        <v>60</v>
      </c>
    </row>
    <row r="73" spans="1:16">
      <c r="A73" s="2">
        <f t="shared" ref="A73:A77" si="8">A72+1</f>
        <v>3</v>
      </c>
      <c r="B73" s="7" t="s">
        <v>638</v>
      </c>
      <c r="C73" s="5" t="s">
        <v>643</v>
      </c>
      <c r="D73" s="6" t="s">
        <v>644</v>
      </c>
      <c r="E73" s="4">
        <v>132600000</v>
      </c>
      <c r="F73" s="9">
        <f>ROUND(((100%+$K$70)*Table1085024810[[#This Row],[قیمت (ریال)]])*(100%+$K$71),-6)</f>
        <v>159000000</v>
      </c>
      <c r="P73">
        <v>61</v>
      </c>
    </row>
    <row r="74" spans="1:16">
      <c r="A74" s="2">
        <f t="shared" si="8"/>
        <v>4</v>
      </c>
      <c r="B74" s="7" t="s">
        <v>638</v>
      </c>
      <c r="C74" s="5" t="s">
        <v>645</v>
      </c>
      <c r="D74" s="6" t="s">
        <v>646</v>
      </c>
      <c r="E74" s="4">
        <v>312400000</v>
      </c>
      <c r="F74" s="9">
        <f>ROUND(((100%+$K$70)*Table1085024810[[#This Row],[قیمت (ریال)]])*(100%+$K$71),-6)</f>
        <v>375000000</v>
      </c>
      <c r="P74">
        <v>62</v>
      </c>
    </row>
    <row r="75" spans="1:16">
      <c r="A75" s="2">
        <f t="shared" si="8"/>
        <v>5</v>
      </c>
      <c r="B75" s="7" t="s">
        <v>638</v>
      </c>
      <c r="C75" s="2" t="s">
        <v>647</v>
      </c>
      <c r="D75" s="3" t="s">
        <v>648</v>
      </c>
      <c r="E75" s="4">
        <v>252700000</v>
      </c>
      <c r="F75" s="9">
        <f>ROUND(((100%+$K$70)*Table1085024810[[#This Row],[قیمت (ریال)]])*(100%+$K$71),-6)</f>
        <v>303000000</v>
      </c>
      <c r="P75">
        <v>63</v>
      </c>
    </row>
    <row r="76" spans="1:16">
      <c r="A76" s="2">
        <f t="shared" si="8"/>
        <v>6</v>
      </c>
      <c r="B76" s="7" t="s">
        <v>638</v>
      </c>
      <c r="C76" s="5" t="s">
        <v>649</v>
      </c>
      <c r="D76" s="6" t="s">
        <v>650</v>
      </c>
      <c r="E76" s="4">
        <v>290200000</v>
      </c>
      <c r="F76" s="9">
        <f>ROUND(((100%+$K$70)*Table1085024810[[#This Row],[قیمت (ریال)]])*(100%+$K$71),-6)</f>
        <v>348000000</v>
      </c>
      <c r="P76">
        <v>64</v>
      </c>
    </row>
    <row r="77" spans="1:16">
      <c r="A77" s="2">
        <f t="shared" si="8"/>
        <v>7</v>
      </c>
      <c r="B77" s="7" t="s">
        <v>638</v>
      </c>
      <c r="C77" s="2" t="s">
        <v>651</v>
      </c>
      <c r="D77" s="3" t="s">
        <v>652</v>
      </c>
      <c r="E77" s="4">
        <v>299500000</v>
      </c>
      <c r="F77" s="9">
        <f>ROUND(((100%+$K$70)*Table1085024810[[#This Row],[قیمت (ریال)]])*(100%+$K$71),-6)</f>
        <v>359000000</v>
      </c>
      <c r="P77">
        <v>65</v>
      </c>
    </row>
    <row r="78" spans="1:16">
      <c r="A78" s="2"/>
      <c r="B78" s="7"/>
      <c r="C78" s="5"/>
      <c r="D78" s="6"/>
      <c r="E78" s="4"/>
    </row>
    <row r="80" spans="1:16">
      <c r="A80" s="1" t="s">
        <v>0</v>
      </c>
      <c r="B80" s="1" t="s">
        <v>530</v>
      </c>
      <c r="C80" s="1" t="s">
        <v>1</v>
      </c>
      <c r="D80" s="1" t="s">
        <v>448</v>
      </c>
      <c r="E80" s="1" t="s">
        <v>251</v>
      </c>
      <c r="F80" s="8" t="s">
        <v>431</v>
      </c>
    </row>
    <row r="81" spans="1:16">
      <c r="A81" s="2">
        <v>1</v>
      </c>
      <c r="B81" s="7" t="s">
        <v>695</v>
      </c>
      <c r="C81" s="2">
        <v>9900160001</v>
      </c>
      <c r="D81" s="3" t="s">
        <v>1626</v>
      </c>
      <c r="E81" s="4">
        <v>80900000</v>
      </c>
      <c r="F81" s="9">
        <f>ROUND(((100%+$K$84)*Table108502481011[[#This Row],[قیمت (ریال)]])*(100%+$K$85),-6)</f>
        <v>97000000</v>
      </c>
    </row>
    <row r="82" spans="1:16">
      <c r="A82" s="2">
        <v>2</v>
      </c>
      <c r="B82" s="7" t="s">
        <v>695</v>
      </c>
      <c r="C82" s="2">
        <v>9900160002</v>
      </c>
      <c r="D82" s="3" t="s">
        <v>1627</v>
      </c>
      <c r="E82" s="4">
        <v>80900000</v>
      </c>
      <c r="F82" s="9">
        <f>ROUND(((100%+$K$84)*Table108502481011[[#This Row],[قیمت (ریال)]])*(100%+$K$85),-6)</f>
        <v>97000000</v>
      </c>
    </row>
    <row r="83" spans="1:16">
      <c r="A83" s="2">
        <v>3</v>
      </c>
      <c r="B83" s="7" t="s">
        <v>695</v>
      </c>
      <c r="C83" s="2">
        <v>9900160003</v>
      </c>
      <c r="D83" s="3" t="s">
        <v>1628</v>
      </c>
      <c r="E83" s="4">
        <v>80900000</v>
      </c>
      <c r="F83" s="9">
        <f>ROUND(((100%+$K$84)*Table108502481011[[#This Row],[قیمت (ریال)]])*(100%+$K$85),-6)</f>
        <v>97000000</v>
      </c>
    </row>
    <row r="84" spans="1:16">
      <c r="A84" s="2">
        <v>4</v>
      </c>
      <c r="B84" s="7" t="s">
        <v>695</v>
      </c>
      <c r="C84" s="2" t="s">
        <v>653</v>
      </c>
      <c r="D84" s="3" t="s">
        <v>654</v>
      </c>
      <c r="E84" s="4">
        <v>91700000</v>
      </c>
      <c r="F84" s="9">
        <f>ROUND(((100%+$K$84)*Table108502481011[[#This Row],[قیمت (ریال)]])*(100%+$K$85),-6)</f>
        <v>110000000</v>
      </c>
      <c r="J84" s="118" t="s">
        <v>696</v>
      </c>
      <c r="K84" s="119">
        <v>0.2</v>
      </c>
      <c r="P84">
        <v>66</v>
      </c>
    </row>
    <row r="85" spans="1:16">
      <c r="A85" s="2">
        <v>5</v>
      </c>
      <c r="B85" s="7" t="s">
        <v>695</v>
      </c>
      <c r="C85" s="5" t="s">
        <v>655</v>
      </c>
      <c r="D85" s="6" t="s">
        <v>656</v>
      </c>
      <c r="E85" s="4">
        <v>91700000</v>
      </c>
      <c r="F85" s="9">
        <f>ROUND(((100%+$K$84)*Table108502481011[[#This Row],[قیمت (ریال)]])*(100%+$K$85),-6)</f>
        <v>110000000</v>
      </c>
      <c r="J85" s="118" t="s">
        <v>697</v>
      </c>
      <c r="K85" s="119">
        <v>0</v>
      </c>
      <c r="P85">
        <v>67</v>
      </c>
    </row>
    <row r="86" spans="1:16">
      <c r="A86" s="2">
        <v>6</v>
      </c>
      <c r="B86" s="7" t="s">
        <v>695</v>
      </c>
      <c r="C86" s="5" t="s">
        <v>657</v>
      </c>
      <c r="D86" s="6" t="s">
        <v>658</v>
      </c>
      <c r="E86" s="4">
        <v>91700000</v>
      </c>
      <c r="F86" s="9">
        <f>ROUND(((100%+$K$84)*Table108502481011[[#This Row],[قیمت (ریال)]])*(100%+$K$85),-6)</f>
        <v>110000000</v>
      </c>
      <c r="P86">
        <v>68</v>
      </c>
    </row>
    <row r="87" spans="1:16">
      <c r="A87" s="2">
        <v>7</v>
      </c>
      <c r="B87" s="7" t="s">
        <v>695</v>
      </c>
      <c r="C87" s="5" t="s">
        <v>659</v>
      </c>
      <c r="D87" s="6" t="s">
        <v>660</v>
      </c>
      <c r="E87" s="4">
        <v>91700000</v>
      </c>
      <c r="F87" s="9">
        <f>ROUND(((100%+$K$84)*Table108502481011[[#This Row],[قیمت (ریال)]])*(100%+$K$85),-6)</f>
        <v>110000000</v>
      </c>
      <c r="P87">
        <v>69</v>
      </c>
    </row>
    <row r="88" spans="1:16">
      <c r="A88" s="2">
        <v>8</v>
      </c>
      <c r="B88" s="7" t="s">
        <v>695</v>
      </c>
      <c r="C88" s="5" t="s">
        <v>661</v>
      </c>
      <c r="D88" s="6" t="s">
        <v>662</v>
      </c>
      <c r="E88" s="4">
        <v>91700000</v>
      </c>
      <c r="F88" s="9">
        <f>ROUND(((100%+$K$84)*Table108502481011[[#This Row],[قیمت (ریال)]])*(100%+$K$85),-6)</f>
        <v>110000000</v>
      </c>
      <c r="P88">
        <v>70</v>
      </c>
    </row>
    <row r="89" spans="1:16">
      <c r="A89" s="2">
        <v>9</v>
      </c>
      <c r="B89" s="7" t="s">
        <v>695</v>
      </c>
      <c r="C89" s="5" t="s">
        <v>663</v>
      </c>
      <c r="D89" s="6" t="s">
        <v>664</v>
      </c>
      <c r="E89" s="4">
        <v>91700000</v>
      </c>
      <c r="F89" s="9">
        <f>ROUND(((100%+$K$84)*Table108502481011[[#This Row],[قیمت (ریال)]])*(100%+$K$85),-6)</f>
        <v>110000000</v>
      </c>
      <c r="P89">
        <v>71</v>
      </c>
    </row>
    <row r="90" spans="1:16">
      <c r="A90" s="2">
        <v>10</v>
      </c>
      <c r="B90" s="7" t="s">
        <v>695</v>
      </c>
      <c r="C90" s="5" t="s">
        <v>665</v>
      </c>
      <c r="D90" s="6" t="s">
        <v>666</v>
      </c>
      <c r="E90" s="4">
        <v>91700000</v>
      </c>
      <c r="F90" s="9">
        <f>ROUND(((100%+$K$84)*Table108502481011[[#This Row],[قیمت (ریال)]])*(100%+$K$85),-6)</f>
        <v>110000000</v>
      </c>
      <c r="P90">
        <v>72</v>
      </c>
    </row>
    <row r="91" spans="1:16">
      <c r="A91" s="2">
        <v>11</v>
      </c>
      <c r="B91" s="7" t="s">
        <v>695</v>
      </c>
      <c r="C91" s="5" t="s">
        <v>667</v>
      </c>
      <c r="D91" s="6" t="s">
        <v>668</v>
      </c>
      <c r="E91" s="4">
        <v>91700000</v>
      </c>
      <c r="F91" s="9">
        <f>ROUND(((100%+$K$84)*Table108502481011[[#This Row],[قیمت (ریال)]])*(100%+$K$85),-6)</f>
        <v>110000000</v>
      </c>
      <c r="P91">
        <v>73</v>
      </c>
    </row>
    <row r="92" spans="1:16">
      <c r="A92" s="2">
        <v>12</v>
      </c>
      <c r="B92" s="7" t="s">
        <v>695</v>
      </c>
      <c r="C92" s="5" t="s">
        <v>669</v>
      </c>
      <c r="D92" s="6" t="s">
        <v>670</v>
      </c>
      <c r="E92" s="4">
        <v>91700000</v>
      </c>
      <c r="F92" s="9">
        <f>ROUND(((100%+$K$84)*Table108502481011[[#This Row],[قیمت (ریال)]])*(100%+$K$85),-6)</f>
        <v>110000000</v>
      </c>
      <c r="P92">
        <v>74</v>
      </c>
    </row>
    <row r="93" spans="1:16">
      <c r="A93" s="2">
        <v>13</v>
      </c>
      <c r="B93" s="7" t="s">
        <v>695</v>
      </c>
      <c r="C93" s="5" t="s">
        <v>671</v>
      </c>
      <c r="D93" s="6" t="s">
        <v>672</v>
      </c>
      <c r="E93" s="4">
        <v>28100000</v>
      </c>
      <c r="F93" s="9">
        <f>ROUND(((100%+$K$84)*Table108502481011[[#This Row],[قیمت (ریال)]])*(100%+$K$85),-6)</f>
        <v>34000000</v>
      </c>
      <c r="P93">
        <v>75</v>
      </c>
    </row>
    <row r="94" spans="1:16">
      <c r="A94" s="2">
        <v>14</v>
      </c>
      <c r="B94" s="7" t="s">
        <v>695</v>
      </c>
      <c r="C94" s="5" t="s">
        <v>673</v>
      </c>
      <c r="D94" s="6" t="s">
        <v>674</v>
      </c>
      <c r="E94" s="4">
        <v>69200000</v>
      </c>
      <c r="F94" s="9">
        <f>ROUND(((100%+$K$84)*Table108502481011[[#This Row],[قیمت (ریال)]])*(100%+$K$85),-6)</f>
        <v>83000000</v>
      </c>
      <c r="P94">
        <v>76</v>
      </c>
    </row>
    <row r="95" spans="1:16">
      <c r="A95" s="2">
        <v>15</v>
      </c>
      <c r="B95" s="7" t="s">
        <v>695</v>
      </c>
      <c r="C95" s="6" t="s">
        <v>675</v>
      </c>
      <c r="D95" s="6" t="s">
        <v>676</v>
      </c>
      <c r="E95" s="4">
        <v>69200000</v>
      </c>
      <c r="F95" s="9">
        <f>ROUND(((100%+$K$84)*Table108502481011[[#This Row],[قیمت (ریال)]])*(100%+$K$85),-6)</f>
        <v>83000000</v>
      </c>
      <c r="P95">
        <v>77</v>
      </c>
    </row>
    <row r="96" spans="1:16">
      <c r="A96" s="2">
        <v>16</v>
      </c>
      <c r="B96" s="7" t="s">
        <v>695</v>
      </c>
      <c r="C96" s="6" t="s">
        <v>677</v>
      </c>
      <c r="D96" s="6" t="s">
        <v>678</v>
      </c>
      <c r="E96" s="4">
        <v>69200000</v>
      </c>
      <c r="F96" s="9">
        <f>ROUND(((100%+$K$84)*Table108502481011[[#This Row],[قیمت (ریال)]])*(100%+$K$85),-6)</f>
        <v>83000000</v>
      </c>
      <c r="P96">
        <v>78</v>
      </c>
    </row>
    <row r="97" spans="1:16">
      <c r="A97" s="2">
        <v>17</v>
      </c>
      <c r="B97" s="7" t="s">
        <v>695</v>
      </c>
      <c r="C97" s="6" t="s">
        <v>679</v>
      </c>
      <c r="D97" s="6" t="s">
        <v>680</v>
      </c>
      <c r="E97" s="4">
        <v>69200000</v>
      </c>
      <c r="F97" s="9">
        <f>ROUND(((100%+$K$84)*Table108502481011[[#This Row],[قیمت (ریال)]])*(100%+$K$85),-6)</f>
        <v>83000000</v>
      </c>
      <c r="P97">
        <v>79</v>
      </c>
    </row>
    <row r="98" spans="1:16">
      <c r="A98" s="2">
        <v>18</v>
      </c>
      <c r="B98" s="7" t="s">
        <v>695</v>
      </c>
      <c r="C98" s="6" t="s">
        <v>681</v>
      </c>
      <c r="D98" s="6" t="s">
        <v>682</v>
      </c>
      <c r="E98" s="4">
        <v>69200000</v>
      </c>
      <c r="F98" s="9">
        <f>ROUND(((100%+$K$84)*Table108502481011[[#This Row],[قیمت (ریال)]])*(100%+$K$85),-6)</f>
        <v>83000000</v>
      </c>
      <c r="P98">
        <v>80</v>
      </c>
    </row>
    <row r="99" spans="1:16">
      <c r="A99" s="2">
        <v>19</v>
      </c>
      <c r="B99" s="7" t="s">
        <v>695</v>
      </c>
      <c r="C99" s="6" t="s">
        <v>683</v>
      </c>
      <c r="D99" s="6" t="s">
        <v>684</v>
      </c>
      <c r="E99" s="4">
        <v>69800000</v>
      </c>
      <c r="F99" s="9">
        <f>ROUND(((100%+$K$84)*Table108502481011[[#This Row],[قیمت (ریال)]])*(100%+$K$85),-6)</f>
        <v>84000000</v>
      </c>
      <c r="P99">
        <v>81</v>
      </c>
    </row>
    <row r="100" spans="1:16">
      <c r="A100" s="2">
        <v>20</v>
      </c>
      <c r="B100" s="7" t="s">
        <v>695</v>
      </c>
      <c r="C100" s="6" t="s">
        <v>685</v>
      </c>
      <c r="D100" s="6" t="s">
        <v>686</v>
      </c>
      <c r="E100" s="4">
        <v>69800000</v>
      </c>
      <c r="F100" s="9">
        <f>ROUND(((100%+$K$84)*Table108502481011[[#This Row],[قیمت (ریال)]])*(100%+$K$85),-6)</f>
        <v>84000000</v>
      </c>
      <c r="P100">
        <v>82</v>
      </c>
    </row>
    <row r="101" spans="1:16">
      <c r="A101" s="2">
        <v>21</v>
      </c>
      <c r="B101" s="7" t="s">
        <v>695</v>
      </c>
      <c r="C101" s="6" t="s">
        <v>687</v>
      </c>
      <c r="D101" s="6" t="s">
        <v>688</v>
      </c>
      <c r="E101" s="4">
        <v>78600000</v>
      </c>
      <c r="F101" s="9">
        <f>ROUND(((100%+$K$84)*Table108502481011[[#This Row],[قیمت (ریال)]])*(100%+$K$85),-6)</f>
        <v>94000000</v>
      </c>
      <c r="P101">
        <v>83</v>
      </c>
    </row>
    <row r="102" spans="1:16">
      <c r="A102" s="2">
        <v>22</v>
      </c>
      <c r="B102" s="7" t="s">
        <v>695</v>
      </c>
      <c r="C102" s="6" t="s">
        <v>689</v>
      </c>
      <c r="D102" s="6" t="s">
        <v>690</v>
      </c>
      <c r="E102" s="4">
        <v>78600000</v>
      </c>
      <c r="F102" s="9">
        <f>ROUND(((100%+$K$84)*Table108502481011[[#This Row],[قیمت (ریال)]])*(100%+$K$85),-6)</f>
        <v>94000000</v>
      </c>
      <c r="P102">
        <v>84</v>
      </c>
    </row>
    <row r="103" spans="1:16">
      <c r="A103" s="2">
        <v>23</v>
      </c>
      <c r="B103" s="7" t="s">
        <v>695</v>
      </c>
      <c r="C103" s="6" t="s">
        <v>691</v>
      </c>
      <c r="D103" s="6" t="s">
        <v>692</v>
      </c>
      <c r="E103" s="4">
        <v>69800000</v>
      </c>
      <c r="F103" s="9">
        <f>ROUND(((100%+$K$84)*Table108502481011[[#This Row],[قیمت (ریال)]])*(100%+$K$85),-6)</f>
        <v>84000000</v>
      </c>
      <c r="P103">
        <v>85</v>
      </c>
    </row>
    <row r="104" spans="1:16">
      <c r="A104" s="2">
        <v>24</v>
      </c>
      <c r="B104" s="7" t="s">
        <v>695</v>
      </c>
      <c r="C104" s="6" t="s">
        <v>693</v>
      </c>
      <c r="D104" s="6" t="s">
        <v>694</v>
      </c>
      <c r="E104" s="4">
        <v>116000000</v>
      </c>
      <c r="F104" s="9">
        <f>ROUND(((100%+$K$84)*Table108502481011[[#This Row],[قیمت (ریال)]])*(100%+$K$85),-6)</f>
        <v>139000000</v>
      </c>
      <c r="P104">
        <v>86</v>
      </c>
    </row>
  </sheetData>
  <mergeCells count="1">
    <mergeCell ref="A1:F1"/>
  </mergeCells>
  <pageMargins left="0.7" right="0.7" top="0.75" bottom="0.75" header="0.3" footer="0.3"/>
  <pageSetup paperSize="9" scale="73" orientation="portrait" r:id="rId1"/>
  <rowBreaks count="1" manualBreakCount="1">
    <brk id="68" max="16383" man="1"/>
  </rowBreaks>
  <tableParts count="5"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C7FE-D374-41DE-BD9B-E68592559D8F}">
  <dimension ref="B1:U21"/>
  <sheetViews>
    <sheetView showGridLines="0" rightToLeft="1" topLeftCell="D4" zoomScaleNormal="100" zoomScaleSheetLayoutView="80" workbookViewId="0">
      <selection activeCell="M18" sqref="M18"/>
    </sheetView>
  </sheetViews>
  <sheetFormatPr defaultColWidth="9.140625" defaultRowHeight="15"/>
  <cols>
    <col min="1" max="1" width="5.7109375" customWidth="1"/>
    <col min="2" max="2" width="20.42578125" customWidth="1"/>
    <col min="3" max="3" width="19.42578125" bestFit="1" customWidth="1"/>
    <col min="4" max="4" width="15.7109375" customWidth="1"/>
    <col min="5" max="5" width="15" bestFit="1" customWidth="1"/>
    <col min="6" max="6" width="22.28515625" bestFit="1" customWidth="1"/>
    <col min="7" max="7" width="23.7109375" bestFit="1" customWidth="1"/>
    <col min="8" max="8" width="15.140625" bestFit="1" customWidth="1"/>
    <col min="9" max="9" width="18.85546875" customWidth="1"/>
    <col min="10" max="10" width="32.140625" bestFit="1" customWidth="1"/>
    <col min="11" max="13" width="20.7109375" customWidth="1"/>
    <col min="14" max="14" width="15.42578125" customWidth="1"/>
    <col min="15" max="15" width="15.7109375" customWidth="1"/>
    <col min="16" max="16" width="16.42578125" customWidth="1"/>
    <col min="17" max="17" width="16.85546875" customWidth="1"/>
    <col min="18" max="20" width="9.140625" customWidth="1"/>
    <col min="21" max="21" width="9.140625" hidden="1" customWidth="1"/>
  </cols>
  <sheetData>
    <row r="1" spans="2:21">
      <c r="B1" s="47"/>
      <c r="C1" s="47"/>
      <c r="D1" s="47"/>
      <c r="E1" s="47"/>
      <c r="F1" s="47"/>
      <c r="G1" s="47"/>
      <c r="H1" s="47"/>
      <c r="I1" s="47"/>
    </row>
    <row r="2" spans="2:21" ht="26.25">
      <c r="B2" s="129" t="s">
        <v>1152</v>
      </c>
      <c r="C2" s="47"/>
      <c r="D2" s="47"/>
      <c r="E2" s="47"/>
      <c r="F2" s="47"/>
      <c r="G2" s="47"/>
      <c r="H2" s="47"/>
      <c r="I2" s="47"/>
    </row>
    <row r="3" spans="2:21" ht="69.95" customHeight="1">
      <c r="B3" s="264" t="s">
        <v>1</v>
      </c>
      <c r="C3" s="265" t="s">
        <v>448</v>
      </c>
      <c r="D3" s="265" t="s">
        <v>1153</v>
      </c>
      <c r="E3" s="262" t="s">
        <v>1154</v>
      </c>
      <c r="F3" s="262" t="s">
        <v>1155</v>
      </c>
      <c r="G3" s="262" t="s">
        <v>1156</v>
      </c>
      <c r="H3" s="262" t="s">
        <v>1157</v>
      </c>
      <c r="I3" s="263" t="s">
        <v>251</v>
      </c>
      <c r="J3" s="263" t="s">
        <v>431</v>
      </c>
    </row>
    <row r="4" spans="2:21" ht="69.95" customHeight="1">
      <c r="B4" s="264"/>
      <c r="C4" s="265"/>
      <c r="D4" s="265"/>
      <c r="E4" s="262"/>
      <c r="F4" s="262"/>
      <c r="G4" s="262"/>
      <c r="H4" s="262"/>
      <c r="I4" s="263"/>
      <c r="J4" s="263" t="s">
        <v>431</v>
      </c>
    </row>
    <row r="5" spans="2:21">
      <c r="B5" s="130">
        <v>9900110001</v>
      </c>
      <c r="C5" s="131" t="s">
        <v>1158</v>
      </c>
      <c r="D5" s="131" t="s">
        <v>1159</v>
      </c>
      <c r="E5" s="132">
        <v>26</v>
      </c>
      <c r="F5" s="133">
        <v>15</v>
      </c>
      <c r="G5" s="134">
        <v>60</v>
      </c>
      <c r="H5" s="133">
        <v>120</v>
      </c>
      <c r="I5" s="135">
        <v>613100000</v>
      </c>
      <c r="J5" s="135">
        <f>ROUND(((100%+$M$6)*I5)*(100%+$M$7),-6)</f>
        <v>736000000</v>
      </c>
      <c r="U5">
        <v>1</v>
      </c>
    </row>
    <row r="6" spans="2:21">
      <c r="B6" s="136">
        <v>9900110002</v>
      </c>
      <c r="C6" s="137" t="s">
        <v>1160</v>
      </c>
      <c r="D6" s="137" t="s">
        <v>1159</v>
      </c>
      <c r="E6" s="138">
        <v>26</v>
      </c>
      <c r="F6" s="139">
        <v>15</v>
      </c>
      <c r="G6" s="140">
        <v>60</v>
      </c>
      <c r="H6" s="139">
        <v>120</v>
      </c>
      <c r="I6" s="141">
        <v>830600000</v>
      </c>
      <c r="J6" s="135">
        <f t="shared" ref="J6:J8" si="0">ROUND(((100%+$M$6)*I6)*(100%+$M$7),-6)</f>
        <v>997000000</v>
      </c>
      <c r="L6" s="142" t="s">
        <v>777</v>
      </c>
      <c r="M6" s="143">
        <v>0.2</v>
      </c>
      <c r="U6">
        <v>2</v>
      </c>
    </row>
    <row r="7" spans="2:21">
      <c r="B7" s="130">
        <v>9900110003</v>
      </c>
      <c r="C7" s="131" t="s">
        <v>1161</v>
      </c>
      <c r="D7" s="131" t="s">
        <v>1159</v>
      </c>
      <c r="E7" s="132">
        <v>26</v>
      </c>
      <c r="F7" s="133">
        <v>15</v>
      </c>
      <c r="G7" s="134">
        <v>60</v>
      </c>
      <c r="H7" s="133">
        <v>120</v>
      </c>
      <c r="I7" s="135">
        <v>958400000</v>
      </c>
      <c r="J7" s="135">
        <f t="shared" si="0"/>
        <v>1150000000</v>
      </c>
      <c r="L7" s="142" t="s">
        <v>779</v>
      </c>
      <c r="M7" s="143">
        <v>0</v>
      </c>
      <c r="U7">
        <v>3</v>
      </c>
    </row>
    <row r="8" spans="2:21">
      <c r="B8" s="136">
        <v>9900110004</v>
      </c>
      <c r="C8" s="137" t="s">
        <v>1162</v>
      </c>
      <c r="D8" s="137" t="s">
        <v>1159</v>
      </c>
      <c r="E8" s="138">
        <v>26</v>
      </c>
      <c r="F8" s="139">
        <v>15</v>
      </c>
      <c r="G8" s="140">
        <v>60</v>
      </c>
      <c r="H8" s="139">
        <v>120</v>
      </c>
      <c r="I8" s="141">
        <v>1093600000</v>
      </c>
      <c r="J8" s="135">
        <f t="shared" si="0"/>
        <v>1312000000</v>
      </c>
      <c r="U8">
        <v>4</v>
      </c>
    </row>
    <row r="9" spans="2:21">
      <c r="B9" s="130">
        <v>9900110005</v>
      </c>
      <c r="C9" s="131" t="s">
        <v>1163</v>
      </c>
      <c r="D9" s="131" t="s">
        <v>1159</v>
      </c>
      <c r="E9" s="132">
        <v>26</v>
      </c>
      <c r="F9" s="133">
        <v>15</v>
      </c>
      <c r="G9" s="134">
        <v>60</v>
      </c>
      <c r="H9" s="133">
        <v>120</v>
      </c>
      <c r="I9" s="135">
        <v>1229200000</v>
      </c>
      <c r="J9" s="135">
        <f>ROUND(((100%+$M$6)*I9)*(100%+$M$7),-6)</f>
        <v>1475000000</v>
      </c>
      <c r="U9">
        <v>5</v>
      </c>
    </row>
    <row r="10" spans="2:21">
      <c r="B10" s="47"/>
      <c r="C10" s="47"/>
      <c r="D10" s="47"/>
      <c r="E10" s="47"/>
      <c r="F10" s="47"/>
      <c r="G10" s="47"/>
      <c r="H10" s="47"/>
      <c r="I10" s="47"/>
    </row>
    <row r="14" spans="2:21" ht="26.25">
      <c r="B14" s="129" t="s">
        <v>1619</v>
      </c>
      <c r="C14" s="47"/>
      <c r="D14" s="47"/>
      <c r="E14" s="47"/>
      <c r="F14" s="47"/>
      <c r="G14" s="47"/>
      <c r="H14" s="47"/>
      <c r="I14" s="47"/>
    </row>
    <row r="15" spans="2:21">
      <c r="B15" s="264" t="s">
        <v>1</v>
      </c>
      <c r="C15" s="265" t="s">
        <v>448</v>
      </c>
      <c r="D15" s="265" t="s">
        <v>1153</v>
      </c>
      <c r="E15" s="262" t="s">
        <v>1154</v>
      </c>
      <c r="F15" s="262" t="s">
        <v>1155</v>
      </c>
      <c r="G15" s="262" t="s">
        <v>1156</v>
      </c>
      <c r="H15" s="262" t="s">
        <v>1157</v>
      </c>
      <c r="I15" s="263" t="s">
        <v>251</v>
      </c>
      <c r="J15" s="263" t="s">
        <v>431</v>
      </c>
    </row>
    <row r="16" spans="2:21">
      <c r="B16" s="264"/>
      <c r="C16" s="265"/>
      <c r="D16" s="265"/>
      <c r="E16" s="262"/>
      <c r="F16" s="262"/>
      <c r="G16" s="262"/>
      <c r="H16" s="262"/>
      <c r="I16" s="263"/>
      <c r="J16" s="263" t="s">
        <v>431</v>
      </c>
    </row>
    <row r="17" spans="2:13">
      <c r="B17" s="130">
        <v>9900110006</v>
      </c>
      <c r="C17" s="131" t="s">
        <v>1620</v>
      </c>
      <c r="D17" s="131" t="s">
        <v>1621</v>
      </c>
      <c r="E17" s="132">
        <v>29</v>
      </c>
      <c r="F17" s="133">
        <v>15</v>
      </c>
      <c r="G17" s="134">
        <v>60</v>
      </c>
      <c r="H17" s="133">
        <v>120</v>
      </c>
      <c r="I17" s="135">
        <v>729000000</v>
      </c>
      <c r="J17" s="135">
        <f>ROUND(((100%+$M$17)*I17)*(100%+$M$18),-6)</f>
        <v>875000000</v>
      </c>
      <c r="L17" s="142" t="s">
        <v>777</v>
      </c>
      <c r="M17" s="143">
        <v>0.2</v>
      </c>
    </row>
    <row r="18" spans="2:13">
      <c r="B18" s="136">
        <v>9900110007</v>
      </c>
      <c r="C18" s="137" t="s">
        <v>1622</v>
      </c>
      <c r="D18" s="137" t="s">
        <v>1621</v>
      </c>
      <c r="E18" s="138">
        <v>29</v>
      </c>
      <c r="F18" s="139">
        <v>15</v>
      </c>
      <c r="G18" s="140">
        <v>60</v>
      </c>
      <c r="H18" s="139">
        <v>120</v>
      </c>
      <c r="I18" s="141">
        <v>986000000</v>
      </c>
      <c r="J18" s="135">
        <f t="shared" ref="J18:J21" si="1">ROUND(((100%+$M$17)*I18)*(100%+$M$18),-6)</f>
        <v>1183000000</v>
      </c>
      <c r="L18" s="142" t="s">
        <v>779</v>
      </c>
      <c r="M18" s="143">
        <v>0</v>
      </c>
    </row>
    <row r="19" spans="2:13">
      <c r="B19" s="130">
        <v>9900110008</v>
      </c>
      <c r="C19" s="131" t="s">
        <v>1623</v>
      </c>
      <c r="D19" s="131" t="s">
        <v>1621</v>
      </c>
      <c r="E19" s="132">
        <v>29</v>
      </c>
      <c r="F19" s="133">
        <v>15</v>
      </c>
      <c r="G19" s="134">
        <v>60</v>
      </c>
      <c r="H19" s="133">
        <v>120</v>
      </c>
      <c r="I19" s="135">
        <v>1136000000</v>
      </c>
      <c r="J19" s="135">
        <f t="shared" si="1"/>
        <v>1363000000</v>
      </c>
    </row>
    <row r="20" spans="2:13">
      <c r="B20" s="136">
        <v>9900110009</v>
      </c>
      <c r="C20" s="137" t="s">
        <v>1624</v>
      </c>
      <c r="D20" s="137" t="s">
        <v>1621</v>
      </c>
      <c r="E20" s="138">
        <v>29</v>
      </c>
      <c r="F20" s="139">
        <v>15</v>
      </c>
      <c r="G20" s="140">
        <v>60</v>
      </c>
      <c r="H20" s="139">
        <v>120</v>
      </c>
      <c r="I20" s="141">
        <v>1301000000</v>
      </c>
      <c r="J20" s="135">
        <f t="shared" si="1"/>
        <v>1561000000</v>
      </c>
    </row>
    <row r="21" spans="2:13">
      <c r="B21" s="130">
        <v>9900110010</v>
      </c>
      <c r="C21" s="131" t="s">
        <v>1625</v>
      </c>
      <c r="D21" s="131" t="s">
        <v>1621</v>
      </c>
      <c r="E21" s="132">
        <v>29</v>
      </c>
      <c r="F21" s="133">
        <v>15</v>
      </c>
      <c r="G21" s="134">
        <v>60</v>
      </c>
      <c r="H21" s="133">
        <v>120</v>
      </c>
      <c r="I21" s="135">
        <v>1458000000</v>
      </c>
      <c r="J21" s="135">
        <f t="shared" si="1"/>
        <v>1750000000</v>
      </c>
    </row>
  </sheetData>
  <mergeCells count="18">
    <mergeCell ref="G15:G16"/>
    <mergeCell ref="H15:H16"/>
    <mergeCell ref="I15:I16"/>
    <mergeCell ref="J15:J16"/>
    <mergeCell ref="B15:B16"/>
    <mergeCell ref="C15:C16"/>
    <mergeCell ref="D15:D16"/>
    <mergeCell ref="E15:E16"/>
    <mergeCell ref="F15:F16"/>
    <mergeCell ref="H3:H4"/>
    <mergeCell ref="I3:I4"/>
    <mergeCell ref="J3:J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scale="49" orientation="portrait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66A7-A70E-4DED-9A88-FDED378A2C6A}">
  <dimension ref="A1:S419"/>
  <sheetViews>
    <sheetView rightToLeft="1" topLeftCell="A55" zoomScaleNormal="100" zoomScaleSheetLayoutView="80" workbookViewId="0">
      <selection activeCell="I94" sqref="I94"/>
    </sheetView>
  </sheetViews>
  <sheetFormatPr defaultColWidth="9.140625" defaultRowHeight="18"/>
  <cols>
    <col min="1" max="2" width="5.7109375" style="64" customWidth="1"/>
    <col min="3" max="3" width="3.28515625" style="64" customWidth="1"/>
    <col min="4" max="4" width="3.7109375" style="64" customWidth="1"/>
    <col min="5" max="5" width="7.140625" style="63" customWidth="1"/>
    <col min="6" max="6" width="9.42578125" style="65" customWidth="1"/>
    <col min="7" max="9" width="8.140625" style="65" customWidth="1"/>
    <col min="10" max="10" width="9.42578125" style="63" customWidth="1"/>
    <col min="11" max="14" width="10.140625" style="64" customWidth="1"/>
    <col min="15" max="15" width="18.28515625" style="64" bestFit="1" customWidth="1"/>
    <col min="16" max="16384" width="9.140625" style="64"/>
  </cols>
  <sheetData>
    <row r="1" spans="1:19">
      <c r="A1" s="60"/>
      <c r="B1" s="61"/>
      <c r="C1" s="62"/>
      <c r="D1" s="63"/>
      <c r="F1" s="63"/>
      <c r="G1" s="63"/>
      <c r="H1" s="63"/>
      <c r="I1" s="63"/>
      <c r="R1" s="64" t="s">
        <v>1091</v>
      </c>
      <c r="S1" s="64" t="s">
        <v>1529</v>
      </c>
    </row>
    <row r="2" spans="1:19">
      <c r="A2" s="60"/>
      <c r="B2" s="61"/>
      <c r="C2" s="62"/>
      <c r="D2" s="63"/>
      <c r="F2" s="63"/>
      <c r="G2" s="63"/>
      <c r="H2" s="63"/>
      <c r="I2" s="63"/>
    </row>
    <row r="3" spans="1:19">
      <c r="A3" s="60"/>
      <c r="B3" s="61"/>
      <c r="C3" s="62"/>
      <c r="D3" s="63"/>
      <c r="F3" s="63"/>
      <c r="G3" s="63"/>
      <c r="H3" s="63"/>
      <c r="I3" s="63"/>
    </row>
    <row r="4" spans="1:19">
      <c r="A4" s="60"/>
      <c r="B4" s="61"/>
      <c r="C4" s="62"/>
      <c r="D4" s="63"/>
      <c r="F4" s="63"/>
      <c r="G4" s="63"/>
      <c r="H4" s="63"/>
      <c r="I4" s="63"/>
    </row>
    <row r="5" spans="1:19">
      <c r="A5" s="60"/>
      <c r="B5" s="61"/>
      <c r="C5" s="62"/>
      <c r="D5" s="63"/>
      <c r="F5" s="63"/>
      <c r="G5" s="63"/>
      <c r="H5" s="63"/>
      <c r="I5" s="63"/>
    </row>
    <row r="6" spans="1:19">
      <c r="A6" s="60"/>
      <c r="B6" s="61"/>
      <c r="C6" s="62"/>
      <c r="D6" s="63"/>
      <c r="F6" s="63"/>
      <c r="G6" s="63"/>
      <c r="H6" s="63"/>
      <c r="I6" s="63"/>
    </row>
    <row r="7" spans="1:19">
      <c r="A7" s="60"/>
      <c r="B7" s="61"/>
      <c r="C7" s="62"/>
      <c r="D7" s="63"/>
      <c r="F7" s="63"/>
      <c r="G7" s="63"/>
      <c r="H7" s="63"/>
      <c r="I7" s="63"/>
    </row>
    <row r="8" spans="1:19">
      <c r="A8" s="60"/>
      <c r="B8" s="61"/>
      <c r="C8" s="62"/>
      <c r="D8" s="63"/>
      <c r="F8" s="63"/>
      <c r="G8" s="63"/>
      <c r="H8" s="63"/>
      <c r="I8" s="63"/>
    </row>
    <row r="9" spans="1:19">
      <c r="A9" s="60"/>
      <c r="B9" s="61"/>
      <c r="C9" s="62"/>
    </row>
    <row r="10" spans="1:19">
      <c r="A10" s="60"/>
      <c r="B10" s="61"/>
      <c r="C10" s="62"/>
    </row>
    <row r="11" spans="1:19">
      <c r="A11" s="60"/>
      <c r="B11" s="61"/>
      <c r="C11" s="62"/>
    </row>
    <row r="12" spans="1:19">
      <c r="A12" s="60"/>
      <c r="B12" s="61"/>
      <c r="C12" s="62"/>
      <c r="D12" s="63"/>
      <c r="F12" s="63"/>
      <c r="G12" s="63"/>
      <c r="H12" s="63"/>
      <c r="I12" s="63"/>
    </row>
    <row r="13" spans="1:19">
      <c r="A13" s="60"/>
      <c r="B13" s="61"/>
      <c r="C13" s="62"/>
      <c r="D13" s="63"/>
      <c r="F13" s="63"/>
      <c r="G13" s="63"/>
      <c r="H13" s="63"/>
      <c r="I13" s="63"/>
    </row>
    <row r="14" spans="1:19">
      <c r="A14" s="60"/>
      <c r="B14" s="61"/>
      <c r="C14" s="62"/>
      <c r="D14" s="63"/>
      <c r="F14" s="63"/>
      <c r="G14" s="63"/>
      <c r="H14" s="63"/>
      <c r="I14" s="63"/>
    </row>
    <row r="15" spans="1:19">
      <c r="A15" s="60"/>
      <c r="B15" s="61"/>
      <c r="C15" s="62"/>
      <c r="D15" s="63"/>
      <c r="F15" s="63"/>
      <c r="G15" s="63"/>
      <c r="H15" s="63"/>
      <c r="I15" s="63"/>
    </row>
    <row r="16" spans="1:19">
      <c r="A16" s="60"/>
      <c r="B16" s="61"/>
      <c r="C16" s="62"/>
      <c r="D16" s="63"/>
      <c r="F16" s="63"/>
      <c r="G16" s="63"/>
      <c r="H16" s="63"/>
      <c r="I16" s="63"/>
    </row>
    <row r="17" spans="1:14">
      <c r="A17" s="60"/>
      <c r="B17" s="61"/>
      <c r="C17" s="62"/>
      <c r="D17" s="63"/>
      <c r="F17" s="63"/>
      <c r="G17" s="63"/>
      <c r="H17" s="63"/>
      <c r="I17" s="63"/>
    </row>
    <row r="18" spans="1:14">
      <c r="A18" s="60"/>
      <c r="B18" s="61"/>
      <c r="C18" s="62"/>
      <c r="D18" s="63"/>
      <c r="F18" s="63"/>
      <c r="G18" s="63"/>
      <c r="H18" s="63"/>
      <c r="I18" s="63"/>
    </row>
    <row r="19" spans="1:14">
      <c r="A19" s="60"/>
      <c r="B19" s="61"/>
      <c r="C19" s="62"/>
      <c r="D19" s="63"/>
      <c r="F19" s="63"/>
      <c r="G19" s="63"/>
      <c r="H19" s="63"/>
      <c r="I19" s="63"/>
    </row>
    <row r="20" spans="1:14">
      <c r="A20" s="60"/>
      <c r="B20" s="61"/>
      <c r="C20" s="62"/>
      <c r="D20" s="63"/>
      <c r="F20" s="63"/>
      <c r="G20" s="63"/>
      <c r="H20" s="63"/>
      <c r="I20" s="63"/>
    </row>
    <row r="21" spans="1:14">
      <c r="A21" s="60"/>
      <c r="B21" s="61"/>
      <c r="C21" s="62"/>
      <c r="D21" s="63"/>
      <c r="F21" s="63"/>
      <c r="G21" s="63"/>
      <c r="H21" s="63"/>
      <c r="I21" s="63"/>
    </row>
    <row r="22" spans="1:14" ht="18" customHeight="1">
      <c r="A22" s="60"/>
      <c r="B22" s="61"/>
      <c r="C22" s="62"/>
      <c r="E22" s="163"/>
      <c r="F22" s="266" t="s">
        <v>1541</v>
      </c>
      <c r="G22" s="266"/>
      <c r="H22" s="266"/>
      <c r="I22" s="266"/>
      <c r="J22" s="266"/>
      <c r="K22" s="266"/>
      <c r="L22" s="266"/>
      <c r="M22" s="266"/>
      <c r="N22" s="266"/>
    </row>
    <row r="23" spans="1:14" ht="18" customHeight="1">
      <c r="A23" s="60"/>
      <c r="B23" s="61"/>
      <c r="C23" s="62"/>
      <c r="D23" s="163"/>
      <c r="E23" s="163"/>
      <c r="F23" s="266"/>
      <c r="G23" s="266"/>
      <c r="H23" s="266"/>
      <c r="I23" s="266"/>
      <c r="J23" s="266"/>
      <c r="K23" s="266"/>
      <c r="L23" s="266"/>
      <c r="M23" s="266"/>
      <c r="N23" s="266"/>
    </row>
    <row r="24" spans="1:14" ht="18" customHeight="1">
      <c r="A24" s="60"/>
      <c r="B24" s="61"/>
      <c r="C24" s="62"/>
      <c r="D24" s="163"/>
      <c r="E24" s="163"/>
      <c r="F24" s="266"/>
      <c r="G24" s="266"/>
      <c r="H24" s="266"/>
      <c r="I24" s="266"/>
      <c r="J24" s="266"/>
      <c r="K24" s="266"/>
      <c r="L24" s="266"/>
      <c r="M24" s="266"/>
      <c r="N24" s="266"/>
    </row>
    <row r="25" spans="1:14">
      <c r="A25" s="60"/>
      <c r="B25" s="61"/>
      <c r="C25" s="62"/>
      <c r="D25" s="63"/>
      <c r="F25" s="63"/>
      <c r="G25" s="63"/>
      <c r="H25" s="63"/>
      <c r="I25" s="63"/>
    </row>
    <row r="26" spans="1:14" ht="15" customHeight="1">
      <c r="A26" s="60"/>
      <c r="B26" s="61"/>
      <c r="C26" s="62"/>
      <c r="D26" s="63"/>
      <c r="G26" s="98"/>
      <c r="J26" s="66"/>
      <c r="M26" s="184" t="s">
        <v>1540</v>
      </c>
      <c r="N26" s="184"/>
    </row>
    <row r="27" spans="1:14" ht="15" customHeight="1">
      <c r="A27" s="60"/>
      <c r="B27" s="61"/>
      <c r="C27" s="62"/>
      <c r="D27" s="63"/>
      <c r="G27" s="98"/>
      <c r="J27" s="66"/>
      <c r="M27" s="184"/>
      <c r="N27" s="184"/>
    </row>
    <row r="28" spans="1:14">
      <c r="A28" s="60"/>
      <c r="B28" s="61"/>
      <c r="C28" s="62"/>
      <c r="D28" s="63"/>
    </row>
    <row r="29" spans="1:14">
      <c r="A29" s="60"/>
      <c r="B29" s="61"/>
      <c r="C29" s="62"/>
      <c r="D29" s="63"/>
      <c r="F29" s="63"/>
      <c r="G29" s="63"/>
      <c r="H29" s="63"/>
      <c r="I29" s="63"/>
    </row>
    <row r="30" spans="1:14">
      <c r="A30" s="60"/>
      <c r="B30" s="61"/>
      <c r="C30" s="62"/>
      <c r="D30" s="63"/>
      <c r="F30" s="63"/>
      <c r="G30" s="63"/>
      <c r="H30" s="63"/>
      <c r="I30" s="63"/>
    </row>
    <row r="31" spans="1:14">
      <c r="A31" s="60"/>
      <c r="B31" s="61"/>
      <c r="C31" s="62"/>
      <c r="D31" s="63"/>
      <c r="F31" s="63"/>
      <c r="G31" s="63"/>
      <c r="H31" s="63"/>
      <c r="I31" s="63"/>
    </row>
    <row r="32" spans="1:14">
      <c r="A32" s="60"/>
      <c r="B32" s="61"/>
      <c r="C32" s="62"/>
      <c r="D32" s="63"/>
      <c r="F32" s="63"/>
      <c r="G32" s="63"/>
      <c r="H32" s="63"/>
      <c r="I32" s="63"/>
    </row>
    <row r="33" spans="1:9">
      <c r="A33" s="60"/>
      <c r="B33" s="61"/>
      <c r="C33" s="62"/>
      <c r="D33" s="63"/>
      <c r="F33" s="63"/>
      <c r="G33" s="63"/>
      <c r="H33" s="63"/>
      <c r="I33" s="63"/>
    </row>
    <row r="34" spans="1:9">
      <c r="A34" s="60"/>
      <c r="B34" s="61"/>
      <c r="C34" s="62"/>
      <c r="D34" s="63"/>
      <c r="F34" s="63"/>
      <c r="G34" s="63"/>
      <c r="H34" s="63"/>
      <c r="I34" s="63"/>
    </row>
    <row r="35" spans="1:9">
      <c r="A35" s="60"/>
      <c r="B35" s="61"/>
      <c r="C35" s="62"/>
      <c r="D35" s="63"/>
      <c r="F35" s="63"/>
      <c r="G35" s="63"/>
      <c r="H35" s="63"/>
      <c r="I35" s="63"/>
    </row>
    <row r="36" spans="1:9">
      <c r="A36" s="60"/>
      <c r="B36" s="61"/>
      <c r="C36" s="62"/>
      <c r="D36" s="63"/>
      <c r="F36" s="63"/>
      <c r="G36" s="63"/>
      <c r="H36" s="63"/>
      <c r="I36" s="63"/>
    </row>
    <row r="37" spans="1:9">
      <c r="A37" s="60"/>
      <c r="B37" s="61"/>
      <c r="C37" s="62"/>
      <c r="D37" s="63"/>
      <c r="F37" s="63"/>
      <c r="G37" s="63"/>
      <c r="H37" s="63"/>
      <c r="I37" s="63"/>
    </row>
    <row r="38" spans="1:9">
      <c r="A38" s="60"/>
      <c r="B38" s="61"/>
      <c r="C38" s="62"/>
      <c r="D38" s="63"/>
      <c r="F38" s="63"/>
      <c r="G38" s="63"/>
      <c r="H38" s="63"/>
      <c r="I38" s="63"/>
    </row>
    <row r="39" spans="1:9">
      <c r="A39" s="60"/>
      <c r="B39" s="61"/>
      <c r="C39" s="62"/>
      <c r="D39" s="63"/>
      <c r="F39" s="63"/>
      <c r="G39" s="63"/>
      <c r="H39" s="63"/>
      <c r="I39" s="63"/>
    </row>
    <row r="40" spans="1:9">
      <c r="A40" s="60"/>
      <c r="B40" s="61"/>
      <c r="C40" s="62"/>
      <c r="D40" s="63"/>
      <c r="F40" s="63"/>
      <c r="G40" s="63"/>
      <c r="H40" s="63"/>
      <c r="I40" s="63"/>
    </row>
    <row r="41" spans="1:9">
      <c r="A41" s="60"/>
      <c r="B41" s="61"/>
      <c r="C41" s="62"/>
      <c r="D41" s="63"/>
      <c r="F41" s="63"/>
      <c r="G41" s="63"/>
      <c r="H41" s="63"/>
      <c r="I41" s="63"/>
    </row>
    <row r="42" spans="1:9">
      <c r="A42" s="60"/>
      <c r="B42" s="61"/>
      <c r="C42" s="62"/>
      <c r="D42" s="63"/>
      <c r="F42" s="63"/>
      <c r="G42" s="63"/>
      <c r="H42" s="63"/>
      <c r="I42" s="63"/>
    </row>
    <row r="43" spans="1:9">
      <c r="A43" s="60"/>
      <c r="B43" s="61"/>
      <c r="C43" s="62"/>
      <c r="D43" s="63"/>
      <c r="F43" s="63"/>
      <c r="G43" s="63"/>
      <c r="H43" s="63"/>
      <c r="I43" s="63"/>
    </row>
    <row r="44" spans="1:9">
      <c r="A44" s="60"/>
      <c r="B44" s="61"/>
      <c r="C44" s="62"/>
      <c r="D44" s="63"/>
      <c r="F44" s="63"/>
      <c r="G44" s="63"/>
      <c r="H44" s="63"/>
      <c r="I44" s="63"/>
    </row>
    <row r="45" spans="1:9">
      <c r="A45" s="60"/>
      <c r="B45" s="61"/>
      <c r="C45" s="62"/>
      <c r="D45" s="63"/>
      <c r="F45" s="63"/>
      <c r="G45" s="63"/>
      <c r="H45" s="63"/>
      <c r="I45" s="63"/>
    </row>
    <row r="46" spans="1:9">
      <c r="A46" s="60"/>
      <c r="B46" s="61"/>
      <c r="C46" s="62"/>
      <c r="D46" s="63"/>
      <c r="F46" s="63"/>
      <c r="G46" s="63"/>
      <c r="H46" s="63"/>
      <c r="I46" s="63"/>
    </row>
    <row r="47" spans="1:9">
      <c r="A47" s="60"/>
      <c r="B47" s="61"/>
      <c r="C47" s="62"/>
      <c r="D47" s="63"/>
      <c r="F47" s="63"/>
      <c r="G47" s="63"/>
      <c r="H47" s="63"/>
      <c r="I47" s="63"/>
    </row>
    <row r="48" spans="1:9">
      <c r="A48" s="60"/>
      <c r="B48" s="61"/>
      <c r="C48" s="62"/>
      <c r="D48" s="63"/>
      <c r="F48" s="63"/>
      <c r="G48" s="63"/>
      <c r="H48" s="63"/>
      <c r="I48" s="63"/>
    </row>
    <row r="49" spans="1:16">
      <c r="A49" s="60"/>
      <c r="B49" s="61"/>
      <c r="C49" s="62"/>
      <c r="D49" s="63"/>
      <c r="F49" s="63"/>
      <c r="G49" s="63"/>
      <c r="H49" s="63"/>
      <c r="I49" s="63"/>
    </row>
    <row r="50" spans="1:16">
      <c r="A50" s="60"/>
      <c r="B50" s="61"/>
      <c r="C50" s="62"/>
      <c r="D50" s="63"/>
      <c r="F50" s="63"/>
      <c r="G50" s="63"/>
      <c r="H50" s="63"/>
      <c r="I50" s="63"/>
    </row>
    <row r="51" spans="1:16">
      <c r="A51" s="60"/>
      <c r="B51" s="61"/>
      <c r="C51" s="62"/>
      <c r="D51" s="63"/>
      <c r="F51" s="63"/>
      <c r="G51" s="63"/>
      <c r="H51" s="63"/>
      <c r="I51" s="63"/>
    </row>
    <row r="52" spans="1:16">
      <c r="A52" s="60"/>
      <c r="B52" s="61"/>
      <c r="C52" s="62"/>
      <c r="D52" s="63"/>
      <c r="F52" s="63"/>
      <c r="G52" s="63"/>
      <c r="H52" s="63"/>
      <c r="I52" s="63"/>
    </row>
    <row r="53" spans="1:16">
      <c r="A53" s="60"/>
      <c r="B53" s="61"/>
      <c r="C53" s="62"/>
      <c r="D53" s="63"/>
      <c r="F53" s="63"/>
      <c r="G53" s="63"/>
      <c r="H53" s="63"/>
      <c r="I53" s="63"/>
    </row>
    <row r="54" spans="1:16">
      <c r="A54" s="60"/>
      <c r="B54" s="61"/>
      <c r="C54" s="62"/>
      <c r="D54" s="63"/>
      <c r="F54" s="63"/>
      <c r="G54" s="63"/>
      <c r="H54" s="63"/>
      <c r="I54" s="63"/>
    </row>
    <row r="55" spans="1:16">
      <c r="A55" s="60"/>
      <c r="B55" s="61"/>
      <c r="C55" s="62"/>
      <c r="D55" s="63"/>
      <c r="F55" s="63"/>
      <c r="G55" s="63"/>
      <c r="H55" s="63"/>
      <c r="I55" s="63"/>
    </row>
    <row r="56" spans="1:16">
      <c r="A56" s="60"/>
      <c r="B56" s="61"/>
      <c r="C56" s="62"/>
      <c r="D56" s="63"/>
      <c r="F56" s="63"/>
      <c r="G56" s="63"/>
      <c r="H56" s="63"/>
      <c r="I56" s="63"/>
    </row>
    <row r="57" spans="1:16">
      <c r="A57" s="60"/>
      <c r="B57" s="61"/>
      <c r="C57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</row>
    <row r="58" spans="1:16">
      <c r="A58" s="60"/>
      <c r="B58" s="61"/>
      <c r="C58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</row>
    <row r="59" spans="1:16" ht="31.5">
      <c r="A59" s="60"/>
      <c r="B59" s="61"/>
      <c r="C59"/>
      <c r="D59" s="72"/>
      <c r="E59" s="66" t="s">
        <v>1152</v>
      </c>
      <c r="F59" s="63"/>
      <c r="J59" s="65"/>
      <c r="K59" s="68"/>
      <c r="N59" s="230" t="str">
        <f>$S$1</f>
        <v>1405/02/23</v>
      </c>
      <c r="O59" s="230"/>
    </row>
    <row r="60" spans="1:16" ht="72.75" customHeight="1">
      <c r="A60" s="60"/>
      <c r="B60" s="61"/>
      <c r="D60" s="244" t="s">
        <v>0</v>
      </c>
      <c r="E60" s="247" t="s">
        <v>1</v>
      </c>
      <c r="F60" s="248"/>
      <c r="G60" s="249" t="s">
        <v>2</v>
      </c>
      <c r="H60" s="249"/>
      <c r="I60" s="250"/>
      <c r="J60" s="248" t="s">
        <v>1153</v>
      </c>
      <c r="K60" s="251" t="s">
        <v>1154</v>
      </c>
      <c r="L60" s="251" t="s">
        <v>1155</v>
      </c>
      <c r="M60" s="251" t="s">
        <v>1156</v>
      </c>
      <c r="N60" s="251" t="s">
        <v>1157</v>
      </c>
      <c r="O60" s="191" t="s">
        <v>251</v>
      </c>
    </row>
    <row r="61" spans="1:16" ht="72.75" customHeight="1">
      <c r="A61" s="60"/>
      <c r="B61" s="61"/>
      <c r="D61" s="244"/>
      <c r="E61" s="247"/>
      <c r="F61" s="248"/>
      <c r="G61" s="249"/>
      <c r="H61" s="249"/>
      <c r="I61" s="250"/>
      <c r="J61" s="248"/>
      <c r="K61" s="251"/>
      <c r="L61" s="251"/>
      <c r="M61" s="251"/>
      <c r="N61" s="251"/>
      <c r="O61" s="191"/>
    </row>
    <row r="62" spans="1:16" ht="80.25" customHeight="1">
      <c r="A62" s="60"/>
      <c r="B62" s="61"/>
      <c r="D62" s="86">
        <v>1</v>
      </c>
      <c r="E62" s="245">
        <f>INDEX('تشک حذف از تولید'!B:B,MATCH(P62,'تشک حذف از تولید'!U:U,0))</f>
        <v>9900110001</v>
      </c>
      <c r="F62" s="246"/>
      <c r="G62" s="180" t="str">
        <f>INDEX('تشک حذف از تولید'!C:C,MATCH(P62,'تشک حذف از تولید'!U:U,0))</f>
        <v>تشک 90*200 آریل</v>
      </c>
      <c r="H62" s="181"/>
      <c r="I62" s="182"/>
      <c r="J62" s="144" t="str">
        <f>INDEX('تشک حذف از تولید'!D:D,MATCH(P62,'تشک حذف از تولید'!U:U,0))</f>
        <v>فنر متصل</v>
      </c>
      <c r="K62" s="145">
        <f>INDEX('تشک حذف از تولید'!E:E,MATCH(P62,'تشک حذف از تولید'!U:U,0))</f>
        <v>26</v>
      </c>
      <c r="L62" s="145">
        <f>INDEX('تشک حذف از تولید'!F:F,MATCH(P62,'تشک حذف از تولید'!U:U,0))</f>
        <v>15</v>
      </c>
      <c r="M62" s="145">
        <f>INDEX('تشک حذف از تولید'!G:G,MATCH(P62,'تشک حذف از تولید'!U:U,0))</f>
        <v>60</v>
      </c>
      <c r="N62" s="145">
        <f>INDEX('تشک حذف از تولید'!H:H,MATCH(P62,'تشک حذف از تولید'!U:U,0))</f>
        <v>120</v>
      </c>
      <c r="O62" s="85">
        <f>INDEX('تشک حذف از تولید'!J:J,MATCH(P62,'تشک حذف از تولید'!U:U,0))</f>
        <v>736000000</v>
      </c>
      <c r="P62" s="64">
        <v>1</v>
      </c>
    </row>
    <row r="63" spans="1:16" ht="80.25" customHeight="1">
      <c r="A63" s="60"/>
      <c r="B63" s="61"/>
      <c r="D63" s="86">
        <v>2</v>
      </c>
      <c r="E63" s="245">
        <f>INDEX('تشک حذف از تولید'!B:B,MATCH(P63,'تشک حذف از تولید'!U:U,0))</f>
        <v>9900110002</v>
      </c>
      <c r="F63" s="246"/>
      <c r="G63" s="180" t="str">
        <f>INDEX('تشک حذف از تولید'!C:C,MATCH(P63,'تشک حذف از تولید'!U:U,0))</f>
        <v>تشک 120*200 آریل</v>
      </c>
      <c r="H63" s="181"/>
      <c r="I63" s="182"/>
      <c r="J63" s="144" t="str">
        <f>INDEX('تشک حذف از تولید'!D:D,MATCH(P63,'تشک حذف از تولید'!U:U,0))</f>
        <v>فنر متصل</v>
      </c>
      <c r="K63" s="145">
        <f>INDEX('تشک حذف از تولید'!E:E,MATCH(P63,'تشک حذف از تولید'!U:U,0))</f>
        <v>26</v>
      </c>
      <c r="L63" s="145">
        <f>INDEX('تشک حذف از تولید'!F:F,MATCH(P63,'تشک حذف از تولید'!U:U,0))</f>
        <v>15</v>
      </c>
      <c r="M63" s="145">
        <f>INDEX('تشک حذف از تولید'!G:G,MATCH(P63,'تشک حذف از تولید'!U:U,0))</f>
        <v>60</v>
      </c>
      <c r="N63" s="145">
        <f>INDEX('تشک حذف از تولید'!H:H,MATCH(P63,'تشک حذف از تولید'!U:U,0))</f>
        <v>120</v>
      </c>
      <c r="O63" s="85">
        <f>INDEX('تشک حذف از تولید'!J:J,MATCH(P63,'تشک حذف از تولید'!U:U,0))</f>
        <v>997000000</v>
      </c>
      <c r="P63" s="64">
        <v>2</v>
      </c>
    </row>
    <row r="64" spans="1:16" ht="80.25" customHeight="1">
      <c r="A64" s="60"/>
      <c r="B64" s="61"/>
      <c r="D64" s="86">
        <v>3</v>
      </c>
      <c r="E64" s="245">
        <f>INDEX('تشک حذف از تولید'!B:B,MATCH(P64,'تشک حذف از تولید'!U:U,0))</f>
        <v>9900110003</v>
      </c>
      <c r="F64" s="246"/>
      <c r="G64" s="180" t="str">
        <f>INDEX('تشک حذف از تولید'!C:C,MATCH(P64,'تشک حذف از تولید'!U:U,0))</f>
        <v>تشک 140*200 آریل</v>
      </c>
      <c r="H64" s="181"/>
      <c r="I64" s="182"/>
      <c r="J64" s="144" t="str">
        <f>INDEX('تشک حذف از تولید'!D:D,MATCH(P64,'تشک حذف از تولید'!U:U,0))</f>
        <v>فنر متصل</v>
      </c>
      <c r="K64" s="145">
        <f>INDEX('تشک حذف از تولید'!E:E,MATCH(P64,'تشک حذف از تولید'!U:U,0))</f>
        <v>26</v>
      </c>
      <c r="L64" s="145">
        <f>INDEX('تشک حذف از تولید'!F:F,MATCH(P64,'تشک حذف از تولید'!U:U,0))</f>
        <v>15</v>
      </c>
      <c r="M64" s="145">
        <f>INDEX('تشک حذف از تولید'!G:G,MATCH(P64,'تشک حذف از تولید'!U:U,0))</f>
        <v>60</v>
      </c>
      <c r="N64" s="145">
        <f>INDEX('تشک حذف از تولید'!H:H,MATCH(P64,'تشک حذف از تولید'!U:U,0))</f>
        <v>120</v>
      </c>
      <c r="O64" s="85">
        <f>INDEX('تشک حذف از تولید'!J:J,MATCH(P64,'تشک حذف از تولید'!U:U,0))</f>
        <v>1150000000</v>
      </c>
      <c r="P64" s="64">
        <v>3</v>
      </c>
    </row>
    <row r="65" spans="1:16" ht="80.25" customHeight="1">
      <c r="A65" s="60"/>
      <c r="B65" s="61"/>
      <c r="D65" s="86">
        <v>4</v>
      </c>
      <c r="E65" s="245">
        <f>INDEX('تشک حذف از تولید'!B:B,MATCH(P65,'تشک حذف از تولید'!U:U,0))</f>
        <v>9900110004</v>
      </c>
      <c r="F65" s="246"/>
      <c r="G65" s="180" t="str">
        <f>INDEX('تشک حذف از تولید'!C:C,MATCH(P65,'تشک حذف از تولید'!U:U,0))</f>
        <v>تشک 160*200 آریل</v>
      </c>
      <c r="H65" s="181"/>
      <c r="I65" s="182"/>
      <c r="J65" s="144" t="str">
        <f>INDEX('تشک حذف از تولید'!D:D,MATCH(P65,'تشک حذف از تولید'!U:U,0))</f>
        <v>فنر متصل</v>
      </c>
      <c r="K65" s="145">
        <f>INDEX('تشک حذف از تولید'!E:E,MATCH(P65,'تشک حذف از تولید'!U:U,0))</f>
        <v>26</v>
      </c>
      <c r="L65" s="145">
        <f>INDEX('تشک حذف از تولید'!F:F,MATCH(P65,'تشک حذف از تولید'!U:U,0))</f>
        <v>15</v>
      </c>
      <c r="M65" s="145">
        <f>INDEX('تشک حذف از تولید'!G:G,MATCH(P65,'تشک حذف از تولید'!U:U,0))</f>
        <v>60</v>
      </c>
      <c r="N65" s="145">
        <f>INDEX('تشک حذف از تولید'!H:H,MATCH(P65,'تشک حذف از تولید'!U:U,0))</f>
        <v>120</v>
      </c>
      <c r="O65" s="85">
        <f>INDEX('تشک حذف از تولید'!J:J,MATCH(P65,'تشک حذف از تولید'!U:U,0))</f>
        <v>1312000000</v>
      </c>
      <c r="P65" s="64">
        <v>4</v>
      </c>
    </row>
    <row r="66" spans="1:16" ht="80.25" customHeight="1">
      <c r="A66" s="60"/>
      <c r="B66" s="61"/>
      <c r="D66" s="86">
        <v>5</v>
      </c>
      <c r="E66" s="245">
        <f>INDEX('تشک حذف از تولید'!B:B,MATCH(P66,'تشک حذف از تولید'!U:U,0))</f>
        <v>9900110005</v>
      </c>
      <c r="F66" s="246"/>
      <c r="G66" s="180" t="str">
        <f>INDEX('تشک حذف از تولید'!C:C,MATCH(P66,'تشک حذف از تولید'!U:U,0))</f>
        <v>تشک 180*200 آریل</v>
      </c>
      <c r="H66" s="181"/>
      <c r="I66" s="182"/>
      <c r="J66" s="144" t="str">
        <f>INDEX('تشک حذف از تولید'!D:D,MATCH(P66,'تشک حذف از تولید'!U:U,0))</f>
        <v>فنر متصل</v>
      </c>
      <c r="K66" s="145">
        <f>INDEX('تشک حذف از تولید'!E:E,MATCH(P66,'تشک حذف از تولید'!U:U,0))</f>
        <v>26</v>
      </c>
      <c r="L66" s="145">
        <f>INDEX('تشک حذف از تولید'!F:F,MATCH(P66,'تشک حذف از تولید'!U:U,0))</f>
        <v>15</v>
      </c>
      <c r="M66" s="145">
        <f>INDEX('تشک حذف از تولید'!G:G,MATCH(P66,'تشک حذف از تولید'!U:U,0))</f>
        <v>60</v>
      </c>
      <c r="N66" s="145">
        <f>INDEX('تشک حذف از تولید'!H:H,MATCH(P66,'تشک حذف از تولید'!U:U,0))</f>
        <v>120</v>
      </c>
      <c r="O66" s="85">
        <f>INDEX('تشک حذف از تولید'!J:J,MATCH(P66,'تشک حذف از تولید'!U:U,0))</f>
        <v>1475000000</v>
      </c>
      <c r="P66" s="64">
        <v>5</v>
      </c>
    </row>
    <row r="67" spans="1:16">
      <c r="A67" s="60"/>
      <c r="B67" s="61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>
      <c r="A68" s="60"/>
      <c r="B68" s="61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>
      <c r="A69" s="60"/>
      <c r="B69" s="61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>
      <c r="A70" s="60"/>
      <c r="B70" s="61"/>
    </row>
    <row r="71" spans="1:16">
      <c r="A71" s="60"/>
      <c r="B71" s="61"/>
    </row>
    <row r="72" spans="1:16">
      <c r="A72" s="60"/>
      <c r="B72" s="61"/>
    </row>
    <row r="73" spans="1:16">
      <c r="A73" s="60"/>
      <c r="B73" s="61"/>
    </row>
    <row r="74" spans="1:16">
      <c r="A74" s="60"/>
      <c r="B74" s="61"/>
    </row>
    <row r="75" spans="1:16">
      <c r="A75" s="60"/>
      <c r="B75" s="61"/>
    </row>
    <row r="76" spans="1:16">
      <c r="A76" s="60"/>
      <c r="B76" s="61"/>
    </row>
    <row r="77" spans="1:16">
      <c r="A77" s="60"/>
      <c r="B77" s="61"/>
    </row>
    <row r="78" spans="1:16">
      <c r="A78" s="60"/>
      <c r="B78" s="61"/>
    </row>
    <row r="79" spans="1:16">
      <c r="A79" s="60"/>
      <c r="B79" s="61"/>
    </row>
    <row r="80" spans="1:16">
      <c r="A80" s="60"/>
      <c r="B80" s="61"/>
    </row>
    <row r="81" spans="1:4">
      <c r="A81" s="60"/>
      <c r="B81" s="61"/>
    </row>
    <row r="82" spans="1:4">
      <c r="A82" s="60"/>
      <c r="B82" s="61"/>
    </row>
    <row r="83" spans="1:4">
      <c r="A83" s="60"/>
      <c r="B83" s="61"/>
    </row>
    <row r="84" spans="1:4">
      <c r="A84" s="60"/>
      <c r="B84" s="61"/>
    </row>
    <row r="85" spans="1:4">
      <c r="A85" s="60"/>
      <c r="B85" s="61"/>
    </row>
    <row r="86" spans="1:4">
      <c r="A86" s="60"/>
      <c r="B86" s="61"/>
    </row>
    <row r="87" spans="1:4">
      <c r="A87" s="60"/>
      <c r="B87" s="61"/>
    </row>
    <row r="88" spans="1:4">
      <c r="A88"/>
      <c r="B88"/>
      <c r="C88"/>
      <c r="D88"/>
    </row>
    <row r="89" spans="1:4">
      <c r="A89"/>
      <c r="B89"/>
      <c r="C89"/>
      <c r="D89"/>
    </row>
    <row r="90" spans="1:4">
      <c r="A90"/>
      <c r="B90"/>
      <c r="C90"/>
      <c r="D90"/>
    </row>
    <row r="91" spans="1:4">
      <c r="A91"/>
      <c r="B91"/>
      <c r="C91"/>
      <c r="D91"/>
    </row>
    <row r="92" spans="1:4">
      <c r="A92"/>
      <c r="B92"/>
      <c r="C92"/>
      <c r="D92"/>
    </row>
    <row r="93" spans="1:4">
      <c r="A93"/>
      <c r="B93"/>
      <c r="C93"/>
      <c r="D93"/>
    </row>
    <row r="94" spans="1:4">
      <c r="A94"/>
      <c r="B94"/>
      <c r="C94"/>
      <c r="D94"/>
    </row>
    <row r="95" spans="1:4">
      <c r="A95"/>
      <c r="B95"/>
      <c r="C95"/>
      <c r="D95"/>
    </row>
    <row r="96" spans="1:4">
      <c r="A96"/>
      <c r="B96"/>
      <c r="C96"/>
      <c r="D96"/>
    </row>
    <row r="97" spans="1:4">
      <c r="A97"/>
      <c r="B97"/>
      <c r="C97"/>
      <c r="D97"/>
    </row>
    <row r="98" spans="1:4">
      <c r="A98"/>
      <c r="B98"/>
      <c r="C98"/>
      <c r="D98"/>
    </row>
    <row r="99" spans="1:4">
      <c r="A99"/>
      <c r="B99"/>
      <c r="C99"/>
      <c r="D99"/>
    </row>
    <row r="100" spans="1:4">
      <c r="A100"/>
      <c r="B100"/>
      <c r="C100"/>
      <c r="D100"/>
    </row>
    <row r="101" spans="1:4">
      <c r="A101"/>
      <c r="B101"/>
      <c r="C101"/>
      <c r="D101"/>
    </row>
    <row r="102" spans="1:4">
      <c r="A102"/>
      <c r="B102"/>
      <c r="C102"/>
      <c r="D102"/>
    </row>
    <row r="103" spans="1:4">
      <c r="A103"/>
      <c r="B103"/>
      <c r="C103"/>
      <c r="D103"/>
    </row>
    <row r="104" spans="1:4">
      <c r="A104"/>
      <c r="B104"/>
      <c r="C104"/>
      <c r="D104"/>
    </row>
    <row r="105" spans="1:4">
      <c r="A105"/>
      <c r="B105"/>
      <c r="C105"/>
      <c r="D105"/>
    </row>
    <row r="106" spans="1:4">
      <c r="A106"/>
      <c r="B106"/>
      <c r="C106"/>
      <c r="D106"/>
    </row>
    <row r="107" spans="1:4">
      <c r="A107"/>
      <c r="B107"/>
      <c r="C107"/>
      <c r="D107"/>
    </row>
    <row r="108" spans="1:4">
      <c r="A108"/>
      <c r="B108"/>
      <c r="C108"/>
      <c r="D108"/>
    </row>
    <row r="109" spans="1:4">
      <c r="A109"/>
      <c r="B109"/>
      <c r="C109"/>
      <c r="D109"/>
    </row>
    <row r="110" spans="1:4">
      <c r="A110"/>
      <c r="B110"/>
      <c r="C110"/>
      <c r="D110"/>
    </row>
    <row r="111" spans="1:4">
      <c r="A111"/>
      <c r="B111"/>
      <c r="C111"/>
      <c r="D111"/>
    </row>
    <row r="112" spans="1:4">
      <c r="A112"/>
      <c r="B112"/>
      <c r="C112"/>
      <c r="D112"/>
    </row>
    <row r="113" spans="1:4">
      <c r="A113"/>
      <c r="B113"/>
      <c r="C113"/>
      <c r="D113"/>
    </row>
    <row r="114" spans="1:4">
      <c r="A114"/>
      <c r="B114"/>
      <c r="C114"/>
      <c r="D114"/>
    </row>
    <row r="115" spans="1:4">
      <c r="A115"/>
      <c r="B115"/>
      <c r="C115"/>
      <c r="D115"/>
    </row>
    <row r="116" spans="1:4">
      <c r="A116"/>
      <c r="B116"/>
      <c r="C116"/>
      <c r="D116"/>
    </row>
    <row r="117" spans="1:4">
      <c r="A117"/>
      <c r="B117"/>
      <c r="C117"/>
      <c r="D117"/>
    </row>
    <row r="118" spans="1:4">
      <c r="A118"/>
      <c r="B118"/>
      <c r="C118"/>
      <c r="D118"/>
    </row>
    <row r="119" spans="1:4">
      <c r="A119"/>
      <c r="B119"/>
      <c r="C119"/>
      <c r="D119"/>
    </row>
    <row r="120" spans="1:4">
      <c r="A120"/>
      <c r="B120"/>
      <c r="C120"/>
      <c r="D120"/>
    </row>
    <row r="121" spans="1:4">
      <c r="A121"/>
      <c r="B121"/>
      <c r="C121"/>
      <c r="D121"/>
    </row>
    <row r="122" spans="1:4">
      <c r="A122"/>
      <c r="B122"/>
      <c r="C122"/>
      <c r="D122"/>
    </row>
    <row r="123" spans="1:4">
      <c r="A123"/>
      <c r="B123"/>
      <c r="C123"/>
      <c r="D123"/>
    </row>
    <row r="124" spans="1:4">
      <c r="A124"/>
      <c r="B124"/>
      <c r="C124"/>
      <c r="D124"/>
    </row>
    <row r="125" spans="1:4">
      <c r="A125"/>
      <c r="B125"/>
      <c r="C125"/>
      <c r="D125"/>
    </row>
    <row r="126" spans="1:4">
      <c r="A126"/>
      <c r="B126"/>
      <c r="C126"/>
      <c r="D126"/>
    </row>
    <row r="127" spans="1:4">
      <c r="A127"/>
      <c r="B127"/>
      <c r="C127"/>
      <c r="D127"/>
    </row>
    <row r="128" spans="1:4">
      <c r="A128"/>
      <c r="B128"/>
      <c r="C128"/>
      <c r="D128"/>
    </row>
    <row r="129" spans="1:4">
      <c r="A129"/>
      <c r="B129"/>
      <c r="C129"/>
      <c r="D129"/>
    </row>
    <row r="130" spans="1:4">
      <c r="A130"/>
      <c r="B130"/>
      <c r="C130"/>
      <c r="D130"/>
    </row>
    <row r="131" spans="1:4">
      <c r="A131"/>
      <c r="B131"/>
      <c r="C131"/>
      <c r="D131"/>
    </row>
    <row r="132" spans="1:4">
      <c r="A132"/>
      <c r="B132"/>
      <c r="C132"/>
      <c r="D132"/>
    </row>
    <row r="133" spans="1:4">
      <c r="A133"/>
      <c r="B133"/>
      <c r="C133"/>
      <c r="D133"/>
    </row>
    <row r="134" spans="1:4">
      <c r="A134"/>
      <c r="B134"/>
      <c r="C134"/>
      <c r="D134"/>
    </row>
    <row r="135" spans="1:4">
      <c r="A135"/>
      <c r="B135"/>
      <c r="C135"/>
      <c r="D135"/>
    </row>
    <row r="136" spans="1:4">
      <c r="A136"/>
      <c r="B136"/>
      <c r="C136"/>
      <c r="D136"/>
    </row>
    <row r="137" spans="1:4">
      <c r="A137"/>
      <c r="B137"/>
      <c r="C137"/>
      <c r="D137"/>
    </row>
    <row r="138" spans="1:4">
      <c r="A138"/>
      <c r="B138"/>
      <c r="C138"/>
      <c r="D138"/>
    </row>
    <row r="139" spans="1:4">
      <c r="A139"/>
      <c r="B139"/>
      <c r="C139"/>
      <c r="D139"/>
    </row>
    <row r="140" spans="1:4">
      <c r="A140"/>
      <c r="B140"/>
      <c r="C140"/>
      <c r="D140"/>
    </row>
    <row r="141" spans="1:4">
      <c r="A141"/>
      <c r="B141"/>
      <c r="C141"/>
      <c r="D141"/>
    </row>
    <row r="142" spans="1:4">
      <c r="A142"/>
      <c r="B142"/>
      <c r="C142"/>
      <c r="D142"/>
    </row>
    <row r="143" spans="1:4">
      <c r="A143"/>
      <c r="B143"/>
      <c r="C143"/>
      <c r="D143"/>
    </row>
    <row r="144" spans="1:4">
      <c r="A144"/>
      <c r="B144"/>
      <c r="C144"/>
      <c r="D144"/>
    </row>
    <row r="145" spans="1:4">
      <c r="A145"/>
      <c r="B145"/>
      <c r="C145"/>
      <c r="D145"/>
    </row>
    <row r="146" spans="1:4">
      <c r="A146"/>
      <c r="B146"/>
      <c r="C146"/>
      <c r="D146"/>
    </row>
    <row r="147" spans="1:4">
      <c r="A147"/>
      <c r="B147"/>
      <c r="C147"/>
      <c r="D147"/>
    </row>
    <row r="148" spans="1:4">
      <c r="A148"/>
      <c r="B148"/>
      <c r="C148"/>
      <c r="D148"/>
    </row>
    <row r="149" spans="1:4">
      <c r="A149"/>
      <c r="B149"/>
      <c r="C149"/>
      <c r="D149"/>
    </row>
    <row r="150" spans="1:4">
      <c r="A150"/>
      <c r="B150"/>
      <c r="C150"/>
      <c r="D150"/>
    </row>
    <row r="151" spans="1:4">
      <c r="A151"/>
      <c r="B151"/>
      <c r="C151"/>
      <c r="D151"/>
    </row>
    <row r="152" spans="1:4">
      <c r="A152"/>
      <c r="B152"/>
      <c r="C152"/>
      <c r="D152"/>
    </row>
    <row r="153" spans="1:4">
      <c r="A153"/>
      <c r="B153"/>
      <c r="C153"/>
      <c r="D153"/>
    </row>
    <row r="154" spans="1:4">
      <c r="A154"/>
      <c r="B154"/>
      <c r="C154"/>
      <c r="D154"/>
    </row>
    <row r="155" spans="1:4">
      <c r="A155"/>
      <c r="B155"/>
      <c r="C155"/>
      <c r="D155"/>
    </row>
    <row r="156" spans="1:4">
      <c r="A156"/>
      <c r="B156"/>
      <c r="C156"/>
      <c r="D156"/>
    </row>
    <row r="157" spans="1:4">
      <c r="A157"/>
      <c r="B157"/>
      <c r="C157"/>
      <c r="D157"/>
    </row>
    <row r="158" spans="1:4">
      <c r="A158"/>
      <c r="B158"/>
      <c r="C158"/>
      <c r="D158"/>
    </row>
    <row r="159" spans="1:4">
      <c r="A159"/>
      <c r="B159"/>
      <c r="C159"/>
      <c r="D159"/>
    </row>
    <row r="160" spans="1:4">
      <c r="A160"/>
      <c r="B160"/>
      <c r="C160"/>
      <c r="D160"/>
    </row>
    <row r="161" spans="1:4">
      <c r="A161"/>
      <c r="B161"/>
      <c r="C161"/>
      <c r="D161"/>
    </row>
    <row r="162" spans="1:4">
      <c r="A162"/>
      <c r="B162"/>
      <c r="C162"/>
      <c r="D162"/>
    </row>
    <row r="163" spans="1:4">
      <c r="A163"/>
      <c r="B163"/>
      <c r="C163"/>
      <c r="D163"/>
    </row>
    <row r="164" spans="1:4">
      <c r="A164"/>
      <c r="B164"/>
      <c r="C164"/>
      <c r="D164"/>
    </row>
    <row r="165" spans="1:4">
      <c r="A165"/>
      <c r="B165"/>
      <c r="C165"/>
      <c r="D165"/>
    </row>
    <row r="166" spans="1:4">
      <c r="A166"/>
      <c r="B166"/>
      <c r="C166"/>
      <c r="D166"/>
    </row>
    <row r="167" spans="1:4">
      <c r="A167"/>
      <c r="B167"/>
      <c r="C167"/>
      <c r="D167"/>
    </row>
    <row r="168" spans="1:4">
      <c r="A168"/>
      <c r="B168"/>
      <c r="C168"/>
      <c r="D168"/>
    </row>
    <row r="169" spans="1:4">
      <c r="A169"/>
      <c r="B169"/>
      <c r="C169"/>
      <c r="D169"/>
    </row>
    <row r="170" spans="1:4">
      <c r="A170"/>
      <c r="B170"/>
      <c r="C170"/>
      <c r="D170"/>
    </row>
    <row r="171" spans="1:4">
      <c r="A171"/>
      <c r="B171"/>
      <c r="C171"/>
      <c r="D171"/>
    </row>
    <row r="172" spans="1:4">
      <c r="A172"/>
      <c r="B172"/>
      <c r="C172"/>
      <c r="D172"/>
    </row>
    <row r="173" spans="1:4">
      <c r="A173"/>
      <c r="B173"/>
      <c r="C173"/>
      <c r="D173"/>
    </row>
    <row r="174" spans="1:4">
      <c r="A174"/>
      <c r="B174"/>
      <c r="C174"/>
      <c r="D174"/>
    </row>
    <row r="175" spans="1:4">
      <c r="A175"/>
      <c r="B175"/>
      <c r="C175"/>
      <c r="D175"/>
    </row>
    <row r="176" spans="1:4">
      <c r="A176"/>
      <c r="B176"/>
      <c r="C176"/>
      <c r="D176"/>
    </row>
    <row r="177" spans="1:4">
      <c r="A177"/>
      <c r="B177"/>
      <c r="C177"/>
      <c r="D177"/>
    </row>
    <row r="178" spans="1:4">
      <c r="A178"/>
      <c r="B178"/>
      <c r="C178"/>
      <c r="D178"/>
    </row>
    <row r="179" spans="1:4">
      <c r="A179"/>
      <c r="B179"/>
      <c r="C179"/>
      <c r="D179"/>
    </row>
    <row r="180" spans="1:4">
      <c r="A180"/>
      <c r="B180"/>
      <c r="C180"/>
      <c r="D180"/>
    </row>
    <row r="181" spans="1:4">
      <c r="A181"/>
      <c r="B181"/>
      <c r="C181"/>
      <c r="D181"/>
    </row>
    <row r="182" spans="1:4">
      <c r="A182"/>
      <c r="B182"/>
      <c r="C182"/>
      <c r="D182"/>
    </row>
    <row r="183" spans="1:4">
      <c r="A183"/>
      <c r="B183"/>
      <c r="C183"/>
      <c r="D183"/>
    </row>
    <row r="184" spans="1:4">
      <c r="A184"/>
      <c r="B184"/>
      <c r="C184"/>
      <c r="D184"/>
    </row>
    <row r="185" spans="1:4">
      <c r="A185"/>
      <c r="B185"/>
      <c r="C185"/>
      <c r="D185"/>
    </row>
    <row r="186" spans="1:4">
      <c r="A186"/>
      <c r="B186"/>
      <c r="C186"/>
      <c r="D186"/>
    </row>
    <row r="187" spans="1:4">
      <c r="A187"/>
      <c r="B187"/>
      <c r="C187"/>
      <c r="D187"/>
    </row>
    <row r="188" spans="1:4">
      <c r="A188"/>
      <c r="B188"/>
      <c r="C188"/>
      <c r="D188"/>
    </row>
    <row r="189" spans="1:4">
      <c r="A189"/>
      <c r="B189"/>
      <c r="C189"/>
      <c r="D189"/>
    </row>
    <row r="190" spans="1:4">
      <c r="A190"/>
      <c r="B190"/>
      <c r="C190"/>
      <c r="D190"/>
    </row>
    <row r="191" spans="1:4">
      <c r="A191"/>
      <c r="B191"/>
      <c r="C191"/>
      <c r="D191"/>
    </row>
    <row r="192" spans="1:4">
      <c r="A192"/>
      <c r="B192"/>
      <c r="C192"/>
      <c r="D192"/>
    </row>
    <row r="193" spans="1:4">
      <c r="A193"/>
      <c r="B193"/>
      <c r="C193"/>
      <c r="D193"/>
    </row>
    <row r="194" spans="1:4">
      <c r="A194"/>
      <c r="B194"/>
      <c r="C194"/>
      <c r="D194"/>
    </row>
    <row r="195" spans="1:4">
      <c r="A195"/>
      <c r="B195"/>
      <c r="C195"/>
      <c r="D195"/>
    </row>
    <row r="196" spans="1:4">
      <c r="A196"/>
      <c r="B196"/>
      <c r="C196"/>
      <c r="D196"/>
    </row>
    <row r="197" spans="1:4">
      <c r="A197"/>
      <c r="B197"/>
      <c r="C197"/>
      <c r="D197"/>
    </row>
    <row r="198" spans="1:4">
      <c r="A198"/>
      <c r="B198"/>
      <c r="C198"/>
      <c r="D198"/>
    </row>
    <row r="199" spans="1:4">
      <c r="A199"/>
      <c r="B199"/>
      <c r="C199"/>
      <c r="D199"/>
    </row>
    <row r="200" spans="1:4">
      <c r="A200"/>
      <c r="B200"/>
      <c r="C200"/>
      <c r="D200"/>
    </row>
    <row r="201" spans="1:4">
      <c r="A201"/>
      <c r="B201"/>
      <c r="C201"/>
      <c r="D201"/>
    </row>
    <row r="202" spans="1:4">
      <c r="A202"/>
      <c r="B202"/>
      <c r="C202"/>
      <c r="D202"/>
    </row>
    <row r="203" spans="1:4">
      <c r="A203"/>
      <c r="B203"/>
      <c r="C203"/>
      <c r="D203"/>
    </row>
    <row r="204" spans="1:4">
      <c r="A204"/>
      <c r="B204"/>
      <c r="C204"/>
      <c r="D204"/>
    </row>
    <row r="205" spans="1:4">
      <c r="A205"/>
      <c r="B205"/>
      <c r="C205"/>
      <c r="D205"/>
    </row>
    <row r="206" spans="1:4">
      <c r="A206"/>
      <c r="B206"/>
      <c r="C206"/>
      <c r="D206"/>
    </row>
    <row r="207" spans="1:4">
      <c r="A207"/>
      <c r="B207"/>
      <c r="C207"/>
      <c r="D207"/>
    </row>
    <row r="208" spans="1:4">
      <c r="A208"/>
      <c r="B208"/>
      <c r="C208"/>
      <c r="D208"/>
    </row>
    <row r="209" spans="1:4">
      <c r="A209"/>
      <c r="B209"/>
      <c r="C209"/>
      <c r="D209"/>
    </row>
    <row r="210" spans="1:4">
      <c r="A210"/>
      <c r="B210"/>
      <c r="C210"/>
      <c r="D210"/>
    </row>
    <row r="211" spans="1:4">
      <c r="A211"/>
      <c r="B211"/>
      <c r="C211"/>
      <c r="D211"/>
    </row>
    <row r="212" spans="1:4">
      <c r="A212"/>
      <c r="B212"/>
      <c r="C212"/>
      <c r="D212"/>
    </row>
    <row r="213" spans="1:4">
      <c r="A213"/>
      <c r="B213"/>
      <c r="C213"/>
      <c r="D213"/>
    </row>
    <row r="214" spans="1:4">
      <c r="A214"/>
      <c r="B214"/>
      <c r="C214"/>
      <c r="D214"/>
    </row>
    <row r="215" spans="1:4">
      <c r="A215"/>
      <c r="B215"/>
      <c r="C215"/>
      <c r="D215"/>
    </row>
    <row r="216" spans="1:4">
      <c r="A216"/>
      <c r="B216"/>
      <c r="C216"/>
      <c r="D216"/>
    </row>
    <row r="217" spans="1:4">
      <c r="A217"/>
      <c r="B217"/>
      <c r="C217"/>
      <c r="D217"/>
    </row>
    <row r="218" spans="1:4">
      <c r="A218"/>
      <c r="B218"/>
      <c r="C218"/>
      <c r="D218"/>
    </row>
    <row r="219" spans="1:4">
      <c r="A219"/>
      <c r="B219"/>
      <c r="C219"/>
      <c r="D219"/>
    </row>
    <row r="220" spans="1:4">
      <c r="A220"/>
      <c r="B220"/>
      <c r="C220"/>
      <c r="D220"/>
    </row>
    <row r="221" spans="1:4">
      <c r="A221"/>
      <c r="B221"/>
      <c r="C221"/>
      <c r="D221"/>
    </row>
    <row r="222" spans="1:4">
      <c r="A222"/>
      <c r="B222"/>
      <c r="C222"/>
      <c r="D222"/>
    </row>
    <row r="223" spans="1:4">
      <c r="A223"/>
      <c r="B223"/>
      <c r="C223"/>
      <c r="D223"/>
    </row>
    <row r="224" spans="1:4">
      <c r="A224"/>
      <c r="B224"/>
      <c r="C224"/>
      <c r="D224"/>
    </row>
    <row r="225" spans="1:4">
      <c r="A225"/>
      <c r="B225"/>
      <c r="C225"/>
      <c r="D225"/>
    </row>
    <row r="226" spans="1:4">
      <c r="A226"/>
      <c r="B226"/>
      <c r="C226"/>
      <c r="D226"/>
    </row>
    <row r="227" spans="1:4">
      <c r="A227"/>
      <c r="B227"/>
      <c r="C227"/>
      <c r="D227"/>
    </row>
    <row r="228" spans="1:4">
      <c r="A228"/>
      <c r="B228"/>
      <c r="C228"/>
      <c r="D228"/>
    </row>
    <row r="229" spans="1:4">
      <c r="A229"/>
      <c r="B229"/>
      <c r="C229"/>
      <c r="D229"/>
    </row>
    <row r="230" spans="1:4">
      <c r="A230"/>
      <c r="B230"/>
      <c r="C230"/>
      <c r="D230"/>
    </row>
    <row r="231" spans="1:4">
      <c r="A231"/>
      <c r="B231"/>
      <c r="C231"/>
      <c r="D231"/>
    </row>
    <row r="232" spans="1:4">
      <c r="A232"/>
      <c r="B232"/>
      <c r="C232"/>
      <c r="D232"/>
    </row>
    <row r="233" spans="1:4">
      <c r="A233"/>
      <c r="B233"/>
      <c r="C233"/>
      <c r="D233"/>
    </row>
    <row r="234" spans="1:4">
      <c r="A234"/>
      <c r="B234"/>
      <c r="C234"/>
      <c r="D234"/>
    </row>
    <row r="235" spans="1:4">
      <c r="A235"/>
      <c r="B235"/>
      <c r="C235"/>
      <c r="D235"/>
    </row>
    <row r="236" spans="1:4">
      <c r="A236"/>
      <c r="B236"/>
      <c r="C236"/>
      <c r="D236"/>
    </row>
    <row r="237" spans="1:4">
      <c r="A237"/>
      <c r="B237"/>
      <c r="C237"/>
      <c r="D237"/>
    </row>
    <row r="238" spans="1:4">
      <c r="A238"/>
      <c r="B238"/>
      <c r="C238"/>
      <c r="D238"/>
    </row>
    <row r="239" spans="1:4">
      <c r="A239"/>
      <c r="B239"/>
      <c r="C239"/>
      <c r="D239"/>
    </row>
    <row r="240" spans="1:4">
      <c r="A240"/>
      <c r="B240"/>
      <c r="C240"/>
      <c r="D240"/>
    </row>
    <row r="241" spans="1:4">
      <c r="A241"/>
      <c r="B241"/>
      <c r="C241"/>
      <c r="D241"/>
    </row>
    <row r="242" spans="1:4">
      <c r="A242"/>
      <c r="B242"/>
      <c r="C242"/>
      <c r="D242"/>
    </row>
    <row r="243" spans="1:4">
      <c r="A243"/>
      <c r="B243"/>
      <c r="C243"/>
      <c r="D243"/>
    </row>
    <row r="244" spans="1:4">
      <c r="A244"/>
      <c r="B244"/>
      <c r="C244"/>
      <c r="D244"/>
    </row>
    <row r="245" spans="1:4">
      <c r="A245"/>
      <c r="B245"/>
      <c r="C245"/>
      <c r="D245"/>
    </row>
    <row r="246" spans="1:4">
      <c r="A246"/>
      <c r="B246"/>
      <c r="C246"/>
      <c r="D246"/>
    </row>
    <row r="247" spans="1:4">
      <c r="A247"/>
      <c r="B247"/>
      <c r="C247"/>
      <c r="D247"/>
    </row>
    <row r="248" spans="1:4">
      <c r="A248"/>
      <c r="B248"/>
      <c r="C248"/>
      <c r="D248"/>
    </row>
    <row r="249" spans="1:4">
      <c r="A249"/>
      <c r="B249"/>
      <c r="C249"/>
      <c r="D249"/>
    </row>
    <row r="250" spans="1:4">
      <c r="A250"/>
      <c r="B250"/>
      <c r="C250"/>
      <c r="D250"/>
    </row>
    <row r="251" spans="1:4">
      <c r="A251"/>
      <c r="B251"/>
      <c r="C251"/>
      <c r="D251"/>
    </row>
    <row r="252" spans="1:4">
      <c r="A252"/>
      <c r="B252"/>
      <c r="C252"/>
      <c r="D252"/>
    </row>
    <row r="253" spans="1:4">
      <c r="A253"/>
      <c r="B253"/>
      <c r="C253"/>
      <c r="D253"/>
    </row>
    <row r="254" spans="1:4">
      <c r="A254"/>
      <c r="B254"/>
      <c r="C254"/>
      <c r="D254"/>
    </row>
    <row r="255" spans="1:4">
      <c r="A255"/>
      <c r="B255"/>
      <c r="C255"/>
      <c r="D255"/>
    </row>
    <row r="256" spans="1:4">
      <c r="A256"/>
      <c r="B256"/>
      <c r="C256"/>
      <c r="D256"/>
    </row>
    <row r="257" spans="1:4">
      <c r="A257"/>
      <c r="B257"/>
      <c r="C257"/>
      <c r="D257"/>
    </row>
    <row r="258" spans="1:4">
      <c r="A258"/>
      <c r="B258"/>
      <c r="C258"/>
      <c r="D258"/>
    </row>
    <row r="259" spans="1:4">
      <c r="A259"/>
      <c r="B259"/>
      <c r="C259"/>
      <c r="D259"/>
    </row>
    <row r="260" spans="1:4">
      <c r="A260"/>
      <c r="B260"/>
      <c r="C260"/>
      <c r="D260"/>
    </row>
    <row r="261" spans="1:4">
      <c r="A261"/>
      <c r="B261"/>
      <c r="C261"/>
      <c r="D261"/>
    </row>
    <row r="262" spans="1:4">
      <c r="A262"/>
      <c r="B262"/>
      <c r="C262"/>
      <c r="D262"/>
    </row>
    <row r="263" spans="1:4">
      <c r="A263"/>
      <c r="B263"/>
      <c r="C263"/>
      <c r="D263"/>
    </row>
    <row r="264" spans="1:4">
      <c r="A264"/>
      <c r="B264"/>
      <c r="C264"/>
      <c r="D264"/>
    </row>
    <row r="265" spans="1:4">
      <c r="A265"/>
      <c r="B265"/>
      <c r="C265"/>
      <c r="D265"/>
    </row>
    <row r="266" spans="1:4">
      <c r="A266"/>
      <c r="B266"/>
      <c r="C266"/>
      <c r="D266"/>
    </row>
    <row r="267" spans="1:4">
      <c r="A267"/>
      <c r="B267"/>
      <c r="C267"/>
      <c r="D267"/>
    </row>
    <row r="268" spans="1:4">
      <c r="A268"/>
      <c r="B268"/>
      <c r="C268"/>
      <c r="D268"/>
    </row>
    <row r="269" spans="1:4">
      <c r="A269"/>
      <c r="B269"/>
      <c r="C269"/>
      <c r="D269"/>
    </row>
    <row r="270" spans="1:4">
      <c r="A270"/>
      <c r="B270"/>
      <c r="C270"/>
      <c r="D270"/>
    </row>
    <row r="271" spans="1:4">
      <c r="A271"/>
      <c r="B271"/>
      <c r="C271"/>
      <c r="D271"/>
    </row>
    <row r="272" spans="1:4">
      <c r="A272"/>
      <c r="B272"/>
      <c r="C272"/>
      <c r="D272"/>
    </row>
    <row r="273" spans="1:4">
      <c r="A273"/>
      <c r="B273"/>
      <c r="C273"/>
      <c r="D273"/>
    </row>
    <row r="274" spans="1:4">
      <c r="A274"/>
      <c r="B274"/>
      <c r="C274"/>
      <c r="D274"/>
    </row>
    <row r="275" spans="1:4">
      <c r="A275"/>
      <c r="B275"/>
      <c r="C275"/>
      <c r="D275"/>
    </row>
    <row r="276" spans="1:4">
      <c r="A276"/>
      <c r="B276"/>
      <c r="C276"/>
      <c r="D276"/>
    </row>
    <row r="277" spans="1:4">
      <c r="A277"/>
      <c r="B277"/>
      <c r="C277"/>
      <c r="D277"/>
    </row>
    <row r="278" spans="1:4">
      <c r="A278"/>
      <c r="B278"/>
      <c r="C278"/>
      <c r="D278"/>
    </row>
    <row r="279" spans="1:4">
      <c r="A279"/>
      <c r="B279"/>
      <c r="C279"/>
      <c r="D279"/>
    </row>
    <row r="280" spans="1:4">
      <c r="A280"/>
      <c r="B280"/>
      <c r="C280"/>
      <c r="D280"/>
    </row>
    <row r="281" spans="1:4">
      <c r="A281"/>
      <c r="B281"/>
      <c r="C281"/>
      <c r="D281"/>
    </row>
    <row r="282" spans="1:4">
      <c r="A282"/>
      <c r="B282"/>
      <c r="C282"/>
      <c r="D282"/>
    </row>
    <row r="283" spans="1:4">
      <c r="A283"/>
      <c r="B283"/>
      <c r="C283"/>
      <c r="D283"/>
    </row>
    <row r="284" spans="1:4">
      <c r="A284"/>
      <c r="B284"/>
      <c r="C284"/>
      <c r="D284"/>
    </row>
    <row r="285" spans="1:4">
      <c r="A285"/>
      <c r="B285"/>
      <c r="C285"/>
      <c r="D285"/>
    </row>
    <row r="286" spans="1:4">
      <c r="A286"/>
      <c r="B286"/>
      <c r="C286"/>
      <c r="D286"/>
    </row>
    <row r="287" spans="1:4">
      <c r="A287"/>
      <c r="B287"/>
      <c r="C287"/>
      <c r="D287"/>
    </row>
    <row r="288" spans="1:4">
      <c r="A288"/>
      <c r="B288"/>
      <c r="C288"/>
      <c r="D288"/>
    </row>
    <row r="289" spans="1:4">
      <c r="A289"/>
      <c r="B289"/>
      <c r="C289"/>
      <c r="D289"/>
    </row>
    <row r="290" spans="1:4">
      <c r="A290"/>
      <c r="B290"/>
      <c r="C290"/>
      <c r="D290"/>
    </row>
    <row r="291" spans="1:4">
      <c r="A291"/>
      <c r="B291"/>
      <c r="C291"/>
      <c r="D291"/>
    </row>
    <row r="292" spans="1:4">
      <c r="A292"/>
      <c r="B292"/>
      <c r="C292"/>
      <c r="D292"/>
    </row>
    <row r="293" spans="1:4">
      <c r="A293"/>
      <c r="B293"/>
      <c r="C293"/>
      <c r="D293"/>
    </row>
    <row r="294" spans="1:4">
      <c r="A294"/>
      <c r="B294"/>
      <c r="C294"/>
      <c r="D294"/>
    </row>
    <row r="295" spans="1:4">
      <c r="A295"/>
      <c r="B295"/>
      <c r="C295"/>
      <c r="D295"/>
    </row>
    <row r="296" spans="1:4">
      <c r="A296"/>
      <c r="B296"/>
      <c r="C296"/>
      <c r="D296"/>
    </row>
    <row r="297" spans="1:4">
      <c r="A297"/>
      <c r="B297"/>
      <c r="C297"/>
      <c r="D297"/>
    </row>
    <row r="298" spans="1:4">
      <c r="A298"/>
      <c r="B298"/>
      <c r="C298"/>
      <c r="D298"/>
    </row>
    <row r="299" spans="1:4">
      <c r="A299"/>
      <c r="B299"/>
      <c r="C299"/>
      <c r="D299"/>
    </row>
    <row r="300" spans="1:4">
      <c r="A300"/>
      <c r="B300"/>
      <c r="C300"/>
      <c r="D300"/>
    </row>
    <row r="301" spans="1:4">
      <c r="A301"/>
      <c r="B301"/>
      <c r="C301"/>
      <c r="D301"/>
    </row>
    <row r="302" spans="1:4">
      <c r="A302"/>
      <c r="B302"/>
      <c r="C302"/>
      <c r="D302"/>
    </row>
    <row r="303" spans="1:4">
      <c r="A303"/>
      <c r="B303"/>
      <c r="C303"/>
      <c r="D303"/>
    </row>
    <row r="304" spans="1:4">
      <c r="A304"/>
      <c r="B304"/>
      <c r="C304"/>
      <c r="D304"/>
    </row>
    <row r="305" spans="1:4">
      <c r="A305"/>
      <c r="B305"/>
      <c r="C305"/>
      <c r="D305"/>
    </row>
    <row r="306" spans="1:4">
      <c r="A306"/>
      <c r="B306"/>
      <c r="C306"/>
      <c r="D306"/>
    </row>
    <row r="307" spans="1:4">
      <c r="A307"/>
      <c r="B307"/>
      <c r="C307"/>
      <c r="D307"/>
    </row>
    <row r="308" spans="1:4">
      <c r="A308"/>
      <c r="B308"/>
      <c r="C308"/>
      <c r="D308"/>
    </row>
    <row r="309" spans="1:4">
      <c r="A309"/>
      <c r="B309"/>
      <c r="C309"/>
      <c r="D309"/>
    </row>
    <row r="310" spans="1:4">
      <c r="A310"/>
      <c r="B310"/>
      <c r="C310"/>
      <c r="D310"/>
    </row>
    <row r="311" spans="1:4">
      <c r="A311"/>
      <c r="B311"/>
      <c r="C311"/>
      <c r="D311"/>
    </row>
    <row r="312" spans="1:4">
      <c r="A312"/>
      <c r="B312"/>
      <c r="C312"/>
      <c r="D312"/>
    </row>
    <row r="313" spans="1:4">
      <c r="A313"/>
      <c r="B313"/>
      <c r="C313"/>
      <c r="D313"/>
    </row>
    <row r="314" spans="1:4">
      <c r="A314"/>
      <c r="B314"/>
      <c r="C314"/>
      <c r="D314"/>
    </row>
    <row r="315" spans="1:4">
      <c r="A315"/>
      <c r="B315"/>
      <c r="C315"/>
      <c r="D315"/>
    </row>
    <row r="316" spans="1:4">
      <c r="A316"/>
      <c r="B316"/>
      <c r="C316"/>
      <c r="D316"/>
    </row>
    <row r="317" spans="1:4">
      <c r="A317"/>
      <c r="B317"/>
      <c r="C317"/>
      <c r="D317"/>
    </row>
    <row r="318" spans="1:4">
      <c r="A318"/>
      <c r="B318"/>
      <c r="C318"/>
      <c r="D318"/>
    </row>
    <row r="319" spans="1:4">
      <c r="A319"/>
      <c r="B319"/>
      <c r="C319"/>
      <c r="D319"/>
    </row>
    <row r="320" spans="1:4">
      <c r="A320"/>
      <c r="B320"/>
      <c r="C320"/>
      <c r="D320"/>
    </row>
    <row r="321" spans="1:4">
      <c r="A321"/>
      <c r="B321"/>
      <c r="C321"/>
      <c r="D321"/>
    </row>
    <row r="322" spans="1:4">
      <c r="A322"/>
      <c r="B322"/>
      <c r="C322"/>
      <c r="D322"/>
    </row>
    <row r="323" spans="1:4">
      <c r="A323"/>
      <c r="B323"/>
      <c r="C323"/>
      <c r="D323"/>
    </row>
    <row r="324" spans="1:4">
      <c r="A324"/>
      <c r="B324"/>
      <c r="C324"/>
      <c r="D324"/>
    </row>
    <row r="325" spans="1:4">
      <c r="A325"/>
      <c r="B325"/>
      <c r="C325"/>
      <c r="D325"/>
    </row>
    <row r="326" spans="1:4">
      <c r="A326"/>
      <c r="B326"/>
      <c r="C326"/>
      <c r="D326"/>
    </row>
    <row r="327" spans="1:4">
      <c r="A327"/>
      <c r="B327"/>
      <c r="C327"/>
      <c r="D327"/>
    </row>
    <row r="328" spans="1:4">
      <c r="A328"/>
      <c r="B328"/>
      <c r="C328"/>
      <c r="D328"/>
    </row>
    <row r="329" spans="1:4">
      <c r="A329"/>
      <c r="B329"/>
      <c r="C329"/>
      <c r="D329"/>
    </row>
    <row r="330" spans="1:4">
      <c r="A330"/>
      <c r="B330"/>
      <c r="C330"/>
      <c r="D330"/>
    </row>
    <row r="331" spans="1:4">
      <c r="A331"/>
      <c r="B331"/>
      <c r="C331"/>
      <c r="D331"/>
    </row>
    <row r="332" spans="1:4">
      <c r="A332"/>
      <c r="B332"/>
      <c r="C332"/>
      <c r="D332"/>
    </row>
    <row r="333" spans="1:4">
      <c r="A333"/>
      <c r="B333"/>
      <c r="C333"/>
      <c r="D333"/>
    </row>
    <row r="334" spans="1:4">
      <c r="A334"/>
      <c r="B334"/>
      <c r="C334"/>
      <c r="D334"/>
    </row>
    <row r="335" spans="1:4">
      <c r="A335"/>
      <c r="B335"/>
      <c r="C335"/>
      <c r="D335"/>
    </row>
    <row r="336" spans="1:4">
      <c r="A336"/>
      <c r="B336"/>
      <c r="C336"/>
      <c r="D336"/>
    </row>
    <row r="337" spans="1:4">
      <c r="A337"/>
      <c r="B337"/>
      <c r="C337"/>
      <c r="D337"/>
    </row>
    <row r="338" spans="1:4">
      <c r="A338"/>
      <c r="B338"/>
      <c r="C338"/>
      <c r="D338"/>
    </row>
    <row r="339" spans="1:4">
      <c r="A339"/>
      <c r="B339"/>
      <c r="C339"/>
      <c r="D339"/>
    </row>
    <row r="340" spans="1:4">
      <c r="A340"/>
      <c r="B340"/>
      <c r="C340"/>
      <c r="D340"/>
    </row>
    <row r="341" spans="1:4">
      <c r="A341"/>
      <c r="B341"/>
      <c r="C341"/>
      <c r="D341"/>
    </row>
    <row r="342" spans="1:4">
      <c r="A342"/>
      <c r="B342"/>
      <c r="C342"/>
      <c r="D342"/>
    </row>
    <row r="343" spans="1:4">
      <c r="A343"/>
      <c r="B343"/>
      <c r="C343"/>
      <c r="D343"/>
    </row>
    <row r="344" spans="1:4">
      <c r="A344"/>
      <c r="B344"/>
      <c r="C344"/>
      <c r="D344"/>
    </row>
    <row r="345" spans="1:4">
      <c r="A345"/>
      <c r="B345"/>
      <c r="C345"/>
      <c r="D345"/>
    </row>
    <row r="346" spans="1:4">
      <c r="A346"/>
      <c r="B346"/>
      <c r="C346"/>
      <c r="D346"/>
    </row>
    <row r="347" spans="1:4">
      <c r="A347"/>
      <c r="B347"/>
      <c r="C347"/>
      <c r="D347"/>
    </row>
    <row r="348" spans="1:4">
      <c r="A348"/>
      <c r="B348"/>
      <c r="C348"/>
      <c r="D348"/>
    </row>
    <row r="349" spans="1:4">
      <c r="A349"/>
      <c r="B349"/>
      <c r="C349"/>
      <c r="D349"/>
    </row>
    <row r="350" spans="1:4">
      <c r="A350"/>
      <c r="B350"/>
      <c r="C350"/>
      <c r="D350"/>
    </row>
    <row r="351" spans="1:4">
      <c r="A351"/>
      <c r="B351"/>
      <c r="C351"/>
      <c r="D351"/>
    </row>
    <row r="352" spans="1:4">
      <c r="A352"/>
      <c r="B352"/>
      <c r="C352"/>
      <c r="D352"/>
    </row>
    <row r="353" spans="1:4">
      <c r="A353"/>
      <c r="B353"/>
      <c r="C353"/>
      <c r="D353"/>
    </row>
    <row r="354" spans="1:4">
      <c r="A354"/>
      <c r="B354"/>
      <c r="C354"/>
      <c r="D354"/>
    </row>
    <row r="355" spans="1:4">
      <c r="A355"/>
      <c r="B355"/>
      <c r="C355"/>
      <c r="D355"/>
    </row>
    <row r="356" spans="1:4">
      <c r="A356"/>
      <c r="B356"/>
      <c r="C356"/>
      <c r="D356"/>
    </row>
    <row r="357" spans="1:4">
      <c r="A357"/>
      <c r="B357"/>
      <c r="C357"/>
      <c r="D357"/>
    </row>
    <row r="358" spans="1:4">
      <c r="A358"/>
      <c r="B358"/>
      <c r="C358"/>
      <c r="D358"/>
    </row>
    <row r="359" spans="1:4">
      <c r="A359"/>
      <c r="B359"/>
      <c r="C359"/>
      <c r="D359"/>
    </row>
    <row r="360" spans="1:4">
      <c r="A360"/>
      <c r="B360"/>
      <c r="C360"/>
      <c r="D360"/>
    </row>
    <row r="361" spans="1:4">
      <c r="A361"/>
      <c r="B361"/>
      <c r="C361"/>
      <c r="D361"/>
    </row>
    <row r="362" spans="1:4">
      <c r="A362"/>
      <c r="B362"/>
      <c r="C362"/>
      <c r="D362"/>
    </row>
    <row r="363" spans="1:4">
      <c r="A363"/>
      <c r="B363"/>
      <c r="C363"/>
      <c r="D363"/>
    </row>
    <row r="364" spans="1:4">
      <c r="A364"/>
      <c r="B364"/>
      <c r="C364"/>
      <c r="D364"/>
    </row>
    <row r="365" spans="1:4">
      <c r="A365"/>
      <c r="B365"/>
      <c r="C365"/>
      <c r="D365"/>
    </row>
    <row r="366" spans="1:4">
      <c r="A366"/>
      <c r="B366"/>
      <c r="C366"/>
      <c r="D366"/>
    </row>
    <row r="367" spans="1:4">
      <c r="A367"/>
      <c r="B367"/>
      <c r="C367"/>
      <c r="D367"/>
    </row>
    <row r="368" spans="1:4">
      <c r="A368"/>
      <c r="B368"/>
      <c r="C368"/>
      <c r="D368"/>
    </row>
    <row r="369" spans="1:4">
      <c r="A369"/>
      <c r="B369"/>
      <c r="C369"/>
      <c r="D369"/>
    </row>
    <row r="370" spans="1:4">
      <c r="A370"/>
      <c r="B370"/>
      <c r="C370"/>
      <c r="D370"/>
    </row>
    <row r="371" spans="1:4">
      <c r="A371"/>
      <c r="B371"/>
      <c r="C371"/>
      <c r="D371"/>
    </row>
    <row r="372" spans="1:4">
      <c r="A372"/>
      <c r="B372"/>
      <c r="C372"/>
      <c r="D372"/>
    </row>
    <row r="373" spans="1:4">
      <c r="A373"/>
      <c r="B373"/>
      <c r="C373"/>
      <c r="D373"/>
    </row>
    <row r="374" spans="1:4">
      <c r="A374"/>
      <c r="B374"/>
      <c r="C374"/>
      <c r="D374"/>
    </row>
    <row r="375" spans="1:4">
      <c r="A375"/>
      <c r="B375"/>
      <c r="C375"/>
      <c r="D375"/>
    </row>
    <row r="376" spans="1:4">
      <c r="A376"/>
      <c r="B376"/>
      <c r="C376"/>
      <c r="D376"/>
    </row>
    <row r="377" spans="1:4">
      <c r="A377"/>
      <c r="B377"/>
      <c r="C377"/>
      <c r="D377"/>
    </row>
    <row r="378" spans="1:4">
      <c r="A378"/>
      <c r="B378"/>
      <c r="C378"/>
      <c r="D378"/>
    </row>
    <row r="379" spans="1:4">
      <c r="A379"/>
      <c r="B379"/>
      <c r="C379"/>
      <c r="D379"/>
    </row>
    <row r="380" spans="1:4">
      <c r="A380"/>
      <c r="B380"/>
      <c r="C380"/>
      <c r="D380"/>
    </row>
    <row r="381" spans="1:4">
      <c r="A381"/>
      <c r="B381"/>
      <c r="C381"/>
      <c r="D381"/>
    </row>
    <row r="382" spans="1:4">
      <c r="A382"/>
      <c r="B382"/>
      <c r="C382"/>
      <c r="D382"/>
    </row>
    <row r="383" spans="1:4">
      <c r="A383"/>
      <c r="B383"/>
      <c r="C383"/>
      <c r="D383"/>
    </row>
    <row r="384" spans="1:4">
      <c r="A384"/>
      <c r="B384"/>
      <c r="C384"/>
      <c r="D384"/>
    </row>
    <row r="385" spans="1:4">
      <c r="A385"/>
      <c r="B385"/>
      <c r="C385"/>
      <c r="D385"/>
    </row>
    <row r="386" spans="1:4">
      <c r="A386"/>
      <c r="B386"/>
      <c r="C386"/>
      <c r="D386"/>
    </row>
    <row r="387" spans="1:4">
      <c r="A387"/>
      <c r="B387"/>
      <c r="C387"/>
      <c r="D387"/>
    </row>
    <row r="388" spans="1:4">
      <c r="A388"/>
      <c r="B388"/>
      <c r="C388"/>
      <c r="D388"/>
    </row>
    <row r="389" spans="1:4">
      <c r="A389"/>
      <c r="B389"/>
      <c r="C389"/>
      <c r="D389"/>
    </row>
    <row r="390" spans="1:4">
      <c r="A390"/>
      <c r="B390"/>
      <c r="C390"/>
      <c r="D390"/>
    </row>
    <row r="391" spans="1:4">
      <c r="A391"/>
      <c r="B391"/>
      <c r="C391"/>
      <c r="D391"/>
    </row>
    <row r="392" spans="1:4">
      <c r="A392"/>
      <c r="B392"/>
      <c r="C392"/>
      <c r="D392"/>
    </row>
    <row r="393" spans="1:4">
      <c r="A393"/>
      <c r="B393"/>
      <c r="C393"/>
      <c r="D393"/>
    </row>
    <row r="394" spans="1:4">
      <c r="A394"/>
      <c r="B394"/>
      <c r="C394"/>
      <c r="D394"/>
    </row>
    <row r="395" spans="1:4">
      <c r="A395"/>
      <c r="B395"/>
      <c r="C395"/>
      <c r="D395"/>
    </row>
    <row r="396" spans="1:4">
      <c r="A396"/>
      <c r="B396"/>
      <c r="C396"/>
      <c r="D396"/>
    </row>
    <row r="397" spans="1:4">
      <c r="A397"/>
      <c r="B397"/>
      <c r="C397"/>
      <c r="D397"/>
    </row>
    <row r="398" spans="1:4">
      <c r="A398"/>
      <c r="B398"/>
      <c r="C398"/>
      <c r="D398"/>
    </row>
    <row r="399" spans="1:4">
      <c r="A399"/>
      <c r="B399"/>
      <c r="C399"/>
      <c r="D399"/>
    </row>
    <row r="400" spans="1:4">
      <c r="A400"/>
      <c r="B400"/>
      <c r="C400"/>
      <c r="D400"/>
    </row>
    <row r="401" spans="1:4">
      <c r="A401"/>
      <c r="B401"/>
      <c r="C401"/>
      <c r="D401"/>
    </row>
    <row r="402" spans="1:4">
      <c r="A402"/>
      <c r="B402"/>
      <c r="C402"/>
      <c r="D402"/>
    </row>
    <row r="403" spans="1:4">
      <c r="A403"/>
      <c r="B403"/>
      <c r="C403"/>
      <c r="D403"/>
    </row>
    <row r="404" spans="1:4">
      <c r="A404"/>
      <c r="B404"/>
      <c r="C404"/>
      <c r="D404"/>
    </row>
    <row r="405" spans="1:4">
      <c r="A405"/>
      <c r="B405"/>
      <c r="C405"/>
      <c r="D405"/>
    </row>
    <row r="406" spans="1:4">
      <c r="A406"/>
      <c r="B406"/>
      <c r="C406"/>
      <c r="D406"/>
    </row>
    <row r="407" spans="1:4">
      <c r="A407"/>
      <c r="B407"/>
      <c r="C407"/>
      <c r="D407"/>
    </row>
    <row r="408" spans="1:4">
      <c r="A408"/>
      <c r="B408"/>
      <c r="C408"/>
      <c r="D408"/>
    </row>
    <row r="409" spans="1:4">
      <c r="A409"/>
      <c r="B409"/>
      <c r="C409"/>
      <c r="D409"/>
    </row>
    <row r="410" spans="1:4">
      <c r="A410"/>
      <c r="B410"/>
      <c r="C410"/>
      <c r="D410"/>
    </row>
    <row r="411" spans="1:4">
      <c r="A411"/>
      <c r="B411"/>
      <c r="C411"/>
      <c r="D411"/>
    </row>
    <row r="412" spans="1:4">
      <c r="A412"/>
      <c r="B412"/>
      <c r="C412"/>
      <c r="D412"/>
    </row>
    <row r="413" spans="1:4">
      <c r="A413"/>
      <c r="B413"/>
      <c r="C413"/>
      <c r="D413"/>
    </row>
    <row r="414" spans="1:4">
      <c r="A414"/>
      <c r="B414"/>
      <c r="C414"/>
      <c r="D414"/>
    </row>
    <row r="415" spans="1:4">
      <c r="A415"/>
      <c r="B415"/>
      <c r="C415"/>
      <c r="D415"/>
    </row>
    <row r="416" spans="1:4">
      <c r="A416"/>
      <c r="B416"/>
      <c r="C416"/>
      <c r="D416"/>
    </row>
    <row r="417" spans="1:4">
      <c r="A417"/>
      <c r="B417"/>
      <c r="C417"/>
      <c r="D417"/>
    </row>
    <row r="418" spans="1:4">
      <c r="A418"/>
      <c r="B418"/>
      <c r="C418"/>
      <c r="D418"/>
    </row>
    <row r="419" spans="1:4">
      <c r="A419"/>
      <c r="B419"/>
      <c r="C419"/>
      <c r="D419"/>
    </row>
  </sheetData>
  <mergeCells count="23">
    <mergeCell ref="F22:N24"/>
    <mergeCell ref="M26:N27"/>
    <mergeCell ref="E63:F63"/>
    <mergeCell ref="G63:I63"/>
    <mergeCell ref="D57:O58"/>
    <mergeCell ref="N59:O59"/>
    <mergeCell ref="D60:D61"/>
    <mergeCell ref="E60:F61"/>
    <mergeCell ref="G60:I61"/>
    <mergeCell ref="J60:J61"/>
    <mergeCell ref="K60:K61"/>
    <mergeCell ref="L60:L61"/>
    <mergeCell ref="M60:M61"/>
    <mergeCell ref="N60:N61"/>
    <mergeCell ref="O60:O61"/>
    <mergeCell ref="E62:F62"/>
    <mergeCell ref="E66:F66"/>
    <mergeCell ref="G66:I66"/>
    <mergeCell ref="G62:I62"/>
    <mergeCell ref="E64:F64"/>
    <mergeCell ref="G64:I64"/>
    <mergeCell ref="E65:F65"/>
    <mergeCell ref="G65:I65"/>
  </mergeCells>
  <pageMargins left="0.25" right="0.25" top="0.75" bottom="0.75" header="0.3" footer="0.3"/>
  <pageSetup scale="70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C8AF-00AA-4E99-8B12-EF96603E46A1}">
  <dimension ref="A1:T981"/>
  <sheetViews>
    <sheetView rightToLeft="1" topLeftCell="A88" zoomScaleNormal="100" workbookViewId="0">
      <selection activeCell="M702" sqref="M702"/>
    </sheetView>
  </sheetViews>
  <sheetFormatPr defaultColWidth="9.140625" defaultRowHeight="18"/>
  <cols>
    <col min="1" max="2" width="5.7109375" style="64" customWidth="1"/>
    <col min="3" max="3" width="3.28515625" style="64" customWidth="1"/>
    <col min="4" max="4" width="5.140625" style="64" customWidth="1"/>
    <col min="5" max="5" width="11" style="63" bestFit="1" customWidth="1"/>
    <col min="6" max="6" width="34.28515625" style="65" customWidth="1"/>
    <col min="7" max="7" width="7.42578125" style="65" customWidth="1"/>
    <col min="8" max="8" width="5.42578125" style="65" customWidth="1"/>
    <col min="9" max="9" width="6.28515625" style="65" customWidth="1"/>
    <col min="10" max="10" width="14.42578125" style="63" customWidth="1"/>
    <col min="11" max="11" width="8.5703125" style="64" bestFit="1" customWidth="1"/>
    <col min="12" max="12" width="9.140625" style="64"/>
    <col min="13" max="13" width="13.28515625" style="64" bestFit="1" customWidth="1"/>
    <col min="14" max="16384" width="9.140625" style="64"/>
  </cols>
  <sheetData>
    <row r="1" spans="1:14">
      <c r="A1" s="60"/>
      <c r="B1" s="61"/>
      <c r="C1" s="62"/>
      <c r="D1" s="63"/>
      <c r="F1" s="63"/>
      <c r="G1" s="63"/>
      <c r="H1" s="63"/>
      <c r="I1" s="63"/>
      <c r="M1" s="64" t="s">
        <v>1091</v>
      </c>
      <c r="N1" s="64" t="s">
        <v>1529</v>
      </c>
    </row>
    <row r="2" spans="1:14">
      <c r="A2" s="60"/>
      <c r="B2" s="61"/>
      <c r="C2" s="62"/>
      <c r="D2" s="63"/>
      <c r="F2" s="63"/>
      <c r="G2" s="63"/>
      <c r="H2" s="63"/>
      <c r="I2" s="63"/>
    </row>
    <row r="3" spans="1:14">
      <c r="A3" s="60"/>
      <c r="B3" s="61"/>
      <c r="C3" s="62"/>
      <c r="D3" s="63"/>
      <c r="F3" s="63"/>
      <c r="G3" s="63"/>
      <c r="H3" s="63"/>
      <c r="I3" s="63"/>
    </row>
    <row r="4" spans="1:14">
      <c r="A4" s="60"/>
      <c r="B4" s="61"/>
      <c r="C4" s="62"/>
      <c r="D4" s="63"/>
      <c r="F4" s="63"/>
      <c r="G4" s="63"/>
      <c r="H4" s="63"/>
      <c r="I4" s="63"/>
    </row>
    <row r="5" spans="1:14">
      <c r="A5" s="60"/>
      <c r="B5" s="61"/>
      <c r="C5" s="62"/>
      <c r="D5" s="63"/>
      <c r="F5" s="63"/>
      <c r="G5" s="63"/>
      <c r="H5" s="63"/>
      <c r="I5" s="63"/>
    </row>
    <row r="6" spans="1:14">
      <c r="A6" s="60"/>
      <c r="B6" s="61"/>
      <c r="C6" s="62"/>
      <c r="D6" s="63"/>
      <c r="F6" s="63"/>
      <c r="G6" s="63"/>
      <c r="H6" s="63"/>
      <c r="I6" s="63"/>
    </row>
    <row r="7" spans="1:14">
      <c r="A7" s="60"/>
      <c r="B7" s="61"/>
      <c r="C7" s="62"/>
      <c r="D7" s="63"/>
      <c r="F7" s="63"/>
      <c r="G7" s="63"/>
      <c r="H7" s="63"/>
      <c r="I7" s="63"/>
    </row>
    <row r="8" spans="1:14">
      <c r="A8" s="60"/>
      <c r="B8" s="61"/>
      <c r="C8" s="62"/>
      <c r="D8" s="63"/>
      <c r="F8" s="63"/>
      <c r="G8" s="63"/>
      <c r="H8" s="63"/>
      <c r="I8" s="63"/>
    </row>
    <row r="9" spans="1:14">
      <c r="A9" s="60"/>
      <c r="B9" s="61"/>
      <c r="C9" s="62"/>
    </row>
    <row r="10" spans="1:14">
      <c r="A10" s="60"/>
      <c r="B10" s="61"/>
      <c r="C10" s="62"/>
    </row>
    <row r="11" spans="1:14">
      <c r="A11" s="60"/>
      <c r="B11" s="61"/>
      <c r="C11" s="62"/>
    </row>
    <row r="12" spans="1:14">
      <c r="A12" s="60"/>
      <c r="B12" s="61"/>
      <c r="C12" s="62"/>
      <c r="D12" s="63"/>
      <c r="F12" s="63"/>
      <c r="G12" s="63"/>
      <c r="H12" s="63"/>
      <c r="I12" s="63"/>
    </row>
    <row r="13" spans="1:14">
      <c r="A13" s="60"/>
      <c r="B13" s="61"/>
      <c r="C13" s="62"/>
      <c r="D13" s="63"/>
      <c r="F13" s="63"/>
      <c r="G13" s="63"/>
      <c r="H13" s="63"/>
      <c r="I13" s="63"/>
    </row>
    <row r="14" spans="1:14">
      <c r="A14" s="60"/>
      <c r="B14" s="61"/>
      <c r="C14" s="62"/>
      <c r="D14" s="63"/>
      <c r="F14" s="63"/>
      <c r="G14" s="63"/>
      <c r="H14" s="63"/>
      <c r="I14" s="63"/>
    </row>
    <row r="15" spans="1:14">
      <c r="A15" s="60"/>
      <c r="B15" s="61"/>
    </row>
    <row r="16" spans="1:14">
      <c r="A16" s="60"/>
      <c r="B16" s="61"/>
    </row>
    <row r="17" spans="1:10">
      <c r="A17" s="60"/>
      <c r="B17" s="61"/>
    </row>
    <row r="18" spans="1:10">
      <c r="A18" s="60"/>
      <c r="B18" s="61"/>
    </row>
    <row r="19" spans="1:10">
      <c r="A19" s="60"/>
      <c r="B19" s="61"/>
      <c r="C19" s="276" t="s">
        <v>1146</v>
      </c>
      <c r="D19" s="277"/>
      <c r="E19" s="277"/>
      <c r="F19" s="277"/>
      <c r="G19" s="277"/>
      <c r="H19" s="277"/>
      <c r="I19" s="277"/>
      <c r="J19" s="277"/>
    </row>
    <row r="20" spans="1:10">
      <c r="A20" s="60"/>
      <c r="B20" s="61"/>
      <c r="C20" s="276"/>
      <c r="D20" s="277"/>
      <c r="E20" s="277"/>
      <c r="F20" s="277"/>
      <c r="G20" s="277"/>
      <c r="H20" s="277"/>
      <c r="I20" s="277"/>
      <c r="J20" s="277"/>
    </row>
    <row r="21" spans="1:10">
      <c r="A21" s="60"/>
      <c r="B21" s="61"/>
      <c r="C21" s="276"/>
      <c r="D21" s="277"/>
      <c r="E21" s="277"/>
      <c r="F21" s="277"/>
      <c r="G21" s="277"/>
      <c r="H21" s="277"/>
      <c r="I21" s="277"/>
      <c r="J21" s="277"/>
    </row>
    <row r="22" spans="1:10" ht="18" customHeight="1">
      <c r="A22" s="60"/>
      <c r="B22" s="61"/>
      <c r="C22" s="62"/>
      <c r="D22" s="63"/>
      <c r="F22" s="63"/>
      <c r="G22" s="63"/>
      <c r="H22" s="192" t="str">
        <f>"( " &amp;$N$1&amp;" )"</f>
        <v>( 1405/02/23 )</v>
      </c>
      <c r="I22" s="192"/>
      <c r="J22" s="192"/>
    </row>
    <row r="23" spans="1:10" ht="18" customHeight="1">
      <c r="A23" s="60"/>
      <c r="B23" s="61"/>
      <c r="H23" s="192"/>
      <c r="I23" s="192"/>
      <c r="J23" s="192"/>
    </row>
    <row r="24" spans="1:10" ht="18" customHeight="1">
      <c r="A24" s="60"/>
      <c r="B24" s="61"/>
    </row>
    <row r="25" spans="1:10">
      <c r="A25" s="60"/>
      <c r="B25" s="61"/>
      <c r="C25" s="62"/>
      <c r="D25" s="63"/>
      <c r="F25" s="63"/>
      <c r="G25" s="63"/>
    </row>
    <row r="26" spans="1:10" ht="15" customHeight="1">
      <c r="A26" s="60"/>
      <c r="B26" s="61"/>
      <c r="C26" s="62"/>
      <c r="D26" s="63"/>
      <c r="H26" s="66"/>
      <c r="I26" s="66"/>
      <c r="J26" s="66"/>
    </row>
    <row r="27" spans="1:10" ht="15" customHeight="1">
      <c r="A27" s="60"/>
      <c r="B27" s="61"/>
      <c r="C27" s="62"/>
      <c r="D27" s="63"/>
      <c r="G27" s="66"/>
      <c r="H27" s="66"/>
      <c r="I27" s="66"/>
      <c r="J27" s="66"/>
    </row>
    <row r="28" spans="1:10">
      <c r="A28" s="60"/>
      <c r="B28" s="61"/>
      <c r="C28" s="62"/>
      <c r="D28" s="63"/>
    </row>
    <row r="29" spans="1:10">
      <c r="A29" s="60"/>
      <c r="B29" s="61"/>
      <c r="C29" s="62"/>
      <c r="D29" s="63"/>
      <c r="F29" s="63"/>
      <c r="G29" s="63"/>
      <c r="H29" s="63"/>
      <c r="I29" s="63"/>
    </row>
    <row r="30" spans="1:10">
      <c r="A30" s="60"/>
      <c r="B30" s="61"/>
      <c r="C30" s="62"/>
      <c r="D30" s="63"/>
      <c r="F30" s="63"/>
      <c r="G30" s="63"/>
      <c r="H30" s="63"/>
      <c r="I30" s="63"/>
    </row>
    <row r="31" spans="1:10">
      <c r="A31" s="60"/>
      <c r="B31" s="61"/>
      <c r="C31" s="62"/>
      <c r="D31" s="63"/>
      <c r="F31" s="63"/>
      <c r="G31" s="63"/>
      <c r="H31" s="63"/>
      <c r="I31" s="63"/>
    </row>
    <row r="32" spans="1:10">
      <c r="A32" s="60"/>
      <c r="B32" s="61"/>
      <c r="C32" s="62"/>
      <c r="D32" s="63"/>
      <c r="F32" s="63"/>
      <c r="G32" s="63"/>
      <c r="H32" s="63"/>
      <c r="I32" s="63"/>
    </row>
    <row r="33" spans="1:10">
      <c r="A33" s="60"/>
      <c r="B33" s="61"/>
      <c r="C33" s="62"/>
      <c r="D33" s="63"/>
      <c r="F33" s="63"/>
      <c r="G33" s="63"/>
      <c r="H33" s="63"/>
      <c r="I33" s="63"/>
    </row>
    <row r="34" spans="1:10">
      <c r="A34" s="60"/>
      <c r="B34" s="61"/>
      <c r="C34" s="62"/>
      <c r="D34" s="63"/>
      <c r="F34" s="63"/>
      <c r="G34" s="63"/>
      <c r="H34" s="63"/>
      <c r="I34" s="63"/>
    </row>
    <row r="35" spans="1:10">
      <c r="A35" s="60"/>
      <c r="B35" s="61"/>
      <c r="C35" s="62"/>
      <c r="D35" s="63"/>
      <c r="F35" s="63"/>
      <c r="G35" s="63"/>
      <c r="H35" s="63"/>
      <c r="I35" s="63"/>
    </row>
    <row r="36" spans="1:10">
      <c r="A36" s="60"/>
      <c r="B36" s="61"/>
      <c r="C36" s="62"/>
      <c r="D36" s="63"/>
      <c r="F36" s="63"/>
      <c r="G36" s="63"/>
      <c r="H36" s="63"/>
      <c r="I36" s="63"/>
    </row>
    <row r="37" spans="1:10">
      <c r="A37" s="60"/>
      <c r="B37" s="61"/>
      <c r="C37" s="62"/>
      <c r="D37" s="63"/>
      <c r="F37" s="63"/>
      <c r="G37" s="63"/>
      <c r="H37" s="63"/>
      <c r="I37" s="63"/>
    </row>
    <row r="38" spans="1:10">
      <c r="A38" s="60"/>
      <c r="B38" s="61"/>
      <c r="C38" s="62"/>
      <c r="D38" s="63"/>
      <c r="F38" s="63"/>
      <c r="G38" s="63"/>
      <c r="H38" s="63"/>
      <c r="I38" s="63"/>
    </row>
    <row r="39" spans="1:10">
      <c r="A39" s="60"/>
      <c r="B39" s="61"/>
      <c r="C39" s="62"/>
      <c r="D39" s="63"/>
      <c r="F39" s="63"/>
      <c r="G39" s="63"/>
      <c r="H39" s="63"/>
      <c r="I39" s="63"/>
    </row>
    <row r="40" spans="1:10">
      <c r="A40" s="60"/>
      <c r="B40" s="61"/>
      <c r="C40" s="62"/>
      <c r="D40" s="63"/>
      <c r="F40" s="63"/>
      <c r="G40" s="63"/>
      <c r="H40" s="63"/>
      <c r="I40" s="63"/>
    </row>
    <row r="41" spans="1:10" ht="31.5">
      <c r="A41" s="60"/>
      <c r="B41" s="61"/>
      <c r="C41" s="62"/>
      <c r="D41" s="192" t="s">
        <v>1092</v>
      </c>
      <c r="E41" s="192"/>
      <c r="F41" s="192"/>
      <c r="G41" s="82"/>
      <c r="H41" s="82"/>
      <c r="I41" s="82"/>
    </row>
    <row r="42" spans="1:10" ht="15" customHeight="1">
      <c r="A42" s="60"/>
      <c r="B42" s="61"/>
      <c r="C42" s="62"/>
      <c r="D42" s="189" t="s">
        <v>1093</v>
      </c>
      <c r="E42" s="189"/>
      <c r="F42" s="189"/>
      <c r="G42" s="189"/>
      <c r="H42" s="189"/>
      <c r="I42" s="189"/>
      <c r="J42" s="191" t="s">
        <v>1094</v>
      </c>
    </row>
    <row r="43" spans="1:10" ht="15" customHeight="1">
      <c r="A43" s="60"/>
      <c r="B43" s="61"/>
      <c r="C43" s="62"/>
      <c r="D43" s="190"/>
      <c r="E43" s="190"/>
      <c r="F43" s="190"/>
      <c r="G43" s="190"/>
      <c r="H43" s="190"/>
      <c r="I43" s="190"/>
      <c r="J43" s="191"/>
    </row>
    <row r="44" spans="1:10" ht="17.25" customHeight="1">
      <c r="A44" s="60"/>
      <c r="B44" s="61"/>
      <c r="C44" s="62"/>
      <c r="D44" s="267" t="s">
        <v>772</v>
      </c>
      <c r="E44" s="267"/>
      <c r="F44" s="267"/>
      <c r="G44" s="267"/>
      <c r="H44" s="267"/>
      <c r="I44" s="267"/>
      <c r="J44" s="271" t="s">
        <v>1530</v>
      </c>
    </row>
    <row r="45" spans="1:10" ht="17.25" customHeight="1">
      <c r="A45" s="60"/>
      <c r="B45" s="61"/>
      <c r="C45" s="62"/>
      <c r="D45" s="268"/>
      <c r="E45" s="268"/>
      <c r="F45" s="268"/>
      <c r="G45" s="268"/>
      <c r="H45" s="268"/>
      <c r="I45" s="268"/>
      <c r="J45" s="273"/>
    </row>
    <row r="46" spans="1:10" ht="17.25" customHeight="1">
      <c r="A46" s="60"/>
      <c r="B46" s="61"/>
      <c r="C46" s="62"/>
      <c r="D46" s="267" t="s">
        <v>833</v>
      </c>
      <c r="E46" s="267"/>
      <c r="F46" s="267"/>
      <c r="G46" s="267"/>
      <c r="H46" s="267"/>
      <c r="I46" s="267"/>
      <c r="J46" s="271" t="s">
        <v>11</v>
      </c>
    </row>
    <row r="47" spans="1:10" ht="17.25" customHeight="1">
      <c r="A47" s="60"/>
      <c r="B47" s="61"/>
      <c r="C47" s="62"/>
      <c r="D47" s="268"/>
      <c r="E47" s="268"/>
      <c r="F47" s="268"/>
      <c r="G47" s="268"/>
      <c r="H47" s="268"/>
      <c r="I47" s="268"/>
      <c r="J47" s="272"/>
    </row>
    <row r="48" spans="1:10" ht="17.25" customHeight="1">
      <c r="A48" s="60"/>
      <c r="B48" s="61"/>
      <c r="C48" s="62"/>
      <c r="D48" s="267" t="s">
        <v>842</v>
      </c>
      <c r="E48" s="267"/>
      <c r="F48" s="267"/>
      <c r="G48" s="267"/>
      <c r="H48" s="267"/>
      <c r="I48" s="267"/>
      <c r="J48" s="271" t="s">
        <v>1531</v>
      </c>
    </row>
    <row r="49" spans="1:10" ht="17.25" customHeight="1">
      <c r="A49" s="60"/>
      <c r="B49" s="61"/>
      <c r="C49" s="62"/>
      <c r="D49" s="268"/>
      <c r="E49" s="268"/>
      <c r="F49" s="268"/>
      <c r="G49" s="268"/>
      <c r="H49" s="268"/>
      <c r="I49" s="268"/>
      <c r="J49" s="272"/>
    </row>
    <row r="50" spans="1:10" ht="17.25" customHeight="1">
      <c r="A50" s="60"/>
      <c r="B50" s="61"/>
      <c r="C50" s="62"/>
      <c r="D50" s="267" t="s">
        <v>847</v>
      </c>
      <c r="E50" s="267"/>
      <c r="F50" s="267"/>
      <c r="G50" s="267"/>
      <c r="H50" s="267"/>
      <c r="I50" s="267"/>
      <c r="J50" s="269">
        <v>9</v>
      </c>
    </row>
    <row r="51" spans="1:10" ht="17.25" customHeight="1">
      <c r="A51" s="60"/>
      <c r="B51" s="61"/>
      <c r="C51" s="62"/>
      <c r="D51" s="268"/>
      <c r="E51" s="268"/>
      <c r="F51" s="268"/>
      <c r="G51" s="268"/>
      <c r="H51" s="268"/>
      <c r="I51" s="268"/>
      <c r="J51" s="270"/>
    </row>
    <row r="52" spans="1:10" ht="17.25" customHeight="1">
      <c r="A52" s="60"/>
      <c r="B52" s="61"/>
      <c r="C52" s="62"/>
      <c r="D52" s="267" t="s">
        <v>1137</v>
      </c>
      <c r="E52" s="267"/>
      <c r="F52" s="267"/>
      <c r="G52" s="267"/>
      <c r="H52" s="267"/>
      <c r="I52" s="267"/>
      <c r="J52" s="269">
        <v>10</v>
      </c>
    </row>
    <row r="53" spans="1:10" ht="17.25" customHeight="1">
      <c r="A53" s="60"/>
      <c r="B53" s="61"/>
      <c r="C53" s="62"/>
      <c r="D53" s="268"/>
      <c r="E53" s="268"/>
      <c r="F53" s="268"/>
      <c r="G53" s="268"/>
      <c r="H53" s="268"/>
      <c r="I53" s="268"/>
      <c r="J53" s="270"/>
    </row>
    <row r="54" spans="1:10" ht="17.25" customHeight="1">
      <c r="A54" s="60"/>
      <c r="B54" s="61"/>
      <c r="C54" s="62"/>
      <c r="D54" s="267" t="s">
        <v>857</v>
      </c>
      <c r="E54" s="267"/>
      <c r="F54" s="267"/>
      <c r="G54" s="267"/>
      <c r="H54" s="267"/>
      <c r="I54" s="267"/>
      <c r="J54" s="269">
        <v>10</v>
      </c>
    </row>
    <row r="55" spans="1:10" ht="17.25" customHeight="1">
      <c r="A55" s="60"/>
      <c r="B55" s="61"/>
      <c r="C55" s="62"/>
      <c r="D55" s="268"/>
      <c r="E55" s="268"/>
      <c r="F55" s="268"/>
      <c r="G55" s="268"/>
      <c r="H55" s="268"/>
      <c r="I55" s="268"/>
      <c r="J55" s="270"/>
    </row>
    <row r="56" spans="1:10" ht="17.25" customHeight="1">
      <c r="A56" s="60"/>
      <c r="B56" s="61"/>
      <c r="C56" s="62"/>
      <c r="D56" s="267" t="s">
        <v>1138</v>
      </c>
      <c r="E56" s="267"/>
      <c r="F56" s="267"/>
      <c r="G56" s="267"/>
      <c r="H56" s="267"/>
      <c r="I56" s="267"/>
      <c r="J56" s="269">
        <v>11</v>
      </c>
    </row>
    <row r="57" spans="1:10" ht="17.25" customHeight="1">
      <c r="A57" s="60"/>
      <c r="B57" s="61"/>
      <c r="C57" s="62"/>
      <c r="D57" s="268"/>
      <c r="E57" s="268"/>
      <c r="F57" s="268"/>
      <c r="G57" s="268"/>
      <c r="H57" s="268"/>
      <c r="I57" s="268"/>
      <c r="J57" s="270"/>
    </row>
    <row r="58" spans="1:10" ht="17.25" customHeight="1">
      <c r="A58" s="60"/>
      <c r="B58" s="61"/>
      <c r="C58" s="62"/>
      <c r="D58" s="267" t="s">
        <v>863</v>
      </c>
      <c r="E58" s="267"/>
      <c r="F58" s="267"/>
      <c r="G58" s="267"/>
      <c r="H58" s="267"/>
      <c r="I58" s="267"/>
      <c r="J58" s="269">
        <v>12</v>
      </c>
    </row>
    <row r="59" spans="1:10" ht="17.25" customHeight="1">
      <c r="A59" s="60"/>
      <c r="B59" s="61"/>
      <c r="C59" s="62"/>
      <c r="D59" s="268"/>
      <c r="E59" s="268"/>
      <c r="F59" s="268"/>
      <c r="G59" s="268"/>
      <c r="H59" s="268"/>
      <c r="I59" s="268"/>
      <c r="J59" s="270"/>
    </row>
    <row r="60" spans="1:10" ht="17.25" customHeight="1">
      <c r="A60" s="60"/>
      <c r="B60" s="61"/>
      <c r="C60" s="62"/>
      <c r="D60" s="267" t="s">
        <v>876</v>
      </c>
      <c r="E60" s="267"/>
      <c r="F60" s="267"/>
      <c r="G60" s="267"/>
      <c r="H60" s="267"/>
      <c r="I60" s="267"/>
      <c r="J60" s="271" t="s">
        <v>1532</v>
      </c>
    </row>
    <row r="61" spans="1:10" ht="17.25" customHeight="1">
      <c r="A61" s="60"/>
      <c r="B61" s="61"/>
      <c r="C61" s="62"/>
      <c r="D61" s="268"/>
      <c r="E61" s="268"/>
      <c r="F61" s="268"/>
      <c r="G61" s="268"/>
      <c r="H61" s="268"/>
      <c r="I61" s="268"/>
      <c r="J61" s="273"/>
    </row>
    <row r="62" spans="1:10" ht="17.25" customHeight="1">
      <c r="A62" s="60"/>
      <c r="B62" s="61"/>
      <c r="C62" s="62"/>
      <c r="D62" s="267" t="s">
        <v>1139</v>
      </c>
      <c r="E62" s="267"/>
      <c r="F62" s="267"/>
      <c r="G62" s="267"/>
      <c r="H62" s="267"/>
      <c r="I62" s="267"/>
      <c r="J62" s="269">
        <v>14</v>
      </c>
    </row>
    <row r="63" spans="1:10" ht="17.25" customHeight="1">
      <c r="A63" s="60"/>
      <c r="B63" s="61"/>
      <c r="C63" s="62"/>
      <c r="D63" s="268"/>
      <c r="E63" s="268"/>
      <c r="F63" s="268"/>
      <c r="G63" s="268"/>
      <c r="H63" s="268"/>
      <c r="I63" s="268"/>
      <c r="J63" s="270"/>
    </row>
    <row r="64" spans="1:10" ht="17.25" customHeight="1">
      <c r="A64" s="60"/>
      <c r="B64" s="61"/>
      <c r="C64" s="62"/>
      <c r="D64" s="267" t="s">
        <v>905</v>
      </c>
      <c r="E64" s="267"/>
      <c r="F64" s="267"/>
      <c r="G64" s="267"/>
      <c r="H64" s="267"/>
      <c r="I64" s="267"/>
      <c r="J64" s="271" t="s">
        <v>1533</v>
      </c>
    </row>
    <row r="65" spans="1:10" ht="17.25" customHeight="1">
      <c r="A65" s="60"/>
      <c r="B65" s="61"/>
      <c r="C65" s="62"/>
      <c r="D65" s="268"/>
      <c r="E65" s="268"/>
      <c r="F65" s="268"/>
      <c r="G65" s="268"/>
      <c r="H65" s="268"/>
      <c r="I65" s="268"/>
      <c r="J65" s="272"/>
    </row>
    <row r="66" spans="1:10" ht="17.25" customHeight="1">
      <c r="A66" s="60"/>
      <c r="B66" s="61"/>
      <c r="C66" s="62"/>
      <c r="D66" s="267" t="s">
        <v>937</v>
      </c>
      <c r="E66" s="267"/>
      <c r="F66" s="267"/>
      <c r="G66" s="267"/>
      <c r="H66" s="267"/>
      <c r="I66" s="267"/>
      <c r="J66" s="271" t="s">
        <v>1534</v>
      </c>
    </row>
    <row r="67" spans="1:10" ht="17.25" customHeight="1">
      <c r="A67" s="60"/>
      <c r="B67" s="61"/>
      <c r="C67" s="62"/>
      <c r="D67" s="268"/>
      <c r="E67" s="268"/>
      <c r="F67" s="268"/>
      <c r="G67" s="268"/>
      <c r="H67" s="268"/>
      <c r="I67" s="268"/>
      <c r="J67" s="272"/>
    </row>
    <row r="68" spans="1:10" ht="17.25" customHeight="1">
      <c r="A68" s="60"/>
      <c r="B68" s="61"/>
      <c r="C68" s="62"/>
      <c r="D68" s="267" t="s">
        <v>966</v>
      </c>
      <c r="E68" s="267"/>
      <c r="F68" s="267"/>
      <c r="G68" s="267"/>
      <c r="H68" s="267"/>
      <c r="I68" s="267"/>
      <c r="J68" s="271" t="s">
        <v>1147</v>
      </c>
    </row>
    <row r="69" spans="1:10" ht="17.25" customHeight="1">
      <c r="A69" s="60"/>
      <c r="B69" s="61"/>
      <c r="C69" s="62"/>
      <c r="D69" s="268"/>
      <c r="E69" s="268"/>
      <c r="F69" s="268"/>
      <c r="G69" s="268"/>
      <c r="H69" s="268"/>
      <c r="I69" s="268"/>
      <c r="J69" s="272"/>
    </row>
    <row r="70" spans="1:10" ht="17.25" customHeight="1">
      <c r="A70" s="60"/>
      <c r="B70" s="61"/>
      <c r="C70" s="62"/>
      <c r="D70" s="267" t="s">
        <v>973</v>
      </c>
      <c r="E70" s="267"/>
      <c r="F70" s="267"/>
      <c r="G70" s="267"/>
      <c r="H70" s="267"/>
      <c r="I70" s="267"/>
      <c r="J70" s="271" t="s">
        <v>1535</v>
      </c>
    </row>
    <row r="71" spans="1:10" ht="17.25" customHeight="1">
      <c r="A71" s="60"/>
      <c r="B71" s="61"/>
      <c r="C71" s="62"/>
      <c r="D71" s="268"/>
      <c r="E71" s="268"/>
      <c r="F71" s="268"/>
      <c r="G71" s="268"/>
      <c r="H71" s="268"/>
      <c r="I71" s="268"/>
      <c r="J71" s="272"/>
    </row>
    <row r="72" spans="1:10" ht="17.25" customHeight="1">
      <c r="A72" s="60"/>
      <c r="B72" s="61"/>
      <c r="C72" s="62"/>
      <c r="D72" s="267" t="s">
        <v>1166</v>
      </c>
      <c r="E72" s="267"/>
      <c r="F72" s="267"/>
      <c r="G72" s="267"/>
      <c r="H72" s="267"/>
      <c r="I72" s="267"/>
      <c r="J72" s="271" t="s">
        <v>1536</v>
      </c>
    </row>
    <row r="73" spans="1:10" ht="17.25" customHeight="1">
      <c r="A73" s="60"/>
      <c r="B73" s="61"/>
      <c r="C73" s="62"/>
      <c r="D73" s="268"/>
      <c r="E73" s="268"/>
      <c r="F73" s="268"/>
      <c r="G73" s="268"/>
      <c r="H73" s="268"/>
      <c r="I73" s="268"/>
      <c r="J73" s="272"/>
    </row>
    <row r="74" spans="1:10" ht="17.25" customHeight="1">
      <c r="A74" s="60"/>
      <c r="B74" s="61"/>
      <c r="C74" s="62"/>
      <c r="D74" s="267" t="s">
        <v>1016</v>
      </c>
      <c r="E74" s="267"/>
      <c r="F74" s="267"/>
      <c r="G74" s="267"/>
      <c r="H74" s="267"/>
      <c r="I74" s="267"/>
      <c r="J74" s="271" t="s">
        <v>1537</v>
      </c>
    </row>
    <row r="75" spans="1:10" ht="17.25" customHeight="1">
      <c r="A75" s="60"/>
      <c r="B75" s="61"/>
      <c r="C75" s="62"/>
      <c r="D75" s="268"/>
      <c r="E75" s="268"/>
      <c r="F75" s="268"/>
      <c r="G75" s="268"/>
      <c r="H75" s="268"/>
      <c r="I75" s="268"/>
      <c r="J75" s="272"/>
    </row>
    <row r="76" spans="1:10" ht="17.25" customHeight="1">
      <c r="A76" s="60"/>
      <c r="B76" s="61"/>
      <c r="C76" s="62"/>
      <c r="D76" s="267" t="s">
        <v>1164</v>
      </c>
      <c r="E76" s="267"/>
      <c r="F76" s="267"/>
      <c r="G76" s="267"/>
      <c r="H76" s="267"/>
      <c r="I76" s="267"/>
      <c r="J76" s="271" t="s">
        <v>1538</v>
      </c>
    </row>
    <row r="77" spans="1:10" ht="17.25" customHeight="1">
      <c r="A77" s="60"/>
      <c r="B77" s="61"/>
      <c r="C77" s="62"/>
      <c r="D77" s="268"/>
      <c r="E77" s="268"/>
      <c r="F77" s="268"/>
      <c r="G77" s="268"/>
      <c r="H77" s="268"/>
      <c r="I77" s="268"/>
      <c r="J77" s="272"/>
    </row>
    <row r="78" spans="1:10" ht="17.25" customHeight="1">
      <c r="A78" s="60"/>
      <c r="B78" s="61"/>
      <c r="C78" s="62"/>
      <c r="D78" s="267" t="s">
        <v>1008</v>
      </c>
      <c r="E78" s="267"/>
      <c r="F78" s="267"/>
      <c r="G78" s="267"/>
      <c r="H78" s="267"/>
      <c r="I78" s="267"/>
      <c r="J78" s="271" t="s">
        <v>1538</v>
      </c>
    </row>
    <row r="79" spans="1:10" ht="17.25" customHeight="1">
      <c r="A79" s="60"/>
      <c r="B79" s="61"/>
      <c r="C79" s="62"/>
      <c r="D79" s="268"/>
      <c r="E79" s="268"/>
      <c r="F79" s="268"/>
      <c r="G79" s="268"/>
      <c r="H79" s="268"/>
      <c r="I79" s="268"/>
      <c r="J79" s="272"/>
    </row>
    <row r="80" spans="1:10" ht="17.25" customHeight="1">
      <c r="A80" s="60"/>
      <c r="B80" s="61"/>
      <c r="C80" s="62"/>
      <c r="D80" s="267" t="s">
        <v>1029</v>
      </c>
      <c r="E80" s="267"/>
      <c r="F80" s="267"/>
      <c r="G80" s="267"/>
      <c r="H80" s="267"/>
      <c r="I80" s="267"/>
      <c r="J80" s="269">
        <v>27</v>
      </c>
    </row>
    <row r="81" spans="1:20" ht="17.25" customHeight="1">
      <c r="A81" s="60"/>
      <c r="B81" s="61"/>
      <c r="C81" s="62"/>
      <c r="D81" s="268"/>
      <c r="E81" s="268"/>
      <c r="F81" s="268"/>
      <c r="G81" s="268"/>
      <c r="H81" s="268"/>
      <c r="I81" s="268"/>
      <c r="J81" s="270"/>
    </row>
    <row r="82" spans="1:20" ht="33.75" customHeight="1">
      <c r="A82" s="60"/>
      <c r="B82" s="61"/>
      <c r="C82" s="62"/>
      <c r="D82" s="192" t="s">
        <v>1092</v>
      </c>
      <c r="E82" s="192"/>
      <c r="F82" s="192"/>
      <c r="G82" s="82"/>
      <c r="H82" s="82"/>
      <c r="I82" s="82"/>
      <c r="J82" s="97"/>
    </row>
    <row r="83" spans="1:20" ht="17.25" customHeight="1">
      <c r="A83" s="60"/>
      <c r="B83" s="61"/>
      <c r="C83" s="62"/>
      <c r="D83" s="189" t="s">
        <v>1093</v>
      </c>
      <c r="E83" s="189"/>
      <c r="F83" s="189"/>
      <c r="G83" s="189"/>
      <c r="H83" s="189"/>
      <c r="I83" s="189"/>
      <c r="J83" s="191" t="s">
        <v>1094</v>
      </c>
    </row>
    <row r="84" spans="1:20" ht="17.25" customHeight="1">
      <c r="A84" s="60"/>
      <c r="B84" s="61"/>
      <c r="C84" s="62"/>
      <c r="D84" s="190"/>
      <c r="E84" s="190"/>
      <c r="F84" s="190"/>
      <c r="G84" s="190"/>
      <c r="H84" s="190"/>
      <c r="I84" s="190"/>
      <c r="J84" s="191"/>
    </row>
    <row r="85" spans="1:20" ht="17.25" customHeight="1">
      <c r="A85" s="60"/>
      <c r="B85" s="61"/>
      <c r="C85" s="62"/>
      <c r="D85" s="267" t="s">
        <v>1033</v>
      </c>
      <c r="E85" s="267"/>
      <c r="F85" s="267"/>
      <c r="G85" s="267"/>
      <c r="H85" s="267"/>
      <c r="I85" s="267"/>
      <c r="J85" s="269">
        <v>27</v>
      </c>
      <c r="T85" s="63"/>
    </row>
    <row r="86" spans="1:20" ht="17.25" customHeight="1">
      <c r="A86" s="60"/>
      <c r="B86" s="61"/>
      <c r="C86" s="62"/>
      <c r="D86" s="268"/>
      <c r="E86" s="268"/>
      <c r="F86" s="268"/>
      <c r="G86" s="268"/>
      <c r="H86" s="268"/>
      <c r="I86" s="268"/>
      <c r="J86" s="275"/>
      <c r="T86" s="191"/>
    </row>
    <row r="87" spans="1:20" ht="17.25" customHeight="1">
      <c r="A87" s="60"/>
      <c r="B87" s="61"/>
      <c r="C87" s="62"/>
      <c r="D87" s="267" t="s">
        <v>1042</v>
      </c>
      <c r="E87" s="267"/>
      <c r="F87" s="267"/>
      <c r="G87" s="267"/>
      <c r="H87" s="267"/>
      <c r="I87" s="267"/>
      <c r="J87" s="269">
        <v>28</v>
      </c>
      <c r="T87" s="191"/>
    </row>
    <row r="88" spans="1:20" ht="17.25" customHeight="1">
      <c r="A88" s="60"/>
      <c r="B88" s="61"/>
      <c r="C88" s="62"/>
      <c r="D88" s="268"/>
      <c r="E88" s="268"/>
      <c r="F88" s="268"/>
      <c r="G88" s="268"/>
      <c r="H88" s="268"/>
      <c r="I88" s="268"/>
      <c r="J88" s="275"/>
    </row>
    <row r="89" spans="1:20" ht="18" customHeight="1">
      <c r="A89" s="60"/>
      <c r="B89" s="61"/>
      <c r="C89" s="62"/>
      <c r="D89" s="267" t="s">
        <v>1045</v>
      </c>
      <c r="E89" s="267"/>
      <c r="F89" s="267"/>
      <c r="G89" s="267"/>
      <c r="H89" s="267"/>
      <c r="I89" s="267"/>
      <c r="J89" s="269">
        <v>28</v>
      </c>
    </row>
    <row r="90" spans="1:20" ht="18" customHeight="1">
      <c r="A90" s="60"/>
      <c r="B90" s="61"/>
      <c r="C90" s="62"/>
      <c r="D90" s="268"/>
      <c r="E90" s="268"/>
      <c r="F90" s="268"/>
      <c r="G90" s="268"/>
      <c r="H90" s="268"/>
      <c r="I90" s="268"/>
      <c r="J90" s="270"/>
    </row>
    <row r="91" spans="1:20" ht="18" customHeight="1">
      <c r="A91" s="60"/>
      <c r="B91" s="61"/>
      <c r="C91" s="62"/>
      <c r="D91" s="267" t="s">
        <v>1050</v>
      </c>
      <c r="E91" s="267"/>
      <c r="F91" s="267"/>
      <c r="G91" s="267"/>
      <c r="H91" s="267"/>
      <c r="I91" s="267"/>
      <c r="J91" s="269">
        <v>29</v>
      </c>
    </row>
    <row r="92" spans="1:20" ht="18" customHeight="1">
      <c r="A92" s="60"/>
      <c r="B92" s="61"/>
      <c r="C92" s="62"/>
      <c r="D92" s="268"/>
      <c r="E92" s="268"/>
      <c r="F92" s="268"/>
      <c r="G92" s="268"/>
      <c r="H92" s="268"/>
      <c r="I92" s="268"/>
      <c r="J92" s="270"/>
    </row>
    <row r="93" spans="1:20" ht="18" customHeight="1">
      <c r="A93" s="60"/>
      <c r="B93" s="61"/>
      <c r="C93" s="62"/>
      <c r="D93" s="267" t="s">
        <v>1187</v>
      </c>
      <c r="E93" s="267"/>
      <c r="F93" s="267"/>
      <c r="G93" s="267"/>
      <c r="H93" s="267"/>
      <c r="I93" s="267"/>
      <c r="J93" s="269">
        <v>30</v>
      </c>
    </row>
    <row r="94" spans="1:20" ht="18" customHeight="1">
      <c r="A94" s="60"/>
      <c r="B94" s="61"/>
      <c r="C94" s="62"/>
      <c r="D94" s="268"/>
      <c r="E94" s="268"/>
      <c r="F94" s="268"/>
      <c r="G94" s="268"/>
      <c r="H94" s="268"/>
      <c r="I94" s="268"/>
      <c r="J94" s="270"/>
    </row>
    <row r="95" spans="1:20" ht="18" customHeight="1">
      <c r="A95" s="60"/>
      <c r="B95" s="61"/>
      <c r="C95" s="62"/>
      <c r="D95" s="267" t="s">
        <v>1054</v>
      </c>
      <c r="E95" s="267"/>
      <c r="F95" s="267"/>
      <c r="G95" s="267"/>
      <c r="H95" s="267"/>
      <c r="I95" s="267"/>
      <c r="J95" s="269">
        <v>30</v>
      </c>
    </row>
    <row r="96" spans="1:20" ht="18" customHeight="1">
      <c r="A96" s="60"/>
      <c r="B96" s="61"/>
      <c r="C96" s="62"/>
      <c r="D96" s="268"/>
      <c r="E96" s="268"/>
      <c r="F96" s="268"/>
      <c r="G96" s="268"/>
      <c r="H96" s="268"/>
      <c r="I96" s="268"/>
      <c r="J96" s="270"/>
    </row>
    <row r="97" spans="1:10" ht="18" customHeight="1">
      <c r="A97" s="60"/>
      <c r="B97" s="61"/>
      <c r="C97" s="62"/>
      <c r="D97" s="267" t="s">
        <v>1192</v>
      </c>
      <c r="E97" s="267"/>
      <c r="F97" s="267"/>
      <c r="G97" s="267"/>
      <c r="H97" s="267"/>
      <c r="I97" s="267"/>
      <c r="J97" s="271" t="s">
        <v>1539</v>
      </c>
    </row>
    <row r="98" spans="1:10" ht="18" customHeight="1">
      <c r="A98" s="60"/>
      <c r="B98" s="61"/>
      <c r="C98" s="62"/>
      <c r="D98" s="268"/>
      <c r="E98" s="268"/>
      <c r="F98" s="268"/>
      <c r="G98" s="268"/>
      <c r="H98" s="268"/>
      <c r="I98" s="268"/>
      <c r="J98" s="272"/>
    </row>
    <row r="99" spans="1:10" ht="18" customHeight="1">
      <c r="A99" s="60"/>
      <c r="B99" s="61"/>
      <c r="C99" s="62"/>
      <c r="D99" s="267" t="s">
        <v>1059</v>
      </c>
      <c r="E99" s="267"/>
      <c r="F99" s="267"/>
      <c r="G99" s="267"/>
      <c r="H99" s="267"/>
      <c r="I99" s="267"/>
      <c r="J99" s="269">
        <v>35</v>
      </c>
    </row>
    <row r="100" spans="1:10" ht="18" customHeight="1">
      <c r="A100" s="60"/>
      <c r="B100" s="61"/>
      <c r="C100" s="62"/>
      <c r="D100" s="268"/>
      <c r="E100" s="268"/>
      <c r="F100" s="268"/>
      <c r="G100" s="268"/>
      <c r="H100" s="268"/>
      <c r="I100" s="268"/>
      <c r="J100" s="270"/>
    </row>
    <row r="101" spans="1:10" ht="18" customHeight="1">
      <c r="A101" s="60"/>
      <c r="B101" s="61"/>
      <c r="C101" s="62"/>
      <c r="D101" s="267" t="s">
        <v>1065</v>
      </c>
      <c r="E101" s="267"/>
      <c r="F101" s="267"/>
      <c r="G101" s="267"/>
      <c r="H101" s="267"/>
      <c r="I101" s="267"/>
      <c r="J101" s="269">
        <v>35</v>
      </c>
    </row>
    <row r="102" spans="1:10" ht="18" customHeight="1">
      <c r="A102" s="60"/>
      <c r="B102" s="61"/>
      <c r="C102" s="62"/>
      <c r="D102" s="274"/>
      <c r="E102" s="274"/>
      <c r="F102" s="274"/>
      <c r="G102" s="274"/>
      <c r="H102" s="274"/>
      <c r="I102" s="274"/>
      <c r="J102" s="270"/>
    </row>
    <row r="103" spans="1:10" ht="15" customHeight="1">
      <c r="A103" s="60"/>
      <c r="B103" s="61"/>
      <c r="C103" s="62"/>
      <c r="D103" s="267" t="s">
        <v>1528</v>
      </c>
      <c r="E103" s="267"/>
      <c r="F103" s="267"/>
      <c r="G103" s="267"/>
      <c r="H103" s="267"/>
      <c r="I103" s="267"/>
      <c r="J103" s="269">
        <v>36</v>
      </c>
    </row>
    <row r="104" spans="1:10" ht="15" customHeight="1">
      <c r="A104" s="60"/>
      <c r="B104" s="61"/>
      <c r="C104" s="62"/>
      <c r="D104" s="274"/>
      <c r="E104" s="274"/>
      <c r="F104" s="274"/>
      <c r="G104" s="274"/>
      <c r="H104" s="274"/>
      <c r="I104" s="274"/>
      <c r="J104" s="270"/>
    </row>
    <row r="105" spans="1:10" ht="15" customHeight="1">
      <c r="A105" s="60"/>
      <c r="B105" s="61"/>
      <c r="C105" s="62"/>
      <c r="D105"/>
      <c r="E105"/>
      <c r="F105"/>
      <c r="G105"/>
      <c r="H105"/>
      <c r="I105"/>
      <c r="J105"/>
    </row>
    <row r="106" spans="1:10" ht="15" customHeight="1">
      <c r="A106" s="60"/>
      <c r="B106" s="61"/>
      <c r="C106" s="62"/>
      <c r="D106"/>
      <c r="E106"/>
      <c r="F106"/>
      <c r="G106"/>
      <c r="H106"/>
      <c r="I106"/>
      <c r="J106"/>
    </row>
    <row r="107" spans="1:10">
      <c r="A107" s="60"/>
      <c r="B107" s="61"/>
      <c r="C107" s="62"/>
      <c r="D107"/>
      <c r="E107"/>
      <c r="F107"/>
      <c r="G107"/>
      <c r="H107"/>
      <c r="I107"/>
      <c r="J107"/>
    </row>
    <row r="108" spans="1:10">
      <c r="A108" s="60"/>
      <c r="B108" s="61"/>
      <c r="C108" s="62"/>
      <c r="D108"/>
      <c r="E108"/>
      <c r="F108"/>
      <c r="G108"/>
      <c r="H108"/>
      <c r="I108"/>
      <c r="J108"/>
    </row>
    <row r="109" spans="1:10" ht="15.75" customHeight="1">
      <c r="A109" s="60"/>
      <c r="B109" s="61"/>
      <c r="C109" s="62"/>
      <c r="D109"/>
      <c r="E109"/>
      <c r="F109"/>
      <c r="G109"/>
      <c r="H109"/>
      <c r="I109"/>
      <c r="J109"/>
    </row>
    <row r="110" spans="1:10" ht="15.75" customHeight="1">
      <c r="A110" s="60"/>
      <c r="B110" s="61"/>
      <c r="C110" s="62"/>
      <c r="D110"/>
      <c r="E110"/>
      <c r="F110"/>
      <c r="G110"/>
      <c r="H110"/>
      <c r="I110"/>
      <c r="J110"/>
    </row>
    <row r="111" spans="1:10" ht="15" customHeight="1">
      <c r="A111" s="60"/>
      <c r="B111" s="61"/>
      <c r="C111" s="62"/>
      <c r="D111"/>
      <c r="E111"/>
      <c r="F111"/>
      <c r="G111"/>
      <c r="H111"/>
      <c r="I111"/>
      <c r="J111"/>
    </row>
    <row r="112" spans="1:10" ht="15" customHeight="1">
      <c r="A112" s="60"/>
      <c r="B112" s="61"/>
      <c r="C112" s="62"/>
      <c r="D112"/>
      <c r="E112"/>
      <c r="F112"/>
      <c r="G112"/>
      <c r="H112"/>
      <c r="I112"/>
      <c r="J112"/>
    </row>
    <row r="113" spans="1:11" ht="15" customHeight="1">
      <c r="A113" s="60"/>
      <c r="B113" s="61"/>
      <c r="C113" s="62"/>
      <c r="D113"/>
      <c r="E113"/>
      <c r="F113"/>
      <c r="G113"/>
      <c r="H113"/>
      <c r="I113"/>
      <c r="J113"/>
    </row>
    <row r="114" spans="1:11" ht="15" customHeight="1">
      <c r="A114" s="60"/>
      <c r="B114" s="61"/>
      <c r="C114" s="62"/>
      <c r="D114"/>
      <c r="E114"/>
      <c r="F114"/>
      <c r="G114"/>
      <c r="H114"/>
      <c r="I114"/>
      <c r="J114"/>
    </row>
    <row r="115" spans="1:11" ht="15" customHeight="1">
      <c r="A115" s="60"/>
      <c r="B115" s="61"/>
      <c r="C115" s="62"/>
      <c r="D115"/>
      <c r="E115"/>
      <c r="F115"/>
      <c r="G115"/>
      <c r="H115"/>
      <c r="I115"/>
      <c r="J115"/>
    </row>
    <row r="116" spans="1:11" ht="15" customHeight="1">
      <c r="A116" s="60"/>
      <c r="B116" s="61"/>
      <c r="C116" s="62"/>
      <c r="D116"/>
      <c r="E116"/>
      <c r="F116"/>
      <c r="G116"/>
      <c r="H116"/>
      <c r="I116"/>
      <c r="J116"/>
    </row>
    <row r="117" spans="1:11" ht="15" customHeight="1">
      <c r="A117" s="60"/>
      <c r="B117" s="61"/>
      <c r="C117" s="62"/>
      <c r="D117"/>
      <c r="E117"/>
      <c r="F117"/>
      <c r="G117"/>
      <c r="H117"/>
      <c r="I117"/>
      <c r="J117"/>
    </row>
    <row r="118" spans="1:11" ht="15" customHeight="1">
      <c r="A118" s="60"/>
      <c r="B118" s="61"/>
      <c r="C118" s="62"/>
      <c r="D118"/>
      <c r="E118"/>
      <c r="F118"/>
      <c r="G118"/>
      <c r="H118"/>
      <c r="I118"/>
      <c r="J118"/>
    </row>
    <row r="119" spans="1:11" ht="15" customHeight="1">
      <c r="A119" s="60"/>
      <c r="B119" s="61"/>
      <c r="C119" s="62"/>
      <c r="D119"/>
      <c r="E119"/>
      <c r="F119"/>
      <c r="G119"/>
      <c r="H119"/>
      <c r="I119"/>
      <c r="J119"/>
    </row>
    <row r="120" spans="1:11" ht="15" customHeight="1">
      <c r="A120" s="60"/>
      <c r="B120" s="61"/>
      <c r="C120" s="62"/>
      <c r="D120"/>
      <c r="E120"/>
      <c r="F120"/>
      <c r="G120"/>
      <c r="H120"/>
      <c r="I120"/>
      <c r="J120"/>
    </row>
    <row r="121" spans="1:11" ht="15" customHeight="1">
      <c r="A121" s="60"/>
      <c r="B121" s="61"/>
      <c r="C121" s="62"/>
      <c r="D121"/>
      <c r="E121"/>
      <c r="F121"/>
      <c r="G121"/>
      <c r="H121"/>
      <c r="I121"/>
      <c r="J121"/>
    </row>
    <row r="122" spans="1:11" ht="15" customHeight="1">
      <c r="A122" s="60"/>
      <c r="B122" s="61"/>
      <c r="C122" s="62"/>
      <c r="D122"/>
      <c r="E122"/>
      <c r="F122"/>
      <c r="G122"/>
      <c r="H122"/>
      <c r="I122"/>
      <c r="J122"/>
    </row>
    <row r="123" spans="1:11" ht="15" customHeight="1">
      <c r="A123" s="60"/>
      <c r="B123" s="61"/>
      <c r="C123" s="62"/>
      <c r="D123"/>
      <c r="E123"/>
      <c r="F123"/>
      <c r="G123"/>
      <c r="H123"/>
      <c r="I123"/>
      <c r="J123"/>
    </row>
    <row r="124" spans="1:11" ht="22.5" customHeight="1">
      <c r="A124" s="70"/>
      <c r="B124" s="71"/>
      <c r="C124" s="183"/>
      <c r="D124" s="184"/>
      <c r="E124" s="184"/>
      <c r="F124" s="184"/>
      <c r="G124" s="184"/>
      <c r="H124" s="184"/>
      <c r="I124" s="184"/>
      <c r="J124" s="184"/>
    </row>
    <row r="125" spans="1:11" ht="22.5" customHeight="1">
      <c r="A125" s="70"/>
      <c r="B125" s="71"/>
      <c r="C125" s="183"/>
      <c r="D125" s="184"/>
      <c r="E125" s="184"/>
      <c r="F125" s="184"/>
      <c r="G125" s="184"/>
      <c r="H125" s="184"/>
      <c r="I125" s="184"/>
      <c r="J125" s="184"/>
    </row>
    <row r="126" spans="1:11" ht="30" customHeight="1">
      <c r="A126" s="70"/>
      <c r="B126" s="71"/>
      <c r="C126" s="72"/>
      <c r="D126" s="67" t="s">
        <v>1140</v>
      </c>
      <c r="J126" s="68" t="str">
        <f>$N$1</f>
        <v>1405/02/23</v>
      </c>
    </row>
    <row r="127" spans="1:11" ht="45" customHeight="1">
      <c r="A127" s="70"/>
      <c r="B127" s="71"/>
      <c r="C127" s="77"/>
      <c r="D127" s="75" t="s">
        <v>0</v>
      </c>
      <c r="E127" s="69" t="s">
        <v>1</v>
      </c>
      <c r="F127" s="107" t="s">
        <v>448</v>
      </c>
      <c r="G127" s="108" t="s">
        <v>1141</v>
      </c>
      <c r="H127" s="108" t="s">
        <v>1142</v>
      </c>
      <c r="I127" s="108" t="s">
        <v>1143</v>
      </c>
      <c r="J127" s="68" t="s">
        <v>251</v>
      </c>
    </row>
    <row r="128" spans="1:11" ht="28.5" customHeight="1">
      <c r="A128" s="60"/>
      <c r="B128" s="61"/>
      <c r="D128" s="73">
        <v>1</v>
      </c>
      <c r="E128" s="109">
        <f>INDEX('اکسسوری حذف از لیست اصلی'!C:C,MATCH(K128,'اکسسوری حذف از لیست اصلی'!T:T,0))</f>
        <v>9901010001</v>
      </c>
      <c r="F128" s="109" t="str">
        <f>INDEX('اکسسوری حذف از لیست اصلی'!D:D,MATCH(K128,'اکسسوری حذف از لیست اصلی'!T:T,0))</f>
        <v xml:space="preserve">آباژور رومیزی چوبی طوسی TL-W001 </v>
      </c>
      <c r="G128" s="110">
        <f>INDEX('اکسسوری حذف از لیست اصلی'!E:E,MATCH(K128,'اکسسوری حذف از لیست اصلی'!T:T,0))</f>
        <v>43</v>
      </c>
      <c r="H128" s="110">
        <f>INDEX('اکسسوری حذف از لیست اصلی'!F:F,MATCH(K128,'اکسسوری حذف از لیست اصلی'!T:T,0))</f>
        <v>43</v>
      </c>
      <c r="I128" s="110">
        <f>INDEX('اکسسوری حذف از لیست اصلی'!G:G,MATCH(K128,'اکسسوری حذف از لیست اصلی'!T:T,0))</f>
        <v>69</v>
      </c>
      <c r="J128" s="74">
        <f>INDEX('اکسسوری حذف از لیست اصلی'!J:J,MATCH(K128,'اکسسوری حذف از لیست اصلی'!T:T,0))</f>
        <v>124000000</v>
      </c>
      <c r="K128" s="76">
        <v>1</v>
      </c>
    </row>
    <row r="129" spans="1:11" ht="28.5" customHeight="1">
      <c r="A129" s="60"/>
      <c r="B129" s="61"/>
      <c r="C129" s="78"/>
      <c r="D129" s="79">
        <v>2</v>
      </c>
      <c r="E129" s="109">
        <f>INDEX('اکسسوری حذف از لیست اصلی'!C:C,MATCH(K129,'اکسسوری حذف از لیست اصلی'!T:T,0))</f>
        <v>9901010002</v>
      </c>
      <c r="F129" s="109" t="str">
        <f>INDEX('اکسسوری حذف از لیست اصلی'!D:D,MATCH(K129,'اکسسوری حذف از لیست اصلی'!T:T,0))</f>
        <v>آباژور رومیزی چوبی مشکی طلایی TL-W002</v>
      </c>
      <c r="G129" s="110">
        <f>INDEX('اکسسوری حذف از لیست اصلی'!E:E,MATCH(K129,'اکسسوری حذف از لیست اصلی'!T:T,0))</f>
        <v>43</v>
      </c>
      <c r="H129" s="110">
        <f>INDEX('اکسسوری حذف از لیست اصلی'!F:F,MATCH(K129,'اکسسوری حذف از لیست اصلی'!T:T,0))</f>
        <v>43</v>
      </c>
      <c r="I129" s="110">
        <f>INDEX('اکسسوری حذف از لیست اصلی'!G:G,MATCH(K129,'اکسسوری حذف از لیست اصلی'!T:T,0))</f>
        <v>70</v>
      </c>
      <c r="J129" s="74">
        <f>INDEX('اکسسوری حذف از لیست اصلی'!J:J,MATCH(K129,'اکسسوری حذف از لیست اصلی'!T:T,0))</f>
        <v>124000000</v>
      </c>
      <c r="K129" s="76">
        <v>2</v>
      </c>
    </row>
    <row r="130" spans="1:11" ht="28.5" customHeight="1">
      <c r="A130" s="60"/>
      <c r="B130" s="61"/>
      <c r="D130" s="79">
        <v>3</v>
      </c>
      <c r="E130" s="109">
        <f>INDEX('اکسسوری حذف از لیست اصلی'!C:C,MATCH(K130,'اکسسوری حذف از لیست اصلی'!T:T,0))</f>
        <v>9901010003</v>
      </c>
      <c r="F130" s="109" t="str">
        <f>INDEX('اکسسوری حذف از لیست اصلی'!D:D,MATCH(K130,'اکسسوری حذف از لیست اصلی'!T:T,0))</f>
        <v>آباژور رومیزی چوبی مشکیTL-W003</v>
      </c>
      <c r="G130" s="110">
        <f>INDEX('اکسسوری حذف از لیست اصلی'!E:E,MATCH(K130,'اکسسوری حذف از لیست اصلی'!T:T,0))</f>
        <v>43</v>
      </c>
      <c r="H130" s="110">
        <f>INDEX('اکسسوری حذف از لیست اصلی'!F:F,MATCH(K130,'اکسسوری حذف از لیست اصلی'!T:T,0))</f>
        <v>43</v>
      </c>
      <c r="I130" s="110">
        <f>INDEX('اکسسوری حذف از لیست اصلی'!G:G,MATCH(K130,'اکسسوری حذف از لیست اصلی'!T:T,0))</f>
        <v>69</v>
      </c>
      <c r="J130" s="74">
        <f>INDEX('اکسسوری حذف از لیست اصلی'!J:J,MATCH(K130,'اکسسوری حذف از لیست اصلی'!T:T,0))</f>
        <v>124000000</v>
      </c>
      <c r="K130" s="76">
        <v>3</v>
      </c>
    </row>
    <row r="131" spans="1:11" ht="28.5" customHeight="1">
      <c r="A131" s="60"/>
      <c r="B131" s="61"/>
      <c r="D131" s="79">
        <v>4</v>
      </c>
      <c r="E131" s="109">
        <f>INDEX('اکسسوری حذف از لیست اصلی'!C:C,MATCH(K131,'اکسسوری حذف از لیست اصلی'!T:T,0))</f>
        <v>9901010004</v>
      </c>
      <c r="F131" s="109" t="str">
        <f>INDEX('اکسسوری حذف از لیست اصلی'!D:D,MATCH(K131,'اکسسوری حذف از لیست اصلی'!T:T,0))</f>
        <v>آباژور رومیزی چوبی کرم TL-W004</v>
      </c>
      <c r="G131" s="110">
        <f>INDEX('اکسسوری حذف از لیست اصلی'!E:E,MATCH(K131,'اکسسوری حذف از لیست اصلی'!T:T,0))</f>
        <v>43</v>
      </c>
      <c r="H131" s="110">
        <f>INDEX('اکسسوری حذف از لیست اصلی'!F:F,MATCH(K131,'اکسسوری حذف از لیست اصلی'!T:T,0))</f>
        <v>43</v>
      </c>
      <c r="I131" s="110">
        <f>INDEX('اکسسوری حذف از لیست اصلی'!G:G,MATCH(K131,'اکسسوری حذف از لیست اصلی'!T:T,0))</f>
        <v>69</v>
      </c>
      <c r="J131" s="74">
        <f>INDEX('اکسسوری حذف از لیست اصلی'!J:J,MATCH(K131,'اکسسوری حذف از لیست اصلی'!T:T,0))</f>
        <v>124000000</v>
      </c>
      <c r="K131" s="76">
        <v>4</v>
      </c>
    </row>
    <row r="132" spans="1:11" ht="28.5" customHeight="1">
      <c r="A132" s="60"/>
      <c r="B132" s="61"/>
      <c r="D132" s="73">
        <v>5</v>
      </c>
      <c r="E132" s="109">
        <f>INDEX('اکسسوری حذف از لیست اصلی'!C:C,MATCH(K132,'اکسسوری حذف از لیست اصلی'!T:T,0))</f>
        <v>9901010005</v>
      </c>
      <c r="F132" s="109" t="str">
        <f>INDEX('اکسسوری حذف از لیست اصلی'!D:D,MATCH(K132,'اکسسوری حذف از لیست اصلی'!T:T,0))</f>
        <v xml:space="preserve">آباژور رومیزی چوبی طوسی TL-W005 </v>
      </c>
      <c r="G132" s="110">
        <f>INDEX('اکسسوری حذف از لیست اصلی'!E:E,MATCH(K132,'اکسسوری حذف از لیست اصلی'!T:T,0))</f>
        <v>43</v>
      </c>
      <c r="H132" s="110">
        <f>INDEX('اکسسوری حذف از لیست اصلی'!F:F,MATCH(K132,'اکسسوری حذف از لیست اصلی'!T:T,0))</f>
        <v>43</v>
      </c>
      <c r="I132" s="110">
        <f>INDEX('اکسسوری حذف از لیست اصلی'!G:G,MATCH(K132,'اکسسوری حذف از لیست اصلی'!T:T,0))</f>
        <v>64</v>
      </c>
      <c r="J132" s="74">
        <f>INDEX('اکسسوری حذف از لیست اصلی'!J:J,MATCH(K132,'اکسسوری حذف از لیست اصلی'!T:T,0))</f>
        <v>124000000</v>
      </c>
      <c r="K132" s="76">
        <v>5</v>
      </c>
    </row>
    <row r="133" spans="1:11" ht="28.5" customHeight="1">
      <c r="A133" s="60"/>
      <c r="B133" s="61"/>
      <c r="D133" s="79">
        <v>6</v>
      </c>
      <c r="E133" s="109">
        <f>INDEX('اکسسوری حذف از لیست اصلی'!C:C,MATCH(K133,'اکسسوری حذف از لیست اصلی'!T:T,0))</f>
        <v>9901010006</v>
      </c>
      <c r="F133" s="109" t="str">
        <f>INDEX('اکسسوری حذف از لیست اصلی'!D:D,MATCH(K133,'اکسسوری حذف از لیست اصلی'!T:T,0))</f>
        <v>آباژور رومیزی چوبی قهوه ای TL-W006</v>
      </c>
      <c r="G133" s="110">
        <f>INDEX('اکسسوری حذف از لیست اصلی'!E:E,MATCH(K133,'اکسسوری حذف از لیست اصلی'!T:T,0))</f>
        <v>43</v>
      </c>
      <c r="H133" s="110">
        <f>INDEX('اکسسوری حذف از لیست اصلی'!F:F,MATCH(K133,'اکسسوری حذف از لیست اصلی'!T:T,0))</f>
        <v>43</v>
      </c>
      <c r="I133" s="110">
        <f>INDEX('اکسسوری حذف از لیست اصلی'!G:G,MATCH(K133,'اکسسوری حذف از لیست اصلی'!T:T,0))</f>
        <v>64</v>
      </c>
      <c r="J133" s="74">
        <f>INDEX('اکسسوری حذف از لیست اصلی'!J:J,MATCH(K133,'اکسسوری حذف از لیست اصلی'!T:T,0))</f>
        <v>124000000</v>
      </c>
      <c r="K133" s="76">
        <v>6</v>
      </c>
    </row>
    <row r="134" spans="1:11" ht="28.5" customHeight="1">
      <c r="A134" s="60"/>
      <c r="B134" s="61"/>
      <c r="D134" s="79">
        <v>7</v>
      </c>
      <c r="E134" s="109">
        <f>INDEX('اکسسوری حذف از لیست اصلی'!C:C,MATCH(K134,'اکسسوری حذف از لیست اصلی'!T:T,0))</f>
        <v>9901010007</v>
      </c>
      <c r="F134" s="109" t="str">
        <f>INDEX('اکسسوری حذف از لیست اصلی'!D:D,MATCH(K134,'اکسسوری حذف از لیست اصلی'!T:T,0))</f>
        <v>آباژور رومیزی چوبی مشکی TL-W007</v>
      </c>
      <c r="G134" s="110">
        <f>INDEX('اکسسوری حذف از لیست اصلی'!E:E,MATCH(K134,'اکسسوری حذف از لیست اصلی'!T:T,0))</f>
        <v>43</v>
      </c>
      <c r="H134" s="110">
        <f>INDEX('اکسسوری حذف از لیست اصلی'!F:F,MATCH(K134,'اکسسوری حذف از لیست اصلی'!T:T,0))</f>
        <v>43</v>
      </c>
      <c r="I134" s="110">
        <f>INDEX('اکسسوری حذف از لیست اصلی'!G:G,MATCH(K134,'اکسسوری حذف از لیست اصلی'!T:T,0))</f>
        <v>69</v>
      </c>
      <c r="J134" s="74">
        <f>INDEX('اکسسوری حذف از لیست اصلی'!J:J,MATCH(K134,'اکسسوری حذف از لیست اصلی'!T:T,0))</f>
        <v>124000000</v>
      </c>
      <c r="K134" s="76">
        <v>7</v>
      </c>
    </row>
    <row r="135" spans="1:11" ht="28.5" customHeight="1">
      <c r="A135" s="60"/>
      <c r="B135" s="61"/>
      <c r="D135" s="79">
        <v>8</v>
      </c>
      <c r="E135" s="109">
        <f>INDEX('اکسسوری حذف از لیست اصلی'!C:C,MATCH(K135,'اکسسوری حذف از لیست اصلی'!T:T,0))</f>
        <v>9901010008</v>
      </c>
      <c r="F135" s="109" t="str">
        <f>INDEX('اکسسوری حذف از لیست اصلی'!D:D,MATCH(K135,'اکسسوری حذف از لیست اصلی'!T:T,0))</f>
        <v>آباژور رومیزی چوبی سفید TL-W008</v>
      </c>
      <c r="G135" s="110">
        <f>INDEX('اکسسوری حذف از لیست اصلی'!E:E,MATCH(K135,'اکسسوری حذف از لیست اصلی'!T:T,0))</f>
        <v>43</v>
      </c>
      <c r="H135" s="110">
        <f>INDEX('اکسسوری حذف از لیست اصلی'!F:F,MATCH(K135,'اکسسوری حذف از لیست اصلی'!T:T,0))</f>
        <v>43</v>
      </c>
      <c r="I135" s="110">
        <f>INDEX('اکسسوری حذف از لیست اصلی'!G:G,MATCH(K135,'اکسسوری حذف از لیست اصلی'!T:T,0))</f>
        <v>69</v>
      </c>
      <c r="J135" s="74">
        <f>INDEX('اکسسوری حذف از لیست اصلی'!J:J,MATCH(K135,'اکسسوری حذف از لیست اصلی'!T:T,0))</f>
        <v>124000000</v>
      </c>
      <c r="K135" s="76">
        <v>8</v>
      </c>
    </row>
    <row r="136" spans="1:11" ht="28.5" customHeight="1">
      <c r="A136" s="60"/>
      <c r="B136" s="61"/>
      <c r="D136" s="73">
        <v>9</v>
      </c>
      <c r="E136" s="109">
        <f>INDEX('اکسسوری حذف از لیست اصلی'!C:C,MATCH(K136,'اکسسوری حذف از لیست اصلی'!T:T,0))</f>
        <v>9901010009</v>
      </c>
      <c r="F136" s="109" t="str">
        <f>INDEX('اکسسوری حذف از لیست اصلی'!D:D,MATCH(K136,'اکسسوری حذف از لیست اصلی'!T:T,0))</f>
        <v>آباژور رومیزی چوبی مشکی TL-W009</v>
      </c>
      <c r="G136" s="110">
        <f>INDEX('اکسسوری حذف از لیست اصلی'!E:E,MATCH(K136,'اکسسوری حذف از لیست اصلی'!T:T,0))</f>
        <v>43</v>
      </c>
      <c r="H136" s="110">
        <f>INDEX('اکسسوری حذف از لیست اصلی'!F:F,MATCH(K136,'اکسسوری حذف از لیست اصلی'!T:T,0))</f>
        <v>43</v>
      </c>
      <c r="I136" s="110">
        <f>INDEX('اکسسوری حذف از لیست اصلی'!G:G,MATCH(K136,'اکسسوری حذف از لیست اصلی'!T:T,0))</f>
        <v>65</v>
      </c>
      <c r="J136" s="74">
        <f>INDEX('اکسسوری حذف از لیست اصلی'!J:J,MATCH(K136,'اکسسوری حذف از لیست اصلی'!T:T,0))</f>
        <v>124000000</v>
      </c>
      <c r="K136" s="76">
        <v>9</v>
      </c>
    </row>
    <row r="137" spans="1:11" ht="28.5" customHeight="1">
      <c r="A137" s="60"/>
      <c r="B137" s="61"/>
      <c r="D137" s="79">
        <v>10</v>
      </c>
      <c r="E137" s="109">
        <f>INDEX('اکسسوری حذف از لیست اصلی'!C:C,MATCH(K137,'اکسسوری حذف از لیست اصلی'!T:T,0))</f>
        <v>9901010010</v>
      </c>
      <c r="F137" s="109" t="str">
        <f>INDEX('اکسسوری حذف از لیست اصلی'!D:D,MATCH(K137,'اکسسوری حذف از لیست اصلی'!T:T,0))</f>
        <v>آباژور رومیزی سنگی TL-S010</v>
      </c>
      <c r="G137" s="110">
        <f>INDEX('اکسسوری حذف از لیست اصلی'!E:E,MATCH(K137,'اکسسوری حذف از لیست اصلی'!T:T,0))</f>
        <v>22</v>
      </c>
      <c r="H137" s="110">
        <f>INDEX('اکسسوری حذف از لیست اصلی'!F:F,MATCH(K137,'اکسسوری حذف از لیست اصلی'!T:T,0))</f>
        <v>22</v>
      </c>
      <c r="I137" s="110">
        <f>INDEX('اکسسوری حذف از لیست اصلی'!G:G,MATCH(K137,'اکسسوری حذف از لیست اصلی'!T:T,0))</f>
        <v>63</v>
      </c>
      <c r="J137" s="74">
        <f>INDEX('اکسسوری حذف از لیست اصلی'!J:J,MATCH(K137,'اکسسوری حذف از لیست اصلی'!T:T,0))</f>
        <v>99000000</v>
      </c>
      <c r="K137" s="76">
        <v>10</v>
      </c>
    </row>
    <row r="138" spans="1:11" ht="28.5" customHeight="1">
      <c r="A138" s="60"/>
      <c r="B138" s="61"/>
      <c r="D138" s="79">
        <v>11</v>
      </c>
      <c r="E138" s="109">
        <f>INDEX('اکسسوری حذف از لیست اصلی'!C:C,MATCH(K138,'اکسسوری حذف از لیست اصلی'!T:T,0))</f>
        <v>9901010011</v>
      </c>
      <c r="F138" s="109" t="str">
        <f>INDEX('اکسسوری حذف از لیست اصلی'!D:D,MATCH(K138,'اکسسوری حذف از لیست اصلی'!T:T,0))</f>
        <v>آباژور رومیزی چوبی کرم طلایی TL-W011</v>
      </c>
      <c r="G138" s="110">
        <f>INDEX('اکسسوری حذف از لیست اصلی'!E:E,MATCH(K138,'اکسسوری حذف از لیست اصلی'!T:T,0))</f>
        <v>35</v>
      </c>
      <c r="H138" s="110">
        <f>INDEX('اکسسوری حذف از لیست اصلی'!F:F,MATCH(K138,'اکسسوری حذف از لیست اصلی'!T:T,0))</f>
        <v>35</v>
      </c>
      <c r="I138" s="110">
        <f>INDEX('اکسسوری حذف از لیست اصلی'!G:G,MATCH(K138,'اکسسوری حذف از لیست اصلی'!T:T,0))</f>
        <v>64</v>
      </c>
      <c r="J138" s="74">
        <f>INDEX('اکسسوری حذف از لیست اصلی'!J:J,MATCH(K138,'اکسسوری حذف از لیست اصلی'!T:T,0))</f>
        <v>124000000</v>
      </c>
      <c r="K138" s="76">
        <v>11</v>
      </c>
    </row>
    <row r="139" spans="1:11" ht="28.5" customHeight="1">
      <c r="A139" s="60"/>
      <c r="B139" s="61"/>
      <c r="D139" s="79">
        <v>12</v>
      </c>
      <c r="E139" s="109">
        <f>INDEX('اکسسوری حذف از لیست اصلی'!C:C,MATCH(K139,'اکسسوری حذف از لیست اصلی'!T:T,0))</f>
        <v>9901010012</v>
      </c>
      <c r="F139" s="109" t="str">
        <f>INDEX('اکسسوری حذف از لیست اصلی'!D:D,MATCH(K139,'اکسسوری حذف از لیست اصلی'!T:T,0))</f>
        <v>آباژور رومیزی چوبی مارون TL-W012</v>
      </c>
      <c r="G139" s="110">
        <f>INDEX('اکسسوری حذف از لیست اصلی'!E:E,MATCH(K139,'اکسسوری حذف از لیست اصلی'!T:T,0))</f>
        <v>43</v>
      </c>
      <c r="H139" s="110">
        <f>INDEX('اکسسوری حذف از لیست اصلی'!F:F,MATCH(K139,'اکسسوری حذف از لیست اصلی'!T:T,0))</f>
        <v>43</v>
      </c>
      <c r="I139" s="110">
        <f>INDEX('اکسسوری حذف از لیست اصلی'!G:G,MATCH(K139,'اکسسوری حذف از لیست اصلی'!T:T,0))</f>
        <v>70</v>
      </c>
      <c r="J139" s="74">
        <f>INDEX('اکسسوری حذف از لیست اصلی'!J:J,MATCH(K139,'اکسسوری حذف از لیست اصلی'!T:T,0))</f>
        <v>124000000</v>
      </c>
      <c r="K139" s="76">
        <v>12</v>
      </c>
    </row>
    <row r="140" spans="1:11" ht="28.5" customHeight="1">
      <c r="A140" s="60"/>
      <c r="B140" s="61"/>
      <c r="D140" s="73">
        <v>13</v>
      </c>
      <c r="E140" s="109">
        <f>INDEX('اکسسوری حذف از لیست اصلی'!C:C,MATCH(K140,'اکسسوری حذف از لیست اصلی'!T:T,0))</f>
        <v>9901010013</v>
      </c>
      <c r="F140" s="109" t="str">
        <f>INDEX('اکسسوری حذف از لیست اصلی'!D:D,MATCH(K140,'اکسسوری حذف از لیست اصلی'!T:T,0))</f>
        <v>آباژور رومیزی چوبی گردوییTL-W013</v>
      </c>
      <c r="G140" s="110">
        <f>INDEX('اکسسوری حذف از لیست اصلی'!E:E,MATCH(K140,'اکسسوری حذف از لیست اصلی'!T:T,0))</f>
        <v>43</v>
      </c>
      <c r="H140" s="110">
        <f>INDEX('اکسسوری حذف از لیست اصلی'!F:F,MATCH(K140,'اکسسوری حذف از لیست اصلی'!T:T,0))</f>
        <v>43</v>
      </c>
      <c r="I140" s="110">
        <f>INDEX('اکسسوری حذف از لیست اصلی'!G:G,MATCH(K140,'اکسسوری حذف از لیست اصلی'!T:T,0))</f>
        <v>70</v>
      </c>
      <c r="J140" s="74">
        <f>INDEX('اکسسوری حذف از لیست اصلی'!J:J,MATCH(K140,'اکسسوری حذف از لیست اصلی'!T:T,0))</f>
        <v>124000000</v>
      </c>
      <c r="K140" s="64">
        <v>13</v>
      </c>
    </row>
    <row r="141" spans="1:11" ht="28.5" customHeight="1">
      <c r="A141" s="60"/>
      <c r="B141" s="61"/>
      <c r="D141" s="79">
        <v>14</v>
      </c>
      <c r="E141" s="109">
        <f>INDEX('اکسسوری حذف از لیست اصلی'!C:C,MATCH(K141,'اکسسوری حذف از لیست اصلی'!T:T,0))</f>
        <v>9901010014</v>
      </c>
      <c r="F141" s="109" t="str">
        <f>INDEX('اکسسوری حذف از لیست اصلی'!D:D,MATCH(K141,'اکسسوری حذف از لیست اصلی'!T:T,0))</f>
        <v>آباژور رومیزی شیشه ای مشکی TL-G014</v>
      </c>
      <c r="G141" s="110">
        <f>INDEX('اکسسوری حذف از لیست اصلی'!E:E,MATCH(K141,'اکسسوری حذف از لیست اصلی'!T:T,0))</f>
        <v>35</v>
      </c>
      <c r="H141" s="110">
        <f>INDEX('اکسسوری حذف از لیست اصلی'!F:F,MATCH(K141,'اکسسوری حذف از لیست اصلی'!T:T,0))</f>
        <v>35</v>
      </c>
      <c r="I141" s="110">
        <f>INDEX('اکسسوری حذف از لیست اصلی'!G:G,MATCH(K141,'اکسسوری حذف از لیست اصلی'!T:T,0))</f>
        <v>46</v>
      </c>
      <c r="J141" s="74">
        <f>INDEX('اکسسوری حذف از لیست اصلی'!J:J,MATCH(K141,'اکسسوری حذف از لیست اصلی'!T:T,0))</f>
        <v>130000000</v>
      </c>
      <c r="K141" s="64">
        <v>14</v>
      </c>
    </row>
    <row r="142" spans="1:11" ht="28.5" customHeight="1">
      <c r="A142" s="60"/>
      <c r="B142" s="61"/>
      <c r="D142" s="79">
        <v>15</v>
      </c>
      <c r="E142" s="109">
        <f>INDEX('اکسسوری حذف از لیست اصلی'!C:C,MATCH(K142,'اکسسوری حذف از لیست اصلی'!T:T,0))</f>
        <v>9901010015</v>
      </c>
      <c r="F142" s="109" t="str">
        <f>INDEX('اکسسوری حذف از لیست اصلی'!D:D,MATCH(K142,'اکسسوری حذف از لیست اصلی'!T:T,0))</f>
        <v>آباژور رومیزی شیشه ای مشکی TL-G015</v>
      </c>
      <c r="G142" s="110">
        <f>INDEX('اکسسوری حذف از لیست اصلی'!E:E,MATCH(K142,'اکسسوری حذف از لیست اصلی'!T:T,0))</f>
        <v>35</v>
      </c>
      <c r="H142" s="110">
        <f>INDEX('اکسسوری حذف از لیست اصلی'!F:F,MATCH(K142,'اکسسوری حذف از لیست اصلی'!T:T,0))</f>
        <v>35</v>
      </c>
      <c r="I142" s="110">
        <f>INDEX('اکسسوری حذف از لیست اصلی'!G:G,MATCH(K142,'اکسسوری حذف از لیست اصلی'!T:T,0))</f>
        <v>54</v>
      </c>
      <c r="J142" s="74">
        <f>INDEX('اکسسوری حذف از لیست اصلی'!J:J,MATCH(K142,'اکسسوری حذف از لیست اصلی'!T:T,0))</f>
        <v>130000000</v>
      </c>
      <c r="K142" s="64">
        <v>15</v>
      </c>
    </row>
    <row r="143" spans="1:11" ht="28.5" customHeight="1">
      <c r="A143" s="60"/>
      <c r="B143" s="61"/>
      <c r="D143" s="79">
        <v>16</v>
      </c>
      <c r="E143" s="109">
        <f>INDEX('اکسسوری حذف از لیست اصلی'!C:C,MATCH(K143,'اکسسوری حذف از لیست اصلی'!T:T,0))</f>
        <v>9901010016</v>
      </c>
      <c r="F143" s="109" t="str">
        <f>INDEX('اکسسوری حذف از لیست اصلی'!D:D,MATCH(K143,'اکسسوری حذف از لیست اصلی'!T:T,0))</f>
        <v>آباژور رومیزی سنگی سفید TL-S016</v>
      </c>
      <c r="G143" s="110" t="str">
        <f>INDEX('اکسسوری حذف از لیست اصلی'!E:E,MATCH(K143,'اکسسوری حذف از لیست اصلی'!T:T,0))</f>
        <v>35*35</v>
      </c>
      <c r="H143" s="110">
        <f>INDEX('اکسسوری حذف از لیست اصلی'!F:F,MATCH(K143,'اکسسوری حذف از لیست اصلی'!T:T,0))</f>
        <v>0</v>
      </c>
      <c r="I143" s="110">
        <f>INDEX('اکسسوری حذف از لیست اصلی'!G:G,MATCH(K143,'اکسسوری حذف از لیست اصلی'!T:T,0))</f>
        <v>0</v>
      </c>
      <c r="J143" s="74">
        <f>INDEX('اکسسوری حذف از لیست اصلی'!J:J,MATCH(K143,'اکسسوری حذف از لیست اصلی'!T:T,0))</f>
        <v>163000000</v>
      </c>
      <c r="K143" s="64">
        <v>16</v>
      </c>
    </row>
    <row r="144" spans="1:11" ht="28.5" customHeight="1">
      <c r="A144" s="60"/>
      <c r="B144" s="61"/>
      <c r="D144" s="73">
        <v>17</v>
      </c>
      <c r="E144" s="109">
        <f>INDEX('اکسسوری حذف از لیست اصلی'!C:C,MATCH(K144,'اکسسوری حذف از لیست اصلی'!T:T,0))</f>
        <v>9901010018</v>
      </c>
      <c r="F144" s="109" t="str">
        <f>INDEX('اکسسوری حذف از لیست اصلی'!D:D,MATCH(K144,'اکسسوری حذف از لیست اصلی'!T:T,0))</f>
        <v>آباژور رومیزی سرامیکی کرم TL-CR018</v>
      </c>
      <c r="G144" s="110" t="str">
        <f>INDEX('اکسسوری حذف از لیست اصلی'!E:E,MATCH(K144,'اکسسوری حذف از لیست اصلی'!T:T,0))</f>
        <v>30*30</v>
      </c>
      <c r="H144" s="110">
        <f>INDEX('اکسسوری حذف از لیست اصلی'!F:F,MATCH(K144,'اکسسوری حذف از لیست اصلی'!T:T,0))</f>
        <v>0</v>
      </c>
      <c r="I144" s="110">
        <f>INDEX('اکسسوری حذف از لیست اصلی'!G:G,MATCH(K144,'اکسسوری حذف از لیست اصلی'!T:T,0))</f>
        <v>0</v>
      </c>
      <c r="J144" s="74">
        <f>INDEX('اکسسوری حذف از لیست اصلی'!J:J,MATCH(K144,'اکسسوری حذف از لیست اصلی'!T:T,0))</f>
        <v>113000000</v>
      </c>
      <c r="K144" s="64">
        <v>17</v>
      </c>
    </row>
    <row r="145" spans="1:11" ht="28.5" customHeight="1">
      <c r="A145" s="60"/>
      <c r="B145" s="61"/>
      <c r="D145" s="79">
        <v>18</v>
      </c>
      <c r="E145" s="109">
        <f>INDEX('اکسسوری حذف از لیست اصلی'!C:C,MATCH(K145,'اکسسوری حذف از لیست اصلی'!T:T,0))</f>
        <v>9901010019</v>
      </c>
      <c r="F145" s="109" t="str">
        <f>INDEX('اکسسوری حذف از لیست اصلی'!D:D,MATCH(K145,'اکسسوری حذف از لیست اصلی'!T:T,0))</f>
        <v>آباژور رومیزی سرامیکی کرم TL-CR019</v>
      </c>
      <c r="G145" s="110">
        <f>INDEX('اکسسوری حذف از لیست اصلی'!E:E,MATCH(K145,'اکسسوری حذف از لیست اصلی'!T:T,0))</f>
        <v>30</v>
      </c>
      <c r="H145" s="110">
        <f>INDEX('اکسسوری حذف از لیست اصلی'!F:F,MATCH(K145,'اکسسوری حذف از لیست اصلی'!T:T,0))</f>
        <v>30</v>
      </c>
      <c r="I145" s="110">
        <f>INDEX('اکسسوری حذف از لیست اصلی'!G:G,MATCH(K145,'اکسسوری حذف از لیست اصلی'!T:T,0))</f>
        <v>59</v>
      </c>
      <c r="J145" s="74">
        <f>INDEX('اکسسوری حذف از لیست اصلی'!J:J,MATCH(K145,'اکسسوری حذف از لیست اصلی'!T:T,0))</f>
        <v>86000000</v>
      </c>
      <c r="K145" s="64">
        <v>18</v>
      </c>
    </row>
    <row r="146" spans="1:11" ht="28.5" customHeight="1">
      <c r="A146" s="60"/>
      <c r="B146" s="61"/>
      <c r="D146" s="79">
        <v>19</v>
      </c>
      <c r="E146" s="109">
        <f>INDEX('اکسسوری حذف از لیست اصلی'!C:C,MATCH(K146,'اکسسوری حذف از لیست اصلی'!T:T,0))</f>
        <v>9901010020</v>
      </c>
      <c r="F146" s="109" t="str">
        <f>INDEX('اکسسوری حذف از لیست اصلی'!D:D,MATCH(K146,'اکسسوری حذف از لیست اصلی'!T:T,0))</f>
        <v>آباژور رومیزی استیل طلایی TL-ST020</v>
      </c>
      <c r="G146" s="110">
        <f>INDEX('اکسسوری حذف از لیست اصلی'!E:E,MATCH(K146,'اکسسوری حذف از لیست اصلی'!T:T,0))</f>
        <v>35</v>
      </c>
      <c r="H146" s="110">
        <f>INDEX('اکسسوری حذف از لیست اصلی'!F:F,MATCH(K146,'اکسسوری حذف از لیست اصلی'!T:T,0))</f>
        <v>35</v>
      </c>
      <c r="I146" s="110">
        <f>INDEX('اکسسوری حذف از لیست اصلی'!G:G,MATCH(K146,'اکسسوری حذف از لیست اصلی'!T:T,0))</f>
        <v>65</v>
      </c>
      <c r="J146" s="74">
        <f>INDEX('اکسسوری حذف از لیست اصلی'!J:J,MATCH(K146,'اکسسوری حذف از لیست اصلی'!T:T,0))</f>
        <v>137000000</v>
      </c>
      <c r="K146" s="64">
        <v>19</v>
      </c>
    </row>
    <row r="147" spans="1:11" ht="28.5" customHeight="1">
      <c r="A147" s="60"/>
      <c r="B147" s="61"/>
      <c r="D147" s="79">
        <v>20</v>
      </c>
      <c r="E147" s="109">
        <f>INDEX('اکسسوری حذف از لیست اصلی'!C:C,MATCH(K147,'اکسسوری حذف از لیست اصلی'!T:T,0))</f>
        <v>9901010021</v>
      </c>
      <c r="F147" s="109" t="str">
        <f>INDEX('اکسسوری حذف از لیست اصلی'!D:D,MATCH(K147,'اکسسوری حذف از لیست اصلی'!T:T,0))</f>
        <v>آباژور رومیزی استیل نقره ای TL-ST021</v>
      </c>
      <c r="G147" s="110">
        <f>INDEX('اکسسوری حذف از لیست اصلی'!E:E,MATCH(K147,'اکسسوری حذف از لیست اصلی'!T:T,0))</f>
        <v>45</v>
      </c>
      <c r="H147" s="110">
        <f>INDEX('اکسسوری حذف از لیست اصلی'!F:F,MATCH(K147,'اکسسوری حذف از لیست اصلی'!T:T,0))</f>
        <v>45</v>
      </c>
      <c r="I147" s="110">
        <f>INDEX('اکسسوری حذف از لیست اصلی'!G:G,MATCH(K147,'اکسسوری حذف از لیست اصلی'!T:T,0))</f>
        <v>85</v>
      </c>
      <c r="J147" s="74">
        <f>INDEX('اکسسوری حذف از لیست اصلی'!J:J,MATCH(K147,'اکسسوری حذف از لیست اصلی'!T:T,0))</f>
        <v>99000000</v>
      </c>
      <c r="K147" s="64">
        <v>20</v>
      </c>
    </row>
    <row r="148" spans="1:11">
      <c r="A148" s="60"/>
      <c r="B148" s="61"/>
      <c r="J148" s="74">
        <v>3</v>
      </c>
    </row>
    <row r="149" spans="1:11" ht="22.5" customHeight="1">
      <c r="A149" s="70"/>
      <c r="B149" s="71"/>
      <c r="C149" s="183"/>
      <c r="D149" s="184"/>
      <c r="E149" s="184"/>
      <c r="F149" s="184"/>
      <c r="G149" s="184"/>
      <c r="H149" s="184"/>
      <c r="I149" s="184"/>
      <c r="J149" s="184"/>
    </row>
    <row r="150" spans="1:11" ht="22.5" customHeight="1">
      <c r="A150" s="70"/>
      <c r="B150" s="71"/>
      <c r="C150" s="183"/>
      <c r="D150" s="184"/>
      <c r="E150" s="184"/>
      <c r="F150" s="184"/>
      <c r="G150" s="184"/>
      <c r="H150" s="184"/>
      <c r="I150" s="184"/>
      <c r="J150" s="184"/>
    </row>
    <row r="151" spans="1:11" ht="27.75">
      <c r="A151" s="70"/>
      <c r="B151" s="71"/>
      <c r="C151" s="72"/>
      <c r="D151" s="67" t="s">
        <v>1140</v>
      </c>
      <c r="J151" s="68" t="str">
        <f>$N$1</f>
        <v>1405/02/23</v>
      </c>
    </row>
    <row r="152" spans="1:11" ht="45" customHeight="1">
      <c r="A152" s="70"/>
      <c r="B152" s="71"/>
      <c r="C152" s="77"/>
      <c r="D152" s="75" t="s">
        <v>0</v>
      </c>
      <c r="E152" s="69" t="s">
        <v>1</v>
      </c>
      <c r="F152" s="107" t="s">
        <v>448</v>
      </c>
      <c r="G152" s="108" t="s">
        <v>1141</v>
      </c>
      <c r="H152" s="108" t="s">
        <v>1142</v>
      </c>
      <c r="I152" s="108" t="s">
        <v>1143</v>
      </c>
      <c r="J152" s="68" t="s">
        <v>251</v>
      </c>
    </row>
    <row r="153" spans="1:11" ht="28.5" customHeight="1">
      <c r="A153" s="60"/>
      <c r="B153" s="61"/>
      <c r="D153" s="73">
        <v>21</v>
      </c>
      <c r="E153" s="109">
        <f>INDEX('اکسسوری حذف از لیست اصلی'!C:C,MATCH(K153,'اکسسوری حذف از لیست اصلی'!T:T,0))</f>
        <v>9901010022</v>
      </c>
      <c r="F153" s="109" t="str">
        <f>INDEX('اکسسوری حذف از لیست اصلی'!D:D,MATCH(K153,'اکسسوری حذف از لیست اصلی'!T:T,0))</f>
        <v>آباژور رومیزی سفالی کرم TL-C022</v>
      </c>
      <c r="G153" s="110">
        <f>INDEX('اکسسوری حذف از لیست اصلی'!E:E,MATCH(K153,'اکسسوری حذف از لیست اصلی'!T:T,0))</f>
        <v>45</v>
      </c>
      <c r="H153" s="110">
        <f>INDEX('اکسسوری حذف از لیست اصلی'!F:F,MATCH(K153,'اکسسوری حذف از لیست اصلی'!T:T,0))</f>
        <v>45</v>
      </c>
      <c r="I153" s="110">
        <f>INDEX('اکسسوری حذف از لیست اصلی'!G:G,MATCH(K153,'اکسسوری حذف از لیست اصلی'!T:T,0))</f>
        <v>55</v>
      </c>
      <c r="J153" s="74">
        <f>INDEX('اکسسوری حذف از لیست اصلی'!J:J,MATCH(K153,'اکسسوری حذف از لیست اصلی'!T:T,0))</f>
        <v>165000000</v>
      </c>
      <c r="K153" s="64">
        <v>21</v>
      </c>
    </row>
    <row r="154" spans="1:11" ht="28.5" customHeight="1">
      <c r="A154" s="60"/>
      <c r="B154" s="61"/>
      <c r="C154" s="78"/>
      <c r="D154" s="79">
        <v>22</v>
      </c>
      <c r="E154" s="109">
        <f>INDEX('اکسسوری حذف از لیست اصلی'!C:C,MATCH(K154,'اکسسوری حذف از لیست اصلی'!T:T,0))</f>
        <v>9901010023</v>
      </c>
      <c r="F154" s="109" t="str">
        <f>INDEX('اکسسوری حذف از لیست اصلی'!D:D,MATCH(K154,'اکسسوری حذف از لیست اصلی'!T:T,0))</f>
        <v>آباژور رومیزی سفالی خاکی TL-C023</v>
      </c>
      <c r="G154" s="110">
        <f>INDEX('اکسسوری حذف از لیست اصلی'!E:E,MATCH(K154,'اکسسوری حذف از لیست اصلی'!T:T,0))</f>
        <v>45</v>
      </c>
      <c r="H154" s="110">
        <f>INDEX('اکسسوری حذف از لیست اصلی'!F:F,MATCH(K154,'اکسسوری حذف از لیست اصلی'!T:T,0))</f>
        <v>45</v>
      </c>
      <c r="I154" s="110">
        <f>INDEX('اکسسوری حذف از لیست اصلی'!G:G,MATCH(K154,'اکسسوری حذف از لیست اصلی'!T:T,0))</f>
        <v>50</v>
      </c>
      <c r="J154" s="74">
        <f>INDEX('اکسسوری حذف از لیست اصلی'!J:J,MATCH(K154,'اکسسوری حذف از لیست اصلی'!T:T,0))</f>
        <v>165000000</v>
      </c>
      <c r="K154" s="64">
        <v>22</v>
      </c>
    </row>
    <row r="155" spans="1:11" ht="28.5" customHeight="1">
      <c r="A155" s="60"/>
      <c r="B155" s="61"/>
      <c r="D155" s="73">
        <v>23</v>
      </c>
      <c r="E155" s="109">
        <f>INDEX('اکسسوری حذف از لیست اصلی'!C:C,MATCH(K155,'اکسسوری حذف از لیست اصلی'!T:T,0))</f>
        <v>9901010024</v>
      </c>
      <c r="F155" s="109" t="str">
        <f>INDEX('اکسسوری حذف از لیست اصلی'!D:D,MATCH(K155,'اکسسوری حذف از لیست اصلی'!T:T,0))</f>
        <v>آباژور رومیزی سفالی فیلی TL-C024</v>
      </c>
      <c r="G155" s="110">
        <f>INDEX('اکسسوری حذف از لیست اصلی'!E:E,MATCH(K155,'اکسسوری حذف از لیست اصلی'!T:T,0))</f>
        <v>45</v>
      </c>
      <c r="H155" s="110">
        <f>INDEX('اکسسوری حذف از لیست اصلی'!F:F,MATCH(K155,'اکسسوری حذف از لیست اصلی'!T:T,0))</f>
        <v>45</v>
      </c>
      <c r="I155" s="110">
        <f>INDEX('اکسسوری حذف از لیست اصلی'!G:G,MATCH(K155,'اکسسوری حذف از لیست اصلی'!T:T,0))</f>
        <v>48</v>
      </c>
      <c r="J155" s="74">
        <f>INDEX('اکسسوری حذف از لیست اصلی'!J:J,MATCH(K155,'اکسسوری حذف از لیست اصلی'!T:T,0))</f>
        <v>126000000</v>
      </c>
      <c r="K155" s="64">
        <v>23</v>
      </c>
    </row>
    <row r="156" spans="1:11" ht="28.5" customHeight="1">
      <c r="A156" s="60"/>
      <c r="B156" s="61"/>
      <c r="D156" s="73">
        <v>24</v>
      </c>
      <c r="E156" s="109">
        <f>INDEX('اکسسوری حذف از لیست اصلی'!C:C,MATCH(K156,'اکسسوری حذف از لیست اصلی'!T:T,0))</f>
        <v>9901010025</v>
      </c>
      <c r="F156" s="109" t="str">
        <f>INDEX('اکسسوری حذف از لیست اصلی'!D:D,MATCH(K156,'اکسسوری حذف از لیست اصلی'!T:T,0))</f>
        <v>آباژور رومیزی سفالی طوسی TL-C025</v>
      </c>
      <c r="G156" s="110">
        <f>INDEX('اکسسوری حذف از لیست اصلی'!E:E,MATCH(K156,'اکسسوری حذف از لیست اصلی'!T:T,0))</f>
        <v>45</v>
      </c>
      <c r="H156" s="110">
        <f>INDEX('اکسسوری حذف از لیست اصلی'!F:F,MATCH(K156,'اکسسوری حذف از لیست اصلی'!T:T,0))</f>
        <v>45</v>
      </c>
      <c r="I156" s="110">
        <f>INDEX('اکسسوری حذف از لیست اصلی'!G:G,MATCH(K156,'اکسسوری حذف از لیست اصلی'!T:T,0))</f>
        <v>48</v>
      </c>
      <c r="J156" s="74">
        <f>INDEX('اکسسوری حذف از لیست اصلی'!J:J,MATCH(K156,'اکسسوری حذف از لیست اصلی'!T:T,0))</f>
        <v>126000000</v>
      </c>
      <c r="K156" s="64">
        <v>24</v>
      </c>
    </row>
    <row r="157" spans="1:11" ht="28.5" customHeight="1">
      <c r="A157" s="60"/>
      <c r="B157" s="61"/>
      <c r="D157" s="79">
        <v>25</v>
      </c>
      <c r="E157" s="109">
        <f>INDEX('اکسسوری حذف از لیست اصلی'!C:C,MATCH(K157,'اکسسوری حذف از لیست اصلی'!T:T,0))</f>
        <v>9901010026</v>
      </c>
      <c r="F157" s="109" t="str">
        <f>INDEX('اکسسوری حذف از لیست اصلی'!D:D,MATCH(K157,'اکسسوری حذف از لیست اصلی'!T:T,0))</f>
        <v>آباژور رومیزی سفالی قهوه ای TL-C026</v>
      </c>
      <c r="G157" s="110">
        <f>INDEX('اکسسوری حذف از لیست اصلی'!E:E,MATCH(K157,'اکسسوری حذف از لیست اصلی'!T:T,0))</f>
        <v>45</v>
      </c>
      <c r="H157" s="110">
        <f>INDEX('اکسسوری حذف از لیست اصلی'!F:F,MATCH(K157,'اکسسوری حذف از لیست اصلی'!T:T,0))</f>
        <v>45</v>
      </c>
      <c r="I157" s="110">
        <f>INDEX('اکسسوری حذف از لیست اصلی'!G:G,MATCH(K157,'اکسسوری حذف از لیست اصلی'!T:T,0))</f>
        <v>52</v>
      </c>
      <c r="J157" s="74">
        <f>INDEX('اکسسوری حذف از لیست اصلی'!J:J,MATCH(K157,'اکسسوری حذف از لیست اصلی'!T:T,0))</f>
        <v>126000000</v>
      </c>
      <c r="K157" s="64">
        <v>25</v>
      </c>
    </row>
    <row r="158" spans="1:11" ht="28.5" customHeight="1">
      <c r="A158" s="60"/>
      <c r="B158" s="61"/>
      <c r="D158" s="73">
        <v>26</v>
      </c>
      <c r="E158" s="109">
        <f>INDEX('اکسسوری حذف از لیست اصلی'!C:C,MATCH(K158,'اکسسوری حذف از لیست اصلی'!T:T,0))</f>
        <v>9901010027</v>
      </c>
      <c r="F158" s="109" t="str">
        <f>INDEX('اکسسوری حذف از لیست اصلی'!D:D,MATCH(K158,'اکسسوری حذف از لیست اصلی'!T:T,0))</f>
        <v>آباژور رومیزی سرامیکی آبی TL-C027</v>
      </c>
      <c r="G158" s="110" t="str">
        <f>INDEX('اکسسوری حذف از لیست اصلی'!E:E,MATCH(K158,'اکسسوری حذف از لیست اصلی'!T:T,0))</f>
        <v>-</v>
      </c>
      <c r="H158" s="110" t="str">
        <f>INDEX('اکسسوری حذف از لیست اصلی'!F:F,MATCH(K158,'اکسسوری حذف از لیست اصلی'!T:T,0))</f>
        <v>-</v>
      </c>
      <c r="I158" s="110" t="str">
        <f>INDEX('اکسسوری حذف از لیست اصلی'!G:G,MATCH(K158,'اکسسوری حذف از لیست اصلی'!T:T,0))</f>
        <v>-</v>
      </c>
      <c r="J158" s="74">
        <f>INDEX('اکسسوری حذف از لیست اصلی'!J:J,MATCH(K158,'اکسسوری حذف از لیست اصلی'!T:T,0))</f>
        <v>86000000</v>
      </c>
      <c r="K158" s="64">
        <v>26</v>
      </c>
    </row>
    <row r="159" spans="1:11" ht="28.5" customHeight="1">
      <c r="A159" s="60"/>
      <c r="B159" s="61"/>
      <c r="D159" s="73">
        <v>27</v>
      </c>
      <c r="E159" s="109">
        <f>INDEX('اکسسوری حذف از لیست اصلی'!C:C,MATCH(K159,'اکسسوری حذف از لیست اصلی'!T:T,0))</f>
        <v>9901010029</v>
      </c>
      <c r="F159" s="109" t="str">
        <f>INDEX('اکسسوری حذف از لیست اصلی'!D:D,MATCH(K159,'اکسسوری حذف از لیست اصلی'!T:T,0))</f>
        <v>آباژور رومیزی سرامیکی آبی TL-CR029</v>
      </c>
      <c r="G159" s="110">
        <f>INDEX('اکسسوری حذف از لیست اصلی'!E:E,MATCH(K159,'اکسسوری حذف از لیست اصلی'!T:T,0))</f>
        <v>22</v>
      </c>
      <c r="H159" s="110">
        <f>INDEX('اکسسوری حذف از لیست اصلی'!F:F,MATCH(K159,'اکسسوری حذف از لیست اصلی'!T:T,0))</f>
        <v>22</v>
      </c>
      <c r="I159" s="110">
        <f>INDEX('اکسسوری حذف از لیست اصلی'!G:G,MATCH(K159,'اکسسوری حذف از لیست اصلی'!T:T,0))</f>
        <v>59</v>
      </c>
      <c r="J159" s="74">
        <f>INDEX('اکسسوری حذف از لیست اصلی'!J:J,MATCH(K159,'اکسسوری حذف از لیست اصلی'!T:T,0))</f>
        <v>86000000</v>
      </c>
      <c r="K159" s="64">
        <v>27</v>
      </c>
    </row>
    <row r="160" spans="1:11" ht="28.5" customHeight="1">
      <c r="A160" s="60"/>
      <c r="B160" s="61"/>
      <c r="D160" s="79">
        <v>28</v>
      </c>
      <c r="E160" s="109">
        <f>INDEX('اکسسوری حذف از لیست اصلی'!C:C,MATCH(K160,'اکسسوری حذف از لیست اصلی'!T:T,0))</f>
        <v>9901010030</v>
      </c>
      <c r="F160" s="109" t="str">
        <f>INDEX('اکسسوری حذف از لیست اصلی'!D:D,MATCH(K160,'اکسسوری حذف از لیست اصلی'!T:T,0))</f>
        <v>آباژور رومیزی سنگی مشکی TL-S030</v>
      </c>
      <c r="G160" s="110">
        <f>INDEX('اکسسوری حذف از لیست اصلی'!E:E,MATCH(K160,'اکسسوری حذف از لیست اصلی'!T:T,0))</f>
        <v>35</v>
      </c>
      <c r="H160" s="110">
        <f>INDEX('اکسسوری حذف از لیست اصلی'!F:F,MATCH(K160,'اکسسوری حذف از لیست اصلی'!T:T,0))</f>
        <v>35</v>
      </c>
      <c r="I160" s="110">
        <f>INDEX('اکسسوری حذف از لیست اصلی'!G:G,MATCH(K160,'اکسسوری حذف از لیست اصلی'!T:T,0))</f>
        <v>39</v>
      </c>
      <c r="J160" s="74">
        <f>INDEX('اکسسوری حذف از لیست اصلی'!J:J,MATCH(K160,'اکسسوری حذف از لیست اصلی'!T:T,0))</f>
        <v>123000000</v>
      </c>
      <c r="K160" s="64">
        <v>28</v>
      </c>
    </row>
    <row r="161" spans="1:11" ht="28.5" customHeight="1">
      <c r="A161" s="60"/>
      <c r="B161" s="61"/>
      <c r="D161" s="73">
        <v>29</v>
      </c>
      <c r="E161" s="109">
        <f>INDEX('اکسسوری حذف از لیست اصلی'!C:C,MATCH(K161,'اکسسوری حذف از لیست اصلی'!T:T,0))</f>
        <v>9901010031</v>
      </c>
      <c r="F161" s="109" t="str">
        <f>INDEX('اکسسوری حذف از لیست اصلی'!D:D,MATCH(K161,'اکسسوری حذف از لیست اصلی'!T:T,0))</f>
        <v>آباژور رومیزی استیل نقره ای TL-ST031</v>
      </c>
      <c r="G161" s="110">
        <f>INDEX('اکسسوری حذف از لیست اصلی'!E:E,MATCH(K161,'اکسسوری حذف از لیست اصلی'!T:T,0))</f>
        <v>42</v>
      </c>
      <c r="H161" s="110">
        <f>INDEX('اکسسوری حذف از لیست اصلی'!F:F,MATCH(K161,'اکسسوری حذف از لیست اصلی'!T:T,0))</f>
        <v>26</v>
      </c>
      <c r="I161" s="110">
        <f>INDEX('اکسسوری حذف از لیست اصلی'!G:G,MATCH(K161,'اکسسوری حذف از لیست اصلی'!T:T,0))</f>
        <v>67</v>
      </c>
      <c r="J161" s="74">
        <f>INDEX('اکسسوری حذف از لیست اصلی'!J:J,MATCH(K161,'اکسسوری حذف از لیست اصلی'!T:T,0))</f>
        <v>99000000</v>
      </c>
      <c r="K161" s="64">
        <v>29</v>
      </c>
    </row>
    <row r="162" spans="1:11" ht="28.5" customHeight="1">
      <c r="A162" s="60"/>
      <c r="B162" s="61"/>
      <c r="D162" s="73">
        <v>30</v>
      </c>
      <c r="E162" s="109">
        <f>INDEX('اکسسوری حذف از لیست اصلی'!C:C,MATCH(K162,'اکسسوری حذف از لیست اصلی'!T:T,0))</f>
        <v>9901010032</v>
      </c>
      <c r="F162" s="109" t="str">
        <f>INDEX('اکسسوری حذف از لیست اصلی'!D:D,MATCH(K162,'اکسسوری حذف از لیست اصلی'!T:T,0))</f>
        <v>آباژور رومیزی استیل طلاییTL-ST032</v>
      </c>
      <c r="G162" s="110">
        <f>INDEX('اکسسوری حذف از لیست اصلی'!E:E,MATCH(K162,'اکسسوری حذف از لیست اصلی'!T:T,0))</f>
        <v>40</v>
      </c>
      <c r="H162" s="110">
        <f>INDEX('اکسسوری حذف از لیست اصلی'!F:F,MATCH(K162,'اکسسوری حذف از لیست اصلی'!T:T,0))</f>
        <v>40</v>
      </c>
      <c r="I162" s="110">
        <f>INDEX('اکسسوری حذف از لیست اصلی'!G:G,MATCH(K162,'اکسسوری حذف از لیست اصلی'!T:T,0))</f>
        <v>75</v>
      </c>
      <c r="J162" s="74">
        <f>INDEX('اکسسوری حذف از لیست اصلی'!J:J,MATCH(K162,'اکسسوری حذف از لیست اصلی'!T:T,0))</f>
        <v>173000000</v>
      </c>
      <c r="K162" s="64">
        <v>30</v>
      </c>
    </row>
    <row r="163" spans="1:11" ht="28.5" customHeight="1">
      <c r="A163" s="60"/>
      <c r="B163" s="61"/>
      <c r="D163" s="79">
        <v>31</v>
      </c>
      <c r="E163" s="109">
        <f>INDEX('اکسسوری حذف از لیست اصلی'!C:C,MATCH(K163,'اکسسوری حذف از لیست اصلی'!T:T,0))</f>
        <v>9901010075</v>
      </c>
      <c r="F163" s="109" t="str">
        <f>INDEX('اکسسوری حذف از لیست اصلی'!D:D,MATCH(K163,'اکسسوری حذف از لیست اصلی'!T:T,0))</f>
        <v>آباژور رومیزی چوبی خودرنگ TL-W075</v>
      </c>
      <c r="G163" s="110">
        <f>INDEX('اکسسوری حذف از لیست اصلی'!E:E,MATCH(K163,'اکسسوری حذف از لیست اصلی'!T:T,0))</f>
        <v>30</v>
      </c>
      <c r="H163" s="110">
        <f>INDEX('اکسسوری حذف از لیست اصلی'!F:F,MATCH(K163,'اکسسوری حذف از لیست اصلی'!T:T,0))</f>
        <v>20</v>
      </c>
      <c r="I163" s="110">
        <f>INDEX('اکسسوری حذف از لیست اصلی'!G:G,MATCH(K163,'اکسسوری حذف از لیست اصلی'!T:T,0))</f>
        <v>60</v>
      </c>
      <c r="J163" s="74">
        <f>INDEX('اکسسوری حذف از لیست اصلی'!J:J,MATCH(K163,'اکسسوری حذف از لیست اصلی'!T:T,0))</f>
        <v>142000000</v>
      </c>
      <c r="K163" s="64">
        <v>31</v>
      </c>
    </row>
    <row r="164" spans="1:11" ht="28.5" customHeight="1">
      <c r="A164" s="60"/>
      <c r="B164" s="61"/>
      <c r="D164" s="73">
        <v>32</v>
      </c>
      <c r="E164" s="109">
        <f>INDEX('اکسسوری حذف از لیست اصلی'!C:C,MATCH(K164,'اکسسوری حذف از لیست اصلی'!T:T,0))</f>
        <v>9901010076</v>
      </c>
      <c r="F164" s="109" t="str">
        <f>INDEX('اکسسوری حذف از لیست اصلی'!D:D,MATCH(K164,'اکسسوری حذف از لیست اصلی'!T:T,0))</f>
        <v>آباژور رومیزی چوبی خودرنگ TL-W076</v>
      </c>
      <c r="G164" s="110">
        <f>INDEX('اکسسوری حذف از لیست اصلی'!E:E,MATCH(K164,'اکسسوری حذف از لیست اصلی'!T:T,0))</f>
        <v>35</v>
      </c>
      <c r="H164" s="110">
        <f>INDEX('اکسسوری حذف از لیست اصلی'!F:F,MATCH(K164,'اکسسوری حذف از لیست اصلی'!T:T,0))</f>
        <v>15</v>
      </c>
      <c r="I164" s="110">
        <f>INDEX('اکسسوری حذف از لیست اصلی'!G:G,MATCH(K164,'اکسسوری حذف از لیست اصلی'!T:T,0))</f>
        <v>52</v>
      </c>
      <c r="J164" s="74">
        <f>INDEX('اکسسوری حذف از لیست اصلی'!J:J,MATCH(K164,'اکسسوری حذف از لیست اصلی'!T:T,0))</f>
        <v>142000000</v>
      </c>
      <c r="K164" s="64">
        <v>32</v>
      </c>
    </row>
    <row r="165" spans="1:11" ht="28.5" customHeight="1">
      <c r="A165" s="60"/>
      <c r="B165" s="61"/>
      <c r="D165" s="73">
        <v>33</v>
      </c>
      <c r="E165" s="109">
        <f>INDEX('اکسسوری حذف از لیست اصلی'!C:C,MATCH(K165,'اکسسوری حذف از لیست اصلی'!T:T,0))</f>
        <v>9901010077</v>
      </c>
      <c r="F165" s="109" t="str">
        <f>INDEX('اکسسوری حذف از لیست اصلی'!D:D,MATCH(K165,'اکسسوری حذف از لیست اصلی'!T:T,0))</f>
        <v>آباژور رومیزی چوبی خودرنگ TL-W077</v>
      </c>
      <c r="G165" s="110">
        <f>INDEX('اکسسوری حذف از لیست اصلی'!E:E,MATCH(K165,'اکسسوری حذف از لیست اصلی'!T:T,0))</f>
        <v>35</v>
      </c>
      <c r="H165" s="110">
        <f>INDEX('اکسسوری حذف از لیست اصلی'!F:F,MATCH(K165,'اکسسوری حذف از لیست اصلی'!T:T,0))</f>
        <v>20</v>
      </c>
      <c r="I165" s="110">
        <f>INDEX('اکسسوری حذف از لیست اصلی'!G:G,MATCH(K165,'اکسسوری حذف از لیست اصلی'!T:T,0))</f>
        <v>59</v>
      </c>
      <c r="J165" s="74">
        <f>INDEX('اکسسوری حذف از لیست اصلی'!J:J,MATCH(K165,'اکسسوری حذف از لیست اصلی'!T:T,0))</f>
        <v>162000000</v>
      </c>
      <c r="K165" s="64">
        <v>33</v>
      </c>
    </row>
    <row r="166" spans="1:11" ht="28.5" customHeight="1">
      <c r="A166" s="60"/>
      <c r="B166" s="61"/>
      <c r="D166" s="79">
        <v>34</v>
      </c>
      <c r="E166" s="109">
        <f>INDEX('اکسسوری حذف از لیست اصلی'!C:C,MATCH(K166,'اکسسوری حذف از لیست اصلی'!T:T,0))</f>
        <v>9901010084</v>
      </c>
      <c r="F166" s="109" t="str">
        <f>INDEX('اکسسوری حذف از لیست اصلی'!D:D,MATCH(K166,'اکسسوری حذف از لیست اصلی'!T:T,0))</f>
        <v>آباژور رومیزی چوبی خودرنگ TL-W084</v>
      </c>
      <c r="G166" s="110">
        <f>INDEX('اکسسوری حذف از لیست اصلی'!E:E,MATCH(K166,'اکسسوری حذف از لیست اصلی'!T:T,0))</f>
        <v>30</v>
      </c>
      <c r="H166" s="110">
        <f>INDEX('اکسسوری حذف از لیست اصلی'!F:F,MATCH(K166,'اکسسوری حذف از لیست اصلی'!T:T,0))</f>
        <v>20</v>
      </c>
      <c r="I166" s="110">
        <f>INDEX('اکسسوری حذف از لیست اصلی'!G:G,MATCH(K166,'اکسسوری حذف از لیست اصلی'!T:T,0))</f>
        <v>60</v>
      </c>
      <c r="J166" s="74">
        <f>INDEX('اکسسوری حذف از لیست اصلی'!J:J,MATCH(K166,'اکسسوری حذف از لیست اصلی'!T:T,0))</f>
        <v>141000000</v>
      </c>
      <c r="K166" s="64">
        <v>34</v>
      </c>
    </row>
    <row r="167" spans="1:11" ht="28.5" customHeight="1">
      <c r="A167" s="60"/>
      <c r="B167" s="61"/>
      <c r="D167" s="73">
        <v>35</v>
      </c>
      <c r="E167" s="109">
        <f>INDEX('اکسسوری حذف از لیست اصلی'!C:C,MATCH(K167,'اکسسوری حذف از لیست اصلی'!T:T,0))</f>
        <v>9901010085</v>
      </c>
      <c r="F167" s="109" t="str">
        <f>INDEX('اکسسوری حذف از لیست اصلی'!D:D,MATCH(K167,'اکسسوری حذف از لیست اصلی'!T:T,0))</f>
        <v>آباژور رومیزی چوبی خودرنگ TL-W085</v>
      </c>
      <c r="G167" s="110">
        <f>INDEX('اکسسوری حذف از لیست اصلی'!E:E,MATCH(K167,'اکسسوری حذف از لیست اصلی'!T:T,0))</f>
        <v>35</v>
      </c>
      <c r="H167" s="110">
        <f>INDEX('اکسسوری حذف از لیست اصلی'!F:F,MATCH(K167,'اکسسوری حذف از لیست اصلی'!T:T,0))</f>
        <v>15</v>
      </c>
      <c r="I167" s="110">
        <f>INDEX('اکسسوری حذف از لیست اصلی'!G:G,MATCH(K167,'اکسسوری حذف از لیست اصلی'!T:T,0))</f>
        <v>52</v>
      </c>
      <c r="J167" s="74">
        <f>INDEX('اکسسوری حذف از لیست اصلی'!J:J,MATCH(K167,'اکسسوری حذف از لیست اصلی'!T:T,0))</f>
        <v>141000000</v>
      </c>
      <c r="K167" s="64">
        <v>35</v>
      </c>
    </row>
    <row r="168" spans="1:11" ht="28.5" customHeight="1">
      <c r="A168" s="60"/>
      <c r="B168" s="61"/>
      <c r="D168" s="73">
        <v>36</v>
      </c>
      <c r="E168" s="109">
        <f>INDEX('اکسسوری حذف از لیست اصلی'!C:C,MATCH(K168,'اکسسوری حذف از لیست اصلی'!T:T,0))</f>
        <v>9901010086</v>
      </c>
      <c r="F168" s="109" t="str">
        <f>INDEX('اکسسوری حذف از لیست اصلی'!D:D,MATCH(K168,'اکسسوری حذف از لیست اصلی'!T:T,0))</f>
        <v>آباژور رومیزی چوبی خودرنگ TL-W086</v>
      </c>
      <c r="G168" s="110">
        <f>INDEX('اکسسوری حذف از لیست اصلی'!E:E,MATCH(K168,'اکسسوری حذف از لیست اصلی'!T:T,0))</f>
        <v>35</v>
      </c>
      <c r="H168" s="110">
        <f>INDEX('اکسسوری حذف از لیست اصلی'!F:F,MATCH(K168,'اکسسوری حذف از لیست اصلی'!T:T,0))</f>
        <v>20</v>
      </c>
      <c r="I168" s="110">
        <f>INDEX('اکسسوری حذف از لیست اصلی'!G:G,MATCH(K168,'اکسسوری حذف از لیست اصلی'!T:T,0))</f>
        <v>59</v>
      </c>
      <c r="J168" s="74">
        <f>INDEX('اکسسوری حذف از لیست اصلی'!J:J,MATCH(K168,'اکسسوری حذف از لیست اصلی'!T:T,0))</f>
        <v>162000000</v>
      </c>
      <c r="K168" s="64">
        <v>36</v>
      </c>
    </row>
    <row r="169" spans="1:11" ht="28.5" customHeight="1">
      <c r="A169" s="60"/>
      <c r="B169" s="61"/>
      <c r="D169" s="79">
        <v>37</v>
      </c>
      <c r="E169" s="109">
        <f>INDEX('اکسسوری حذف از لیست اصلی'!C:C,MATCH(K169,'اکسسوری حذف از لیست اصلی'!T:T,0))</f>
        <v>9901010087</v>
      </c>
      <c r="F169" s="109" t="str">
        <f>INDEX('اکسسوری حذف از لیست اصلی'!D:D,MATCH(K169,'اکسسوری حذف از لیست اصلی'!T:T,0))</f>
        <v>آباژور رومیزی چوبی خودرنگ TL-W087</v>
      </c>
      <c r="G169" s="110">
        <f>INDEX('اکسسوری حذف از لیست اصلی'!E:E,MATCH(K169,'اکسسوری حذف از لیست اصلی'!T:T,0))</f>
        <v>30</v>
      </c>
      <c r="H169" s="110">
        <f>INDEX('اکسسوری حذف از لیست اصلی'!F:F,MATCH(K169,'اکسسوری حذف از لیست اصلی'!T:T,0))</f>
        <v>20</v>
      </c>
      <c r="I169" s="110">
        <f>INDEX('اکسسوری حذف از لیست اصلی'!G:G,MATCH(K169,'اکسسوری حذف از لیست اصلی'!T:T,0))</f>
        <v>60</v>
      </c>
      <c r="J169" s="74">
        <f>INDEX('اکسسوری حذف از لیست اصلی'!J:J,MATCH(K169,'اکسسوری حذف از لیست اصلی'!T:T,0))</f>
        <v>141000000</v>
      </c>
      <c r="K169" s="64">
        <v>37</v>
      </c>
    </row>
    <row r="170" spans="1:11" ht="28.5" customHeight="1">
      <c r="A170" s="60"/>
      <c r="B170" s="61"/>
      <c r="D170" s="73">
        <v>38</v>
      </c>
      <c r="E170" s="109">
        <f>INDEX('اکسسوری حذف از لیست اصلی'!C:C,MATCH(K170,'اکسسوری حذف از لیست اصلی'!T:T,0))</f>
        <v>9901010088</v>
      </c>
      <c r="F170" s="109" t="str">
        <f>INDEX('اکسسوری حذف از لیست اصلی'!D:D,MATCH(K170,'اکسسوری حذف از لیست اصلی'!T:T,0))</f>
        <v>آباژور رومیزی چوبی خودرنگ TL-W088</v>
      </c>
      <c r="G170" s="110">
        <f>INDEX('اکسسوری حذف از لیست اصلی'!E:E,MATCH(K170,'اکسسوری حذف از لیست اصلی'!T:T,0))</f>
        <v>35</v>
      </c>
      <c r="H170" s="110">
        <f>INDEX('اکسسوری حذف از لیست اصلی'!F:F,MATCH(K170,'اکسسوری حذف از لیست اصلی'!T:T,0))</f>
        <v>15</v>
      </c>
      <c r="I170" s="110">
        <f>INDEX('اکسسوری حذف از لیست اصلی'!G:G,MATCH(K170,'اکسسوری حذف از لیست اصلی'!T:T,0))</f>
        <v>52</v>
      </c>
      <c r="J170" s="74">
        <f>INDEX('اکسسوری حذف از لیست اصلی'!J:J,MATCH(K170,'اکسسوری حذف از لیست اصلی'!T:T,0))</f>
        <v>141000000</v>
      </c>
      <c r="K170" s="64">
        <v>38</v>
      </c>
    </row>
    <row r="171" spans="1:11" ht="28.5" customHeight="1">
      <c r="A171" s="60"/>
      <c r="B171" s="61"/>
      <c r="D171" s="73">
        <v>39</v>
      </c>
      <c r="E171" s="109">
        <f>INDEX('اکسسوری حذف از لیست اصلی'!C:C,MATCH(K171,'اکسسوری حذف از لیست اصلی'!T:T,0))</f>
        <v>9901010089</v>
      </c>
      <c r="F171" s="109" t="str">
        <f>INDEX('اکسسوری حذف از لیست اصلی'!D:D,MATCH(K171,'اکسسوری حذف از لیست اصلی'!T:T,0))</f>
        <v>آباژور رومیزی چوبی خودرنگ TL-W089</v>
      </c>
      <c r="G171" s="110">
        <f>INDEX('اکسسوری حذف از لیست اصلی'!E:E,MATCH(K171,'اکسسوری حذف از لیست اصلی'!T:T,0))</f>
        <v>35</v>
      </c>
      <c r="H171" s="110">
        <f>INDEX('اکسسوری حذف از لیست اصلی'!F:F,MATCH(K171,'اکسسوری حذف از لیست اصلی'!T:T,0))</f>
        <v>20</v>
      </c>
      <c r="I171" s="110">
        <f>INDEX('اکسسوری حذف از لیست اصلی'!G:G,MATCH(K171,'اکسسوری حذف از لیست اصلی'!T:T,0))</f>
        <v>59</v>
      </c>
      <c r="J171" s="74">
        <f>INDEX('اکسسوری حذف از لیست اصلی'!J:J,MATCH(K171,'اکسسوری حذف از لیست اصلی'!T:T,0))</f>
        <v>162000000</v>
      </c>
      <c r="K171" s="64">
        <v>39</v>
      </c>
    </row>
    <row r="172" spans="1:11" ht="28.5" customHeight="1">
      <c r="A172" s="60"/>
      <c r="B172" s="61"/>
      <c r="D172" s="79">
        <v>40</v>
      </c>
      <c r="E172" s="109">
        <f>INDEX('اکسسوری حذف از لیست اصلی'!C:C,MATCH(K172,'اکسسوری حذف از لیست اصلی'!T:T,0))</f>
        <v>9901010090</v>
      </c>
      <c r="F172" s="109" t="str">
        <f>INDEX('اکسسوری حذف از لیست اصلی'!D:D,MATCH(K172,'اکسسوری حذف از لیست اصلی'!T:T,0))</f>
        <v>آباژور رومیزی چوبی خودرنگ TL-W090</v>
      </c>
      <c r="G172" s="110">
        <f>INDEX('اکسسوری حذف از لیست اصلی'!E:E,MATCH(K172,'اکسسوری حذف از لیست اصلی'!T:T,0))</f>
        <v>30</v>
      </c>
      <c r="H172" s="110">
        <f>INDEX('اکسسوری حذف از لیست اصلی'!F:F,MATCH(K172,'اکسسوری حذف از لیست اصلی'!T:T,0))</f>
        <v>20</v>
      </c>
      <c r="I172" s="110">
        <f>INDEX('اکسسوری حذف از لیست اصلی'!G:G,MATCH(K172,'اکسسوری حذف از لیست اصلی'!T:T,0))</f>
        <v>60</v>
      </c>
      <c r="J172" s="74">
        <f>INDEX('اکسسوری حذف از لیست اصلی'!J:J,MATCH(K172,'اکسسوری حذف از لیست اصلی'!T:T,0))</f>
        <v>141000000</v>
      </c>
      <c r="K172" s="64">
        <v>40</v>
      </c>
    </row>
    <row r="173" spans="1:11" ht="22.5" customHeight="1">
      <c r="A173" s="60"/>
      <c r="B173" s="61"/>
      <c r="J173" s="28">
        <v>4</v>
      </c>
    </row>
    <row r="174" spans="1:11">
      <c r="A174" s="70"/>
      <c r="B174" s="71"/>
      <c r="C174" s="183"/>
      <c r="D174" s="184"/>
      <c r="E174" s="184"/>
      <c r="F174" s="184"/>
      <c r="G174" s="184"/>
      <c r="H174" s="184"/>
      <c r="I174" s="184"/>
      <c r="J174" s="184"/>
    </row>
    <row r="175" spans="1:11">
      <c r="A175" s="70"/>
      <c r="B175" s="71"/>
      <c r="C175" s="183"/>
      <c r="D175" s="184"/>
      <c r="E175" s="184"/>
      <c r="F175" s="184"/>
      <c r="G175" s="184"/>
      <c r="H175" s="184"/>
      <c r="I175" s="184"/>
      <c r="J175" s="184"/>
    </row>
    <row r="176" spans="1:11" ht="27.75">
      <c r="A176" s="70"/>
      <c r="B176" s="71"/>
      <c r="C176" s="72"/>
      <c r="D176" s="67" t="s">
        <v>1140</v>
      </c>
      <c r="J176" s="68" t="str">
        <f>$N$1</f>
        <v>1405/02/23</v>
      </c>
    </row>
    <row r="177" spans="1:11" ht="36">
      <c r="A177" s="70"/>
      <c r="B177" s="71"/>
      <c r="C177" s="77"/>
      <c r="D177" s="75" t="s">
        <v>0</v>
      </c>
      <c r="E177" s="69" t="s">
        <v>1</v>
      </c>
      <c r="F177" s="107" t="s">
        <v>448</v>
      </c>
      <c r="G177" s="108" t="s">
        <v>1141</v>
      </c>
      <c r="H177" s="108" t="s">
        <v>1142</v>
      </c>
      <c r="I177" s="108" t="s">
        <v>1143</v>
      </c>
      <c r="J177" s="68" t="s">
        <v>251</v>
      </c>
    </row>
    <row r="178" spans="1:11" ht="28.5" customHeight="1">
      <c r="A178" s="60"/>
      <c r="B178" s="61"/>
      <c r="D178" s="73">
        <v>41</v>
      </c>
      <c r="E178" s="109">
        <f>INDEX('اکسسوری حذف از لیست اصلی'!C:C,MATCH(K178,'اکسسوری حذف از لیست اصلی'!T:T,0))</f>
        <v>9901010091</v>
      </c>
      <c r="F178" s="109" t="str">
        <f>INDEX('اکسسوری حذف از لیست اصلی'!D:D,MATCH(K178,'اکسسوری حذف از لیست اصلی'!T:T,0))</f>
        <v>آباژور رومیزی چوبی خودرنگ TL-W091</v>
      </c>
      <c r="G178" s="110">
        <f>INDEX('اکسسوری حذف از لیست اصلی'!E:E,MATCH(K178,'اکسسوری حذف از لیست اصلی'!T:T,0))</f>
        <v>35</v>
      </c>
      <c r="H178" s="110">
        <f>INDEX('اکسسوری حذف از لیست اصلی'!F:F,MATCH(K178,'اکسسوری حذف از لیست اصلی'!T:T,0))</f>
        <v>15</v>
      </c>
      <c r="I178" s="110">
        <f>INDEX('اکسسوری حذف از لیست اصلی'!G:G,MATCH(K178,'اکسسوری حذف از لیست اصلی'!T:T,0))</f>
        <v>52</v>
      </c>
      <c r="J178" s="74">
        <f>INDEX('اکسسوری حذف از لیست اصلی'!J:J,MATCH(K178,'اکسسوری حذف از لیست اصلی'!T:T,0))</f>
        <v>141000000</v>
      </c>
      <c r="K178" s="64">
        <v>41</v>
      </c>
    </row>
    <row r="179" spans="1:11" ht="28.5" customHeight="1">
      <c r="A179" s="60"/>
      <c r="B179" s="61"/>
      <c r="C179" s="78"/>
      <c r="D179" s="79">
        <v>42</v>
      </c>
      <c r="E179" s="109">
        <f>INDEX('اکسسوری حذف از لیست اصلی'!C:C,MATCH(K179,'اکسسوری حذف از لیست اصلی'!T:T,0))</f>
        <v>9901010092</v>
      </c>
      <c r="F179" s="109" t="str">
        <f>INDEX('اکسسوری حذف از لیست اصلی'!D:D,MATCH(K179,'اکسسوری حذف از لیست اصلی'!T:T,0))</f>
        <v>آباژور رومیزی چوبی خودرنگ TL-W092</v>
      </c>
      <c r="G179" s="110">
        <f>INDEX('اکسسوری حذف از لیست اصلی'!E:E,MATCH(K179,'اکسسوری حذف از لیست اصلی'!T:T,0))</f>
        <v>35</v>
      </c>
      <c r="H179" s="110">
        <f>INDEX('اکسسوری حذف از لیست اصلی'!F:F,MATCH(K179,'اکسسوری حذف از لیست اصلی'!T:T,0))</f>
        <v>20</v>
      </c>
      <c r="I179" s="110">
        <f>INDEX('اکسسوری حذف از لیست اصلی'!G:G,MATCH(K179,'اکسسوری حذف از لیست اصلی'!T:T,0))</f>
        <v>59</v>
      </c>
      <c r="J179" s="74">
        <f>INDEX('اکسسوری حذف از لیست اصلی'!J:J,MATCH(K179,'اکسسوری حذف از لیست اصلی'!T:T,0))</f>
        <v>162000000</v>
      </c>
      <c r="K179" s="64">
        <v>42</v>
      </c>
    </row>
    <row r="180" spans="1:11" ht="28.5" customHeight="1">
      <c r="A180" s="60"/>
      <c r="B180" s="61"/>
      <c r="D180" s="73">
        <v>43</v>
      </c>
      <c r="E180" s="109">
        <f>INDEX('اکسسوری حذف از لیست اصلی'!C:C,MATCH(K180,'اکسسوری حذف از لیست اصلی'!T:T,0))</f>
        <v>9901010093</v>
      </c>
      <c r="F180" s="109" t="str">
        <f>INDEX('اکسسوری حذف از لیست اصلی'!D:D,MATCH(K180,'اکسسوری حذف از لیست اصلی'!T:T,0))</f>
        <v>آباژور رومیزی سرامیکی مشکیTL-CR093</v>
      </c>
      <c r="G180" s="110">
        <f>INDEX('اکسسوری حذف از لیست اصلی'!E:E,MATCH(K180,'اکسسوری حذف از لیست اصلی'!T:T,0))</f>
        <v>40</v>
      </c>
      <c r="H180" s="110">
        <f>INDEX('اکسسوری حذف از لیست اصلی'!F:F,MATCH(K180,'اکسسوری حذف از لیست اصلی'!T:T,0))</f>
        <v>40</v>
      </c>
      <c r="I180" s="110">
        <f>INDEX('اکسسوری حذف از لیست اصلی'!G:G,MATCH(K180,'اکسسوری حذف از لیست اصلی'!T:T,0))</f>
        <v>67</v>
      </c>
      <c r="J180" s="74">
        <f>INDEX('اکسسوری حذف از لیست اصلی'!J:J,MATCH(K180,'اکسسوری حذف از لیست اصلی'!T:T,0))</f>
        <v>132000000</v>
      </c>
      <c r="K180" s="64">
        <v>43</v>
      </c>
    </row>
    <row r="181" spans="1:11" ht="28.5" customHeight="1">
      <c r="A181" s="60"/>
      <c r="B181" s="61"/>
      <c r="D181" s="73">
        <v>44</v>
      </c>
      <c r="E181" s="109">
        <f>INDEX('اکسسوری حذف از لیست اصلی'!C:C,MATCH(K181,'اکسسوری حذف از لیست اصلی'!T:T,0))</f>
        <v>9901010094</v>
      </c>
      <c r="F181" s="109" t="str">
        <f>INDEX('اکسسوری حذف از لیست اصلی'!D:D,MATCH(K181,'اکسسوری حذف از لیست اصلی'!T:T,0))</f>
        <v>آباژور رومیزی سرامیکی سفید TL-CR094</v>
      </c>
      <c r="G181" s="110">
        <f>INDEX('اکسسوری حذف از لیست اصلی'!E:E,MATCH(K181,'اکسسوری حذف از لیست اصلی'!T:T,0))</f>
        <v>40</v>
      </c>
      <c r="H181" s="110">
        <f>INDEX('اکسسوری حذف از لیست اصلی'!F:F,MATCH(K181,'اکسسوری حذف از لیست اصلی'!T:T,0))</f>
        <v>40</v>
      </c>
      <c r="I181" s="110">
        <f>INDEX('اکسسوری حذف از لیست اصلی'!G:G,MATCH(K181,'اکسسوری حذف از لیست اصلی'!T:T,0))</f>
        <v>62</v>
      </c>
      <c r="J181" s="74">
        <f>INDEX('اکسسوری حذف از لیست اصلی'!J:J,MATCH(K181,'اکسسوری حذف از لیست اصلی'!T:T,0))</f>
        <v>132000000</v>
      </c>
      <c r="K181" s="64">
        <v>44</v>
      </c>
    </row>
    <row r="182" spans="1:11" ht="28.5" customHeight="1">
      <c r="A182" s="60"/>
      <c r="B182" s="61"/>
      <c r="D182" s="79">
        <v>45</v>
      </c>
      <c r="E182" s="109">
        <f>INDEX('اکسسوری حذف از لیست اصلی'!C:C,MATCH(K182,'اکسسوری حذف از لیست اصلی'!T:T,0))</f>
        <v>9901010095</v>
      </c>
      <c r="F182" s="109" t="str">
        <f>INDEX('اکسسوری حذف از لیست اصلی'!D:D,MATCH(K182,'اکسسوری حذف از لیست اصلی'!T:T,0))</f>
        <v>آباژور رومیزی سفالی سفید TL-C095</v>
      </c>
      <c r="G182" s="110">
        <f>INDEX('اکسسوری حذف از لیست اصلی'!E:E,MATCH(K182,'اکسسوری حذف از لیست اصلی'!T:T,0))</f>
        <v>22</v>
      </c>
      <c r="H182" s="110">
        <f>INDEX('اکسسوری حذف از لیست اصلی'!F:F,MATCH(K182,'اکسسوری حذف از لیست اصلی'!T:T,0))</f>
        <v>22</v>
      </c>
      <c r="I182" s="110">
        <f>INDEX('اکسسوری حذف از لیست اصلی'!G:G,MATCH(K182,'اکسسوری حذف از لیست اصلی'!T:T,0))</f>
        <v>42</v>
      </c>
      <c r="J182" s="74">
        <f>INDEX('اکسسوری حذف از لیست اصلی'!J:J,MATCH(K182,'اکسسوری حذف از لیست اصلی'!T:T,0))</f>
        <v>86000000</v>
      </c>
      <c r="K182" s="64">
        <v>45</v>
      </c>
    </row>
    <row r="183" spans="1:11" ht="28.5" customHeight="1">
      <c r="A183" s="60"/>
      <c r="B183" s="61"/>
      <c r="D183" s="73">
        <v>46</v>
      </c>
      <c r="E183" s="109">
        <f>INDEX('اکسسوری حذف از لیست اصلی'!C:C,MATCH(K183,'اکسسوری حذف از لیست اصلی'!T:T,0))</f>
        <v>9901010096</v>
      </c>
      <c r="F183" s="109" t="str">
        <f>INDEX('اکسسوری حذف از لیست اصلی'!D:D,MATCH(K183,'اکسسوری حذف از لیست اصلی'!T:T,0))</f>
        <v>آباژور رومیزی سفالی سفید TL-C096</v>
      </c>
      <c r="G183" s="110">
        <f>INDEX('اکسسوری حذف از لیست اصلی'!E:E,MATCH(K183,'اکسسوری حذف از لیست اصلی'!T:T,0))</f>
        <v>25</v>
      </c>
      <c r="H183" s="110">
        <f>INDEX('اکسسوری حذف از لیست اصلی'!F:F,MATCH(K183,'اکسسوری حذف از لیست اصلی'!T:T,0))</f>
        <v>25</v>
      </c>
      <c r="I183" s="110">
        <f>INDEX('اکسسوری حذف از لیست اصلی'!G:G,MATCH(K183,'اکسسوری حذف از لیست اصلی'!T:T,0))</f>
        <v>51</v>
      </c>
      <c r="J183" s="74">
        <f>INDEX('اکسسوری حذف از لیست اصلی'!J:J,MATCH(K183,'اکسسوری حذف از لیست اصلی'!T:T,0))</f>
        <v>97000000</v>
      </c>
      <c r="K183" s="64">
        <v>46</v>
      </c>
    </row>
    <row r="184" spans="1:11" ht="28.5" customHeight="1">
      <c r="A184" s="60"/>
      <c r="B184" s="61"/>
      <c r="D184" s="73">
        <v>47</v>
      </c>
      <c r="E184" s="109">
        <f>INDEX('اکسسوری حذف از لیست اصلی'!C:C,MATCH(K184,'اکسسوری حذف از لیست اصلی'!T:T,0))</f>
        <v>9901010097</v>
      </c>
      <c r="F184" s="109" t="str">
        <f>INDEX('اکسسوری حذف از لیست اصلی'!D:D,MATCH(K184,'اکسسوری حذف از لیست اصلی'!T:T,0))</f>
        <v>آباژور رومیزی سفالی سفید TL-C097</v>
      </c>
      <c r="G184" s="110">
        <f>INDEX('اکسسوری حذف از لیست اصلی'!E:E,MATCH(K184,'اکسسوری حذف از لیست اصلی'!T:T,0))</f>
        <v>35</v>
      </c>
      <c r="H184" s="110">
        <f>INDEX('اکسسوری حذف از لیست اصلی'!F:F,MATCH(K184,'اکسسوری حذف از لیست اصلی'!T:T,0))</f>
        <v>35</v>
      </c>
      <c r="I184" s="110">
        <f>INDEX('اکسسوری حذف از لیست اصلی'!G:G,MATCH(K184,'اکسسوری حذف از لیست اصلی'!T:T,0))</f>
        <v>75</v>
      </c>
      <c r="J184" s="74">
        <f>INDEX('اکسسوری حذف از لیست اصلی'!J:J,MATCH(K184,'اکسسوری حذف از لیست اصلی'!T:T,0))</f>
        <v>128000000</v>
      </c>
      <c r="K184" s="64">
        <v>47</v>
      </c>
    </row>
    <row r="185" spans="1:11" ht="28.5" customHeight="1">
      <c r="A185" s="60"/>
      <c r="B185" s="61"/>
      <c r="D185" s="79">
        <v>48</v>
      </c>
      <c r="E185" s="109">
        <f>INDEX('اکسسوری حذف از لیست اصلی'!C:C,MATCH(K185,'اکسسوری حذف از لیست اصلی'!T:T,0))</f>
        <v>9901010098</v>
      </c>
      <c r="F185" s="109" t="str">
        <f>INDEX('اکسسوری حذف از لیست اصلی'!D:D,MATCH(K185,'اکسسوری حذف از لیست اصلی'!T:T,0))</f>
        <v>آباژور رومیزی چوبی خودرنگ TL-W098</v>
      </c>
      <c r="G185" s="110">
        <f>INDEX('اکسسوری حذف از لیست اصلی'!E:E,MATCH(K185,'اکسسوری حذف از لیست اصلی'!T:T,0))</f>
        <v>26</v>
      </c>
      <c r="H185" s="110">
        <f>INDEX('اکسسوری حذف از لیست اصلی'!F:F,MATCH(K185,'اکسسوری حذف از لیست اصلی'!T:T,0))</f>
        <v>26</v>
      </c>
      <c r="I185" s="110">
        <f>INDEX('اکسسوری حذف از لیست اصلی'!G:G,MATCH(K185,'اکسسوری حذف از لیست اصلی'!T:T,0))</f>
        <v>54</v>
      </c>
      <c r="J185" s="74">
        <f>INDEX('اکسسوری حذف از لیست اصلی'!J:J,MATCH(K185,'اکسسوری حذف از لیست اصلی'!T:T,0))</f>
        <v>162000000</v>
      </c>
      <c r="K185" s="64">
        <v>48</v>
      </c>
    </row>
    <row r="186" spans="1:11" ht="28.5" customHeight="1">
      <c r="A186" s="60"/>
      <c r="B186" s="61"/>
      <c r="D186" s="73">
        <v>49</v>
      </c>
      <c r="E186" s="109">
        <f>INDEX('اکسسوری حذف از لیست اصلی'!C:C,MATCH(K186,'اکسسوری حذف از لیست اصلی'!T:T,0))</f>
        <v>9901010099</v>
      </c>
      <c r="F186" s="109" t="str">
        <f>INDEX('اکسسوری حذف از لیست اصلی'!D:D,MATCH(K186,'اکسسوری حذف از لیست اصلی'!T:T,0))</f>
        <v>آباژور رومیزی چوبی خودرنگ TL-W099</v>
      </c>
      <c r="G186" s="110">
        <f>INDEX('اکسسوری حذف از لیست اصلی'!E:E,MATCH(K186,'اکسسوری حذف از لیست اصلی'!T:T,0))</f>
        <v>26</v>
      </c>
      <c r="H186" s="110">
        <f>INDEX('اکسسوری حذف از لیست اصلی'!F:F,MATCH(K186,'اکسسوری حذف از لیست اصلی'!T:T,0))</f>
        <v>26</v>
      </c>
      <c r="I186" s="110">
        <f>INDEX('اکسسوری حذف از لیست اصلی'!G:G,MATCH(K186,'اکسسوری حذف از لیست اصلی'!T:T,0))</f>
        <v>54</v>
      </c>
      <c r="J186" s="74">
        <f>INDEX('اکسسوری حذف از لیست اصلی'!J:J,MATCH(K186,'اکسسوری حذف از لیست اصلی'!T:T,0))</f>
        <v>162000000</v>
      </c>
      <c r="K186" s="64">
        <v>49</v>
      </c>
    </row>
    <row r="187" spans="1:11" ht="28.5" customHeight="1">
      <c r="A187" s="60"/>
      <c r="B187" s="61"/>
      <c r="D187" s="73">
        <v>50</v>
      </c>
      <c r="E187" s="109">
        <f>INDEX('اکسسوری حذف از لیست اصلی'!C:C,MATCH(K187,'اکسسوری حذف از لیست اصلی'!T:T,0))</f>
        <v>9901010100</v>
      </c>
      <c r="F187" s="109" t="str">
        <f>INDEX('اکسسوری حذف از لیست اصلی'!D:D,MATCH(K187,'اکسسوری حذف از لیست اصلی'!T:T,0))</f>
        <v>آباژور رومیزی چوبی خودرنگ TL-W100</v>
      </c>
      <c r="G187" s="110">
        <f>INDEX('اکسسوری حذف از لیست اصلی'!E:E,MATCH(K187,'اکسسوری حذف از لیست اصلی'!T:T,0))</f>
        <v>26</v>
      </c>
      <c r="H187" s="110">
        <f>INDEX('اکسسوری حذف از لیست اصلی'!F:F,MATCH(K187,'اکسسوری حذف از لیست اصلی'!T:T,0))</f>
        <v>26</v>
      </c>
      <c r="I187" s="110">
        <f>INDEX('اکسسوری حذف از لیست اصلی'!G:G,MATCH(K187,'اکسسوری حذف از لیست اصلی'!T:T,0))</f>
        <v>54</v>
      </c>
      <c r="J187" s="74">
        <f>INDEX('اکسسوری حذف از لیست اصلی'!J:J,MATCH(K187,'اکسسوری حذف از لیست اصلی'!T:T,0))</f>
        <v>162000000</v>
      </c>
      <c r="K187" s="64">
        <v>50</v>
      </c>
    </row>
    <row r="188" spans="1:11" ht="28.5" customHeight="1">
      <c r="A188" s="60"/>
      <c r="B188" s="61"/>
      <c r="D188" s="79">
        <v>51</v>
      </c>
      <c r="E188" s="109">
        <f>INDEX('اکسسوری حذف از لیست اصلی'!C:C,MATCH(K188,'اکسسوری حذف از لیست اصلی'!T:T,0))</f>
        <v>9901010120</v>
      </c>
      <c r="F188" s="109" t="str">
        <f>INDEX('اکسسوری حذف از لیست اصلی'!D:D,MATCH(K188,'اکسسوری حذف از لیست اصلی'!T:T,0))</f>
        <v>آباژور رومیزی سنگ سفید TL-S120</v>
      </c>
      <c r="G188" s="110">
        <f>INDEX('اکسسوری حذف از لیست اصلی'!E:E,MATCH(K188,'اکسسوری حذف از لیست اصلی'!T:T,0))</f>
        <v>35</v>
      </c>
      <c r="H188" s="110">
        <f>INDEX('اکسسوری حذف از لیست اصلی'!F:F,MATCH(K188,'اکسسوری حذف از لیست اصلی'!T:T,0))</f>
        <v>35</v>
      </c>
      <c r="I188" s="110">
        <f>INDEX('اکسسوری حذف از لیست اصلی'!G:G,MATCH(K188,'اکسسوری حذف از لیست اصلی'!T:T,0))</f>
        <v>55</v>
      </c>
      <c r="J188" s="74">
        <f>INDEX('اکسسوری حذف از لیست اصلی'!J:J,MATCH(K188,'اکسسوری حذف از لیست اصلی'!T:T,0))</f>
        <v>124000000</v>
      </c>
      <c r="K188" s="64">
        <v>51</v>
      </c>
    </row>
    <row r="189" spans="1:11" ht="28.5" customHeight="1">
      <c r="A189" s="60"/>
      <c r="B189" s="61"/>
      <c r="D189" s="73">
        <v>52</v>
      </c>
      <c r="E189" s="109">
        <f>INDEX('اکسسوری حذف از لیست اصلی'!C:C,MATCH(K189,'اکسسوری حذف از لیست اصلی'!T:T,0))</f>
        <v>9901010121</v>
      </c>
      <c r="F189" s="109" t="str">
        <f>INDEX('اکسسوری حذف از لیست اصلی'!D:D,MATCH(K189,'اکسسوری حذف از لیست اصلی'!T:T,0))</f>
        <v>آباژور رومیزی چوبی مشکی TL-W121</v>
      </c>
      <c r="G189" s="110">
        <f>INDEX('اکسسوری حذف از لیست اصلی'!E:E,MATCH(K189,'اکسسوری حذف از لیست اصلی'!T:T,0))</f>
        <v>35</v>
      </c>
      <c r="H189" s="110">
        <f>INDEX('اکسسوری حذف از لیست اصلی'!F:F,MATCH(K189,'اکسسوری حذف از لیست اصلی'!T:T,0))</f>
        <v>35</v>
      </c>
      <c r="I189" s="110">
        <f>INDEX('اکسسوری حذف از لیست اصلی'!G:G,MATCH(K189,'اکسسوری حذف از لیست اصلی'!T:T,0))</f>
        <v>60</v>
      </c>
      <c r="J189" s="74">
        <f>INDEX('اکسسوری حذف از لیست اصلی'!J:J,MATCH(K189,'اکسسوری حذف از لیست اصلی'!T:T,0))</f>
        <v>163000000</v>
      </c>
      <c r="K189" s="64">
        <v>52</v>
      </c>
    </row>
    <row r="190" spans="1:11" ht="28.5" customHeight="1">
      <c r="A190" s="60"/>
      <c r="B190" s="61"/>
      <c r="D190" s="73">
        <v>53</v>
      </c>
      <c r="E190" s="109">
        <f>INDEX('اکسسوری حذف از لیست اصلی'!C:C,MATCH(K190,'اکسسوری حذف از لیست اصلی'!T:T,0))</f>
        <v>9901010135</v>
      </c>
      <c r="F190" s="109" t="str">
        <f>INDEX('اکسسوری حذف از لیست اصلی'!D:D,MATCH(K190,'اکسسوری حذف از لیست اصلی'!T:T,0))</f>
        <v>آباژور رومیزی چوبی خودرنگ TL-W135</v>
      </c>
      <c r="G190" s="110">
        <f>INDEX('اکسسوری حذف از لیست اصلی'!E:E,MATCH(K190,'اکسسوری حذف از لیست اصلی'!T:T,0))</f>
        <v>26</v>
      </c>
      <c r="H190" s="110">
        <f>INDEX('اکسسوری حذف از لیست اصلی'!F:F,MATCH(K190,'اکسسوری حذف از لیست اصلی'!T:T,0))</f>
        <v>26</v>
      </c>
      <c r="I190" s="110">
        <f>INDEX('اکسسوری حذف از لیست اصلی'!G:G,MATCH(K190,'اکسسوری حذف از لیست اصلی'!T:T,0))</f>
        <v>54</v>
      </c>
      <c r="J190" s="74">
        <f>INDEX('اکسسوری حذف از لیست اصلی'!J:J,MATCH(K190,'اکسسوری حذف از لیست اصلی'!T:T,0))</f>
        <v>162000000</v>
      </c>
      <c r="K190" s="64">
        <v>53</v>
      </c>
    </row>
    <row r="191" spans="1:11" ht="28.5" customHeight="1">
      <c r="A191" s="60"/>
      <c r="B191" s="61"/>
      <c r="D191" s="79">
        <v>54</v>
      </c>
      <c r="E191" s="109">
        <f>INDEX('اکسسوری حذف از لیست اصلی'!C:C,MATCH(K191,'اکسسوری حذف از لیست اصلی'!T:T,0))</f>
        <v>9901010137</v>
      </c>
      <c r="F191" s="109" t="str">
        <f>INDEX('اکسسوری حذف از لیست اصلی'!D:D,MATCH(K191,'اکسسوری حذف از لیست اصلی'!T:T,0))</f>
        <v>آباژور رومیزی چوبی نسکافه ای TL-W137</v>
      </c>
      <c r="G191" s="110">
        <f>INDEX('اکسسوری حذف از لیست اصلی'!E:E,MATCH(K191,'اکسسوری حذف از لیست اصلی'!T:T,0))</f>
        <v>40</v>
      </c>
      <c r="H191" s="110">
        <f>INDEX('اکسسوری حذف از لیست اصلی'!F:F,MATCH(K191,'اکسسوری حذف از لیست اصلی'!T:T,0))</f>
        <v>40</v>
      </c>
      <c r="I191" s="110">
        <f>INDEX('اکسسوری حذف از لیست اصلی'!G:G,MATCH(K191,'اکسسوری حذف از لیست اصلی'!T:T,0))</f>
        <v>64</v>
      </c>
      <c r="J191" s="74">
        <f>INDEX('اکسسوری حذف از لیست اصلی'!J:J,MATCH(K191,'اکسسوری حذف از لیست اصلی'!T:T,0))</f>
        <v>222000000</v>
      </c>
      <c r="K191" s="64">
        <v>54</v>
      </c>
    </row>
    <row r="192" spans="1:11" ht="28.5" customHeight="1">
      <c r="A192" s="60"/>
      <c r="B192" s="61"/>
      <c r="D192" s="73">
        <v>55</v>
      </c>
      <c r="E192" s="109">
        <f>INDEX('اکسسوری حذف از لیست اصلی'!C:C,MATCH(K192,'اکسسوری حذف از لیست اصلی'!T:T,0))</f>
        <v>9901010138</v>
      </c>
      <c r="F192" s="109" t="str">
        <f>INDEX('اکسسوری حذف از لیست اصلی'!D:D,MATCH(K192,'اکسسوری حذف از لیست اصلی'!T:T,0))</f>
        <v>آباژور رومیزی چوبی مشکی TL-W138</v>
      </c>
      <c r="G192" s="110">
        <f>INDEX('اکسسوری حذف از لیست اصلی'!E:E,MATCH(K192,'اکسسوری حذف از لیست اصلی'!T:T,0))</f>
        <v>35</v>
      </c>
      <c r="H192" s="110">
        <f>INDEX('اکسسوری حذف از لیست اصلی'!F:F,MATCH(K192,'اکسسوری حذف از لیست اصلی'!T:T,0))</f>
        <v>35</v>
      </c>
      <c r="I192" s="110">
        <f>INDEX('اکسسوری حذف از لیست اصلی'!G:G,MATCH(K192,'اکسسوری حذف از لیست اصلی'!T:T,0))</f>
        <v>68</v>
      </c>
      <c r="J192" s="74">
        <f>INDEX('اکسسوری حذف از لیست اصلی'!J:J,MATCH(K192,'اکسسوری حذف از لیست اصلی'!T:T,0))</f>
        <v>238000000</v>
      </c>
      <c r="K192" s="64">
        <v>55</v>
      </c>
    </row>
    <row r="193" spans="1:11" ht="28.5" customHeight="1">
      <c r="A193" s="60"/>
      <c r="B193" s="61"/>
      <c r="D193" s="73">
        <v>56</v>
      </c>
      <c r="E193" s="109">
        <f>INDEX('اکسسوری حذف از لیست اصلی'!C:C,MATCH(K193,'اکسسوری حذف از لیست اصلی'!T:T,0))</f>
        <v>9901010139</v>
      </c>
      <c r="F193" s="109" t="str">
        <f>INDEX('اکسسوری حذف از لیست اصلی'!D:D,MATCH(K193,'اکسسوری حذف از لیست اصلی'!T:T,0))</f>
        <v>آباژور رومیزی چوبی سبز TL-W139</v>
      </c>
      <c r="G193" s="110">
        <f>INDEX('اکسسوری حذف از لیست اصلی'!E:E,MATCH(K193,'اکسسوری حذف از لیست اصلی'!T:T,0))</f>
        <v>34</v>
      </c>
      <c r="H193" s="110">
        <f>INDEX('اکسسوری حذف از لیست اصلی'!F:F,MATCH(K193,'اکسسوری حذف از لیست اصلی'!T:T,0))</f>
        <v>34</v>
      </c>
      <c r="I193" s="110">
        <f>INDEX('اکسسوری حذف از لیست اصلی'!G:G,MATCH(K193,'اکسسوری حذف از لیست اصلی'!T:T,0))</f>
        <v>68</v>
      </c>
      <c r="J193" s="74">
        <f>INDEX('اکسسوری حذف از لیست اصلی'!J:J,MATCH(K193,'اکسسوری حذف از لیست اصلی'!T:T,0))</f>
        <v>209000000</v>
      </c>
      <c r="K193" s="64">
        <v>56</v>
      </c>
    </row>
    <row r="194" spans="1:11" ht="28.5" customHeight="1">
      <c r="A194" s="60"/>
      <c r="B194" s="61"/>
      <c r="D194" s="79">
        <v>57</v>
      </c>
      <c r="E194" s="109">
        <f>INDEX('اکسسوری حذف از لیست اصلی'!C:C,MATCH(K194,'اکسسوری حذف از لیست اصلی'!T:T,0))</f>
        <v>9901010142</v>
      </c>
      <c r="F194" s="109" t="str">
        <f>INDEX('اکسسوری حذف از لیست اصلی'!D:D,MATCH(K194,'اکسسوری حذف از لیست اصلی'!T:T,0))</f>
        <v>آباژور رومیزی سفالی طوسی TL-C142</v>
      </c>
      <c r="G194" s="110">
        <f>INDEX('اکسسوری حذف از لیست اصلی'!E:E,MATCH(K194,'اکسسوری حذف از لیست اصلی'!T:T,0))</f>
        <v>30</v>
      </c>
      <c r="H194" s="110">
        <f>INDEX('اکسسوری حذف از لیست اصلی'!F:F,MATCH(K194,'اکسسوری حذف از لیست اصلی'!T:T,0))</f>
        <v>30</v>
      </c>
      <c r="I194" s="110">
        <f>INDEX('اکسسوری حذف از لیست اصلی'!G:G,MATCH(K194,'اکسسوری حذف از لیست اصلی'!T:T,0))</f>
        <v>53</v>
      </c>
      <c r="J194" s="74">
        <f>INDEX('اکسسوری حذف از لیست اصلی'!J:J,MATCH(K194,'اکسسوری حذف از لیست اصلی'!T:T,0))</f>
        <v>135000000</v>
      </c>
      <c r="K194" s="64">
        <v>57</v>
      </c>
    </row>
    <row r="195" spans="1:11" ht="28.5" customHeight="1">
      <c r="A195" s="60"/>
      <c r="B195" s="61"/>
      <c r="D195" s="73">
        <v>58</v>
      </c>
      <c r="E195" s="109">
        <f>INDEX('اکسسوری حذف از لیست اصلی'!C:C,MATCH(K195,'اکسسوری حذف از لیست اصلی'!T:T,0))</f>
        <v>9901010151</v>
      </c>
      <c r="F195" s="109" t="str">
        <f>INDEX('اکسسوری حذف از لیست اصلی'!D:D,MATCH(K195,'اکسسوری حذف از لیست اصلی'!T:T,0))</f>
        <v>آباژور رومیزی فلزی مشکی TL-M151</v>
      </c>
      <c r="G195" s="110" t="str">
        <f>INDEX('اکسسوری حذف از لیست اصلی'!E:E,MATCH(K195,'اکسسوری حذف از لیست اصلی'!T:T,0))</f>
        <v>-</v>
      </c>
      <c r="H195" s="110" t="str">
        <f>INDEX('اکسسوری حذف از لیست اصلی'!F:F,MATCH(K195,'اکسسوری حذف از لیست اصلی'!T:T,0))</f>
        <v>-</v>
      </c>
      <c r="I195" s="110" t="str">
        <f>INDEX('اکسسوری حذف از لیست اصلی'!G:G,MATCH(K195,'اکسسوری حذف از لیست اصلی'!T:T,0))</f>
        <v>-</v>
      </c>
      <c r="J195" s="74">
        <f>INDEX('اکسسوری حذف از لیست اصلی'!J:J,MATCH(K195,'اکسسوری حذف از لیست اصلی'!T:T,0))</f>
        <v>310000000</v>
      </c>
      <c r="K195" s="64">
        <v>58</v>
      </c>
    </row>
    <row r="196" spans="1:11" ht="28.5" customHeight="1">
      <c r="A196" s="60"/>
      <c r="B196" s="61"/>
      <c r="D196" s="79">
        <v>59</v>
      </c>
      <c r="E196" s="109">
        <f>INDEX('اکسسوری حذف از لیست اصلی'!C:C,MATCH(K196,'اکسسوری حذف از لیست اصلی'!T:T,0))</f>
        <v>9901010169</v>
      </c>
      <c r="F196" s="109" t="str">
        <f>INDEX('اکسسوری حذف از لیست اصلی'!D:D,MATCH(K196,'اکسسوری حذف از لیست اصلی'!T:T,0))</f>
        <v>آباژور رومیزی سفالی TL-C169</v>
      </c>
      <c r="G196" s="110">
        <f>INDEX('اکسسوری حذف از لیست اصلی'!E:E,MATCH(K196,'اکسسوری حذف از لیست اصلی'!T:T,0))</f>
        <v>40</v>
      </c>
      <c r="H196" s="110">
        <f>INDEX('اکسسوری حذف از لیست اصلی'!F:F,MATCH(K196,'اکسسوری حذف از لیست اصلی'!T:T,0))</f>
        <v>40</v>
      </c>
      <c r="I196" s="110">
        <f>INDEX('اکسسوری حذف از لیست اصلی'!G:G,MATCH(K196,'اکسسوری حذف از لیست اصلی'!T:T,0))</f>
        <v>52</v>
      </c>
      <c r="J196" s="74">
        <f>INDEX('اکسسوری حذف از لیست اصلی'!J:J,MATCH(K196,'اکسسوری حذف از لیست اصلی'!T:T,0))</f>
        <v>165000000</v>
      </c>
      <c r="K196" s="64">
        <v>59</v>
      </c>
    </row>
    <row r="197" spans="1:11" ht="28.5" customHeight="1">
      <c r="A197" s="60"/>
      <c r="B197" s="61"/>
      <c r="D197" s="73">
        <v>60</v>
      </c>
      <c r="E197" s="109">
        <f>INDEX('اکسسوری حذف از لیست اصلی'!C:C,MATCH(K197,'اکسسوری حذف از لیست اصلی'!T:T,0))</f>
        <v>9901010176</v>
      </c>
      <c r="F197" s="109" t="str">
        <f>INDEX('اکسسوری حذف از لیست اصلی'!D:D,MATCH(K197,'اکسسوری حذف از لیست اصلی'!T:T,0))</f>
        <v>آباژور رومیزی سفالی نسکافه ای TL-C176</v>
      </c>
      <c r="G197" s="110" t="str">
        <f>INDEX('اکسسوری حذف از لیست اصلی'!E:E,MATCH(K197,'اکسسوری حذف از لیست اصلی'!T:T,0))</f>
        <v>-</v>
      </c>
      <c r="H197" s="110" t="str">
        <f>INDEX('اکسسوری حذف از لیست اصلی'!F:F,MATCH(K197,'اکسسوری حذف از لیست اصلی'!T:T,0))</f>
        <v>-</v>
      </c>
      <c r="I197" s="110" t="str">
        <f>INDEX('اکسسوری حذف از لیست اصلی'!G:G,MATCH(K197,'اکسسوری حذف از لیست اصلی'!T:T,0))</f>
        <v>-</v>
      </c>
      <c r="J197" s="74">
        <f>INDEX('اکسسوری حذف از لیست اصلی'!J:J,MATCH(K197,'اکسسوری حذف از لیست اصلی'!T:T,0))</f>
        <v>112000000</v>
      </c>
      <c r="K197" s="64">
        <v>60</v>
      </c>
    </row>
    <row r="198" spans="1:11" ht="21" customHeight="1">
      <c r="A198" s="60"/>
      <c r="B198" s="61"/>
      <c r="D198" s="65"/>
      <c r="E198" s="65"/>
      <c r="G198" s="28"/>
      <c r="H198" s="28"/>
      <c r="I198" s="28"/>
      <c r="J198" s="74"/>
    </row>
    <row r="199" spans="1:11">
      <c r="A199" s="60"/>
      <c r="B199" s="61"/>
      <c r="J199" s="74">
        <v>5</v>
      </c>
    </row>
    <row r="200" spans="1:11">
      <c r="A200" s="60"/>
      <c r="B200" s="61"/>
      <c r="C200" s="183"/>
      <c r="D200" s="184"/>
      <c r="E200" s="184"/>
      <c r="F200" s="184"/>
      <c r="G200" s="184"/>
      <c r="H200" s="184"/>
      <c r="I200" s="184"/>
      <c r="J200" s="184"/>
    </row>
    <row r="201" spans="1:11">
      <c r="A201" s="60"/>
      <c r="B201" s="61"/>
      <c r="C201" s="183"/>
      <c r="D201" s="184"/>
      <c r="E201" s="184"/>
      <c r="F201" s="184"/>
      <c r="G201" s="184"/>
      <c r="H201" s="184"/>
      <c r="I201" s="184"/>
      <c r="J201" s="184"/>
    </row>
    <row r="202" spans="1:11" ht="27.75">
      <c r="A202" s="60"/>
      <c r="B202" s="61"/>
      <c r="C202" s="72"/>
      <c r="D202" s="67" t="s">
        <v>1140</v>
      </c>
      <c r="J202" s="68" t="str">
        <f>$N$1</f>
        <v>1405/02/23</v>
      </c>
    </row>
    <row r="203" spans="1:11" ht="36">
      <c r="A203" s="60"/>
      <c r="B203" s="61"/>
      <c r="C203" s="77"/>
      <c r="D203" s="75" t="s">
        <v>0</v>
      </c>
      <c r="E203" s="69" t="s">
        <v>1</v>
      </c>
      <c r="F203" s="107" t="s">
        <v>448</v>
      </c>
      <c r="G203" s="108" t="s">
        <v>1141</v>
      </c>
      <c r="H203" s="108" t="s">
        <v>1142</v>
      </c>
      <c r="I203" s="108" t="s">
        <v>1143</v>
      </c>
      <c r="J203" s="68" t="s">
        <v>251</v>
      </c>
    </row>
    <row r="204" spans="1:11" ht="47.25" customHeight="1">
      <c r="A204" s="60"/>
      <c r="B204" s="61"/>
      <c r="D204" s="73">
        <v>61</v>
      </c>
      <c r="E204" s="109">
        <f>INDEX('اکسسوری حذف از لیست اصلی'!C:C,MATCH(K204,'اکسسوری حذف از لیست اصلی'!T:T,0))</f>
        <v>9901010177</v>
      </c>
      <c r="F204" s="109" t="str">
        <f>INDEX('اکسسوری حذف از لیست اصلی'!D:D,MATCH(K204,'اکسسوری حذف از لیست اصلی'!T:T,0))</f>
        <v>آباژور رومیزی سنگ سفید TL-S177</v>
      </c>
      <c r="G204" s="110" t="str">
        <f>INDEX('اکسسوری حذف از لیست اصلی'!E:E,MATCH(K204,'اکسسوری حذف از لیست اصلی'!T:T,0))</f>
        <v>-</v>
      </c>
      <c r="H204" s="110" t="str">
        <f>INDEX('اکسسوری حذف از لیست اصلی'!F:F,MATCH(K204,'اکسسوری حذف از لیست اصلی'!T:T,0))</f>
        <v>-</v>
      </c>
      <c r="I204" s="110" t="str">
        <f>INDEX('اکسسوری حذف از لیست اصلی'!G:G,MATCH(K204,'اکسسوری حذف از لیست اصلی'!T:T,0))</f>
        <v>-</v>
      </c>
      <c r="J204" s="74">
        <f>INDEX('اکسسوری حذف از لیست اصلی'!J:J,MATCH(K204,'اکسسوری حذف از لیست اصلی'!T:T,0))</f>
        <v>112000000</v>
      </c>
      <c r="K204" s="64">
        <v>61</v>
      </c>
    </row>
    <row r="205" spans="1:11" ht="47.25" customHeight="1">
      <c r="A205" s="60"/>
      <c r="B205" s="61"/>
      <c r="C205" s="78"/>
      <c r="D205" s="73">
        <v>62</v>
      </c>
      <c r="E205" s="109">
        <f>INDEX('اکسسوری حذف از لیست اصلی'!C:C,MATCH(K205,'اکسسوری حذف از لیست اصلی'!T:T,0))</f>
        <v>9901010187</v>
      </c>
      <c r="F205" s="109" t="str">
        <f>INDEX('اکسسوری حذف از لیست اصلی'!D:D,MATCH(K205,'اکسسوری حذف از لیست اصلی'!T:T,0))</f>
        <v>آباژور رومیزی سفال سفید TL-C187</v>
      </c>
      <c r="G205" s="110" t="str">
        <f>INDEX('اکسسوری حذف از لیست اصلی'!E:E,MATCH(K205,'اکسسوری حذف از لیست اصلی'!T:T,0))</f>
        <v>-</v>
      </c>
      <c r="H205" s="110" t="str">
        <f>INDEX('اکسسوری حذف از لیست اصلی'!F:F,MATCH(K205,'اکسسوری حذف از لیست اصلی'!T:T,0))</f>
        <v>-</v>
      </c>
      <c r="I205" s="110" t="str">
        <f>INDEX('اکسسوری حذف از لیست اصلی'!G:G,MATCH(K205,'اکسسوری حذف از لیست اصلی'!T:T,0))</f>
        <v>-</v>
      </c>
      <c r="J205" s="74">
        <f>INDEX('اکسسوری حذف از لیست اصلی'!J:J,MATCH(K205,'اکسسوری حذف از لیست اصلی'!T:T,0))</f>
        <v>126000000</v>
      </c>
      <c r="K205" s="64">
        <v>62</v>
      </c>
    </row>
    <row r="206" spans="1:11" ht="47.25" customHeight="1">
      <c r="A206" s="60"/>
      <c r="B206" s="61"/>
      <c r="D206" s="73">
        <v>63</v>
      </c>
      <c r="E206" s="109">
        <f>INDEX('اکسسوری حذف از لیست اصلی'!C:C,MATCH(K206,'اکسسوری حذف از لیست اصلی'!T:T,0))</f>
        <v>9901010191</v>
      </c>
      <c r="F206" s="109" t="str">
        <f>INDEX('اکسسوری حذف از لیست اصلی'!D:D,MATCH(K206,'اکسسوری حذف از لیست اصلی'!T:T,0))</f>
        <v>آباژور رومیزی عصایی سنگ مشکی TL-S191</v>
      </c>
      <c r="G206" s="110" t="str">
        <f>INDEX('اکسسوری حذف از لیست اصلی'!E:E,MATCH(K206,'اکسسوری حذف از لیست اصلی'!T:T,0))</f>
        <v>-</v>
      </c>
      <c r="H206" s="110">
        <f>INDEX('اکسسوری حذف از لیست اصلی'!F:F,MATCH(K206,'اکسسوری حذف از لیست اصلی'!T:T,0))</f>
        <v>0</v>
      </c>
      <c r="I206" s="110">
        <f>INDEX('اکسسوری حذف از لیست اصلی'!G:G,MATCH(K206,'اکسسوری حذف از لیست اصلی'!T:T,0))</f>
        <v>0</v>
      </c>
      <c r="J206" s="74">
        <f>INDEX('اکسسوری حذف از لیست اصلی'!J:J,MATCH(K206,'اکسسوری حذف از لیست اصلی'!T:T,0))</f>
        <v>212000000</v>
      </c>
      <c r="K206" s="64">
        <v>63</v>
      </c>
    </row>
    <row r="207" spans="1:11" ht="47.25" customHeight="1">
      <c r="A207" s="60"/>
      <c r="B207" s="61"/>
      <c r="D207" s="73">
        <v>64</v>
      </c>
      <c r="E207" s="109">
        <f>INDEX('اکسسوری حذف از لیست اصلی'!C:C,MATCH(K207,'اکسسوری حذف از لیست اصلی'!T:T,0))</f>
        <v>9901010193</v>
      </c>
      <c r="F207" s="109" t="str">
        <f>INDEX('اکسسوری حذف از لیست اصلی'!D:D,MATCH(K207,'اکسسوری حذف از لیست اصلی'!T:T,0))</f>
        <v>آباژور رومیزی سنگ مشکیTL-S193</v>
      </c>
      <c r="G207" s="110">
        <f>INDEX('اکسسوری حذف از لیست اصلی'!E:E,MATCH(K207,'اکسسوری حذف از لیست اصلی'!T:T,0))</f>
        <v>0</v>
      </c>
      <c r="H207" s="110">
        <f>INDEX('اکسسوری حذف از لیست اصلی'!F:F,MATCH(K207,'اکسسوری حذف از لیست اصلی'!T:T,0))</f>
        <v>0</v>
      </c>
      <c r="I207" s="110">
        <f>INDEX('اکسسوری حذف از لیست اصلی'!G:G,MATCH(K207,'اکسسوری حذف از لیست اصلی'!T:T,0))</f>
        <v>0</v>
      </c>
      <c r="J207" s="74">
        <f>INDEX('اکسسوری حذف از لیست اصلی'!J:J,MATCH(K207,'اکسسوری حذف از لیست اصلی'!T:T,0))</f>
        <v>162000000</v>
      </c>
      <c r="K207" s="64">
        <v>64</v>
      </c>
    </row>
    <row r="208" spans="1:11" ht="47.25" customHeight="1">
      <c r="A208" s="60"/>
      <c r="B208" s="61"/>
      <c r="D208" s="73">
        <v>65</v>
      </c>
      <c r="E208" s="109">
        <f>INDEX('اکسسوری حذف از لیست اصلی'!C:C,MATCH(K208,'اکسسوری حذف از لیست اصلی'!T:T,0))</f>
        <v>9901010196</v>
      </c>
      <c r="F208" s="109" t="str">
        <f>INDEX('اکسسوری حذف از لیست اصلی'!D:D,MATCH(K208,'اکسسوری حذف از لیست اصلی'!T:T,0))</f>
        <v>آباژور رومیزی چوبی TL-W196</v>
      </c>
      <c r="G208" s="110" t="str">
        <f>INDEX('اکسسوری حذف از لیست اصلی'!E:E,MATCH(K208,'اکسسوری حذف از لیست اصلی'!T:T,0))</f>
        <v>-</v>
      </c>
      <c r="H208" s="110" t="str">
        <f>INDEX('اکسسوری حذف از لیست اصلی'!F:F,MATCH(K208,'اکسسوری حذف از لیست اصلی'!T:T,0))</f>
        <v>-</v>
      </c>
      <c r="I208" s="110" t="str">
        <f>INDEX('اکسسوری حذف از لیست اصلی'!G:G,MATCH(K208,'اکسسوری حذف از لیست اصلی'!T:T,0))</f>
        <v>-</v>
      </c>
      <c r="J208" s="74">
        <f>INDEX('اکسسوری حذف از لیست اصلی'!J:J,MATCH(K208,'اکسسوری حذف از لیست اصلی'!T:T,0))</f>
        <v>354000000</v>
      </c>
      <c r="K208" s="64">
        <v>65</v>
      </c>
    </row>
    <row r="209" spans="1:11" ht="47.25" customHeight="1">
      <c r="A209" s="60"/>
      <c r="B209" s="61"/>
      <c r="D209" s="73">
        <v>66</v>
      </c>
      <c r="E209" s="109">
        <f>INDEX('اکسسوری حذف از لیست اصلی'!C:C,MATCH(K209,'اکسسوری حذف از لیست اصلی'!T:T,0))</f>
        <v>9901010198</v>
      </c>
      <c r="F209" s="109" t="str">
        <f>INDEX('اکسسوری حذف از لیست اصلی'!D:D,MATCH(K209,'اکسسوری حذف از لیست اصلی'!T:T,0))</f>
        <v>آباژور رومیزی سنگی مشکی استوانه TL-S198</v>
      </c>
      <c r="G209" s="110" t="str">
        <f>INDEX('اکسسوری حذف از لیست اصلی'!E:E,MATCH(K209,'اکسسوری حذف از لیست اصلی'!T:T,0))</f>
        <v>-</v>
      </c>
      <c r="H209" s="110" t="str">
        <f>INDEX('اکسسوری حذف از لیست اصلی'!F:F,MATCH(K209,'اکسسوری حذف از لیست اصلی'!T:T,0))</f>
        <v>-</v>
      </c>
      <c r="I209" s="110" t="str">
        <f>INDEX('اکسسوری حذف از لیست اصلی'!G:G,MATCH(K209,'اکسسوری حذف از لیست اصلی'!T:T,0))</f>
        <v>-</v>
      </c>
      <c r="J209" s="74">
        <f>INDEX('اکسسوری حذف از لیست اصلی'!J:J,MATCH(K209,'اکسسوری حذف از لیست اصلی'!T:T,0))</f>
        <v>170000000</v>
      </c>
      <c r="K209" s="64">
        <v>66</v>
      </c>
    </row>
    <row r="210" spans="1:11" ht="47.25" customHeight="1">
      <c r="A210" s="60"/>
      <c r="B210" s="61"/>
      <c r="D210" s="73">
        <v>67</v>
      </c>
      <c r="E210" s="109">
        <f>INDEX('اکسسوری حذف از لیست اصلی'!C:C,MATCH(K210,'اکسسوری حذف از لیست اصلی'!T:T,0))</f>
        <v>9901010200</v>
      </c>
      <c r="F210" s="109" t="str">
        <f>INDEX('اکسسوری حذف از لیست اصلی'!D:D,MATCH(K210,'اکسسوری حذف از لیست اصلی'!T:T,0))</f>
        <v>آباژور رومیزی فلز  خم طلایی TL-M200</v>
      </c>
      <c r="G210" s="110" t="str">
        <f>INDEX('اکسسوری حذف از لیست اصلی'!E:E,MATCH(K210,'اکسسوری حذف از لیست اصلی'!T:T,0))</f>
        <v>-</v>
      </c>
      <c r="H210" s="110" t="str">
        <f>INDEX('اکسسوری حذف از لیست اصلی'!F:F,MATCH(K210,'اکسسوری حذف از لیست اصلی'!T:T,0))</f>
        <v>-</v>
      </c>
      <c r="I210" s="110" t="str">
        <f>INDEX('اکسسوری حذف از لیست اصلی'!G:G,MATCH(K210,'اکسسوری حذف از لیست اصلی'!T:T,0))</f>
        <v>-</v>
      </c>
      <c r="J210" s="74">
        <f>INDEX('اکسسوری حذف از لیست اصلی'!J:J,MATCH(K210,'اکسسوری حذف از لیست اصلی'!T:T,0))</f>
        <v>135000000</v>
      </c>
      <c r="K210" s="64">
        <v>67</v>
      </c>
    </row>
    <row r="211" spans="1:11" ht="47.25" customHeight="1">
      <c r="A211" s="60"/>
      <c r="B211" s="61"/>
      <c r="D211" s="73">
        <v>68</v>
      </c>
      <c r="E211" s="109">
        <f>INDEX('اکسسوری حذف از لیست اصلی'!C:C,MATCH(K211,'اکسسوری حذف از لیست اصلی'!T:T,0))</f>
        <v>9901010201</v>
      </c>
      <c r="F211" s="109" t="str">
        <f>INDEX('اکسسوری حذف از لیست اصلی'!D:D,MATCH(K211,'اکسسوری حذف از لیست اصلی'!T:T,0))</f>
        <v>آباژور رومیزی فلز/چوب طلایی TL-M/W201</v>
      </c>
      <c r="G211" s="110">
        <f>INDEX('اکسسوری حذف از لیست اصلی'!E:E,MATCH(K211,'اکسسوری حذف از لیست اصلی'!T:T,0))</f>
        <v>0</v>
      </c>
      <c r="H211" s="110">
        <f>INDEX('اکسسوری حذف از لیست اصلی'!F:F,MATCH(K211,'اکسسوری حذف از لیست اصلی'!T:T,0))</f>
        <v>0</v>
      </c>
      <c r="I211" s="110">
        <f>INDEX('اکسسوری حذف از لیست اصلی'!G:G,MATCH(K211,'اکسسوری حذف از لیست اصلی'!T:T,0))</f>
        <v>0</v>
      </c>
      <c r="J211" s="74">
        <f>INDEX('اکسسوری حذف از لیست اصلی'!J:J,MATCH(K211,'اکسسوری حذف از لیست اصلی'!T:T,0))</f>
        <v>130000000</v>
      </c>
      <c r="K211" s="64">
        <v>68</v>
      </c>
    </row>
    <row r="212" spans="1:11" ht="47.25" customHeight="1">
      <c r="A212" s="60"/>
      <c r="B212" s="61"/>
      <c r="D212" s="73">
        <v>69</v>
      </c>
      <c r="E212" s="109">
        <f>INDEX('اکسسوری حذف از لیست اصلی'!C:C,MATCH(K212,'اکسسوری حذف از لیست اصلی'!T:T,0))</f>
        <v>9901010210</v>
      </c>
      <c r="F212" s="109" t="str">
        <f>INDEX('اکسسوری حذف از لیست اصلی'!D:D,MATCH(K212,'اکسسوری حذف از لیست اصلی'!T:T,0))</f>
        <v>آباژور رومیزی سفالی کرم خاکیTL-C210</v>
      </c>
      <c r="G212" s="110">
        <f>INDEX('اکسسوری حذف از لیست اصلی'!E:E,MATCH(K212,'اکسسوری حذف از لیست اصلی'!T:T,0))</f>
        <v>0</v>
      </c>
      <c r="H212" s="110">
        <f>INDEX('اکسسوری حذف از لیست اصلی'!F:F,MATCH(K212,'اکسسوری حذف از لیست اصلی'!T:T,0))</f>
        <v>0</v>
      </c>
      <c r="I212" s="110">
        <f>INDEX('اکسسوری حذف از لیست اصلی'!G:G,MATCH(K212,'اکسسوری حذف از لیست اصلی'!T:T,0))</f>
        <v>0</v>
      </c>
      <c r="J212" s="74">
        <f>INDEX('اکسسوری حذف از لیست اصلی'!J:J,MATCH(K212,'اکسسوری حذف از لیست اصلی'!T:T,0))</f>
        <v>126000000</v>
      </c>
      <c r="K212" s="64">
        <v>69</v>
      </c>
    </row>
    <row r="213" spans="1:11">
      <c r="A213" s="60"/>
      <c r="B213" s="61"/>
      <c r="J213" s="74"/>
    </row>
    <row r="214" spans="1:11">
      <c r="A214" s="60"/>
      <c r="B214" s="61"/>
      <c r="J214" s="74"/>
    </row>
    <row r="215" spans="1:11">
      <c r="A215" s="60"/>
      <c r="B215" s="61"/>
      <c r="J215" s="74"/>
    </row>
    <row r="216" spans="1:11">
      <c r="A216" s="60"/>
      <c r="B216" s="61"/>
      <c r="J216" s="74"/>
    </row>
    <row r="217" spans="1:11">
      <c r="A217" s="60"/>
      <c r="B217" s="61"/>
      <c r="J217" s="74"/>
    </row>
    <row r="218" spans="1:11">
      <c r="A218" s="60"/>
      <c r="B218" s="61"/>
      <c r="J218" s="74"/>
    </row>
    <row r="219" spans="1:11">
      <c r="A219" s="60"/>
      <c r="B219" s="61"/>
      <c r="J219" s="74"/>
    </row>
    <row r="220" spans="1:11">
      <c r="A220" s="60"/>
      <c r="B220" s="61"/>
      <c r="J220" s="74"/>
    </row>
    <row r="221" spans="1:11">
      <c r="A221" s="60"/>
      <c r="B221" s="61"/>
      <c r="J221" s="74"/>
    </row>
    <row r="222" spans="1:11">
      <c r="A222" s="60"/>
      <c r="B222" s="61"/>
      <c r="J222" s="74">
        <v>6</v>
      </c>
    </row>
    <row r="223" spans="1:11">
      <c r="A223" s="70"/>
      <c r="B223" s="71"/>
      <c r="C223" s="183"/>
      <c r="D223" s="184"/>
      <c r="E223" s="184"/>
      <c r="F223" s="184"/>
      <c r="G223" s="184"/>
      <c r="H223" s="184"/>
      <c r="I223" s="184"/>
      <c r="J223" s="184"/>
    </row>
    <row r="224" spans="1:11">
      <c r="A224" s="70"/>
      <c r="B224" s="71"/>
      <c r="C224" s="183"/>
      <c r="D224" s="184"/>
      <c r="E224" s="184"/>
      <c r="F224" s="184"/>
      <c r="G224" s="184"/>
      <c r="H224" s="184"/>
      <c r="I224" s="184"/>
      <c r="J224" s="184"/>
    </row>
    <row r="225" spans="1:11" ht="27.75">
      <c r="A225" s="70"/>
      <c r="B225" s="71"/>
      <c r="C225" s="72"/>
      <c r="D225" s="67" t="s">
        <v>833</v>
      </c>
      <c r="J225" s="68" t="str">
        <f>$N$1</f>
        <v>1405/02/23</v>
      </c>
    </row>
    <row r="226" spans="1:11" ht="36">
      <c r="A226" s="70"/>
      <c r="B226" s="71"/>
      <c r="C226" s="77"/>
      <c r="D226" s="75" t="s">
        <v>0</v>
      </c>
      <c r="E226" s="69" t="s">
        <v>1</v>
      </c>
      <c r="F226" s="107" t="s">
        <v>448</v>
      </c>
      <c r="G226" s="108" t="s">
        <v>1141</v>
      </c>
      <c r="H226" s="108" t="s">
        <v>1142</v>
      </c>
      <c r="I226" s="108" t="s">
        <v>1143</v>
      </c>
      <c r="J226" s="68" t="s">
        <v>251</v>
      </c>
    </row>
    <row r="227" spans="1:11" ht="40.5" customHeight="1">
      <c r="A227" s="60"/>
      <c r="B227" s="61"/>
      <c r="D227" s="73">
        <v>1</v>
      </c>
      <c r="E227" s="109">
        <f>INDEX('اکسسوری حذف از لیست اصلی'!C:C,MATCH(K227,'اکسسوری حذف از لیست اصلی'!T:T,0))</f>
        <v>9901010068</v>
      </c>
      <c r="F227" s="109" t="str">
        <f>INDEX('اکسسوری حذف از لیست اصلی'!D:D,MATCH(K227,'اکسسوری حذف از لیست اصلی'!T:T,0))</f>
        <v xml:space="preserve">آباژور ایستاده چوبی FL-W068 </v>
      </c>
      <c r="G227" s="110">
        <f>INDEX('اکسسوری حذف از لیست اصلی'!E:E,MATCH(K227,'اکسسوری حذف از لیست اصلی'!T:T,0))</f>
        <v>65</v>
      </c>
      <c r="H227" s="110">
        <f>INDEX('اکسسوری حذف از لیست اصلی'!F:F,MATCH(K227,'اکسسوری حذف از لیست اصلی'!T:T,0))</f>
        <v>22</v>
      </c>
      <c r="I227" s="110">
        <f>INDEX('اکسسوری حذف از لیست اصلی'!G:G,MATCH(K227,'اکسسوری حذف از لیست اصلی'!T:T,0))</f>
        <v>165</v>
      </c>
      <c r="J227" s="74">
        <f>INDEX('اکسسوری حذف از لیست اصلی'!J:J,MATCH(K227,'اکسسوری حذف از لیست اصلی'!T:T,0))</f>
        <v>297000000</v>
      </c>
      <c r="K227" s="64">
        <v>70</v>
      </c>
    </row>
    <row r="228" spans="1:11" ht="40.5" customHeight="1">
      <c r="A228" s="60"/>
      <c r="B228" s="61"/>
      <c r="C228" s="78"/>
      <c r="D228" s="73">
        <v>2</v>
      </c>
      <c r="E228" s="109">
        <f>INDEX('اکسسوری حذف از لیست اصلی'!C:C,MATCH(K228,'اکسسوری حذف از لیست اصلی'!T:T,0))</f>
        <v>9901010069</v>
      </c>
      <c r="F228" s="109" t="str">
        <f>INDEX('اکسسوری حذف از لیست اصلی'!D:D,MATCH(K228,'اکسسوری حذف از لیست اصلی'!T:T,0))</f>
        <v>آباژور ایستاده چوبی FL-W069</v>
      </c>
      <c r="G228" s="110">
        <f>INDEX('اکسسوری حذف از لیست اصلی'!E:E,MATCH(K228,'اکسسوری حذف از لیست اصلی'!T:T,0))</f>
        <v>21</v>
      </c>
      <c r="H228" s="110">
        <f>INDEX('اکسسوری حذف از لیست اصلی'!F:F,MATCH(K228,'اکسسوری حذف از لیست اصلی'!T:T,0))</f>
        <v>14</v>
      </c>
      <c r="I228" s="110">
        <f>INDEX('اکسسوری حذف از لیست اصلی'!G:G,MATCH(K228,'اکسسوری حذف از لیست اصلی'!T:T,0))</f>
        <v>160</v>
      </c>
      <c r="J228" s="74">
        <f>INDEX('اکسسوری حذف از لیست اصلی'!J:J,MATCH(K228,'اکسسوری حذف از لیست اصلی'!T:T,0))</f>
        <v>359000000</v>
      </c>
      <c r="K228" s="64">
        <v>71</v>
      </c>
    </row>
    <row r="229" spans="1:11" ht="40.5" customHeight="1">
      <c r="A229" s="60"/>
      <c r="B229" s="61"/>
      <c r="D229" s="73">
        <v>3</v>
      </c>
      <c r="E229" s="109">
        <f>INDEX('اکسسوری حذف از لیست اصلی'!C:C,MATCH(K229,'اکسسوری حذف از لیست اصلی'!T:T,0))</f>
        <v>9901010070</v>
      </c>
      <c r="F229" s="109" t="str">
        <f>INDEX('اکسسوری حذف از لیست اصلی'!D:D,MATCH(K229,'اکسسوری حذف از لیست اصلی'!T:T,0))</f>
        <v>آباژور ایستاده چوبی FL-W070</v>
      </c>
      <c r="G229" s="110">
        <f>INDEX('اکسسوری حذف از لیست اصلی'!E:E,MATCH(K229,'اکسسوری حذف از لیست اصلی'!T:T,0))</f>
        <v>18.5</v>
      </c>
      <c r="H229" s="110">
        <f>INDEX('اکسسوری حذف از لیست اصلی'!F:F,MATCH(K229,'اکسسوری حذف از لیست اصلی'!T:T,0))</f>
        <v>12</v>
      </c>
      <c r="I229" s="110">
        <f>INDEX('اکسسوری حذف از لیست اصلی'!G:G,MATCH(K229,'اکسسوری حذف از لیست اصلی'!T:T,0))</f>
        <v>78</v>
      </c>
      <c r="J229" s="74">
        <f>INDEX('اکسسوری حذف از لیست اصلی'!J:J,MATCH(K229,'اکسسوری حذف از لیست اصلی'!T:T,0))</f>
        <v>297000000</v>
      </c>
      <c r="K229" s="64">
        <v>72</v>
      </c>
    </row>
    <row r="230" spans="1:11" ht="40.5" customHeight="1">
      <c r="A230" s="60"/>
      <c r="B230" s="61"/>
      <c r="D230" s="73">
        <v>4</v>
      </c>
      <c r="E230" s="109">
        <f>INDEX('اکسسوری حذف از لیست اصلی'!C:C,MATCH(K230,'اکسسوری حذف از لیست اصلی'!T:T,0))</f>
        <v>9901010117</v>
      </c>
      <c r="F230" s="109" t="str">
        <f>INDEX('اکسسوری حذف از لیست اصلی'!D:D,MATCH(K230,'اکسسوری حذف از لیست اصلی'!T:T,0))</f>
        <v>آباژور ایستاده فلزی طلاییFL-M117</v>
      </c>
      <c r="G230" s="110">
        <f>INDEX('اکسسوری حذف از لیست اصلی'!E:E,MATCH(K230,'اکسسوری حذف از لیست اصلی'!T:T,0))</f>
        <v>46</v>
      </c>
      <c r="H230" s="110">
        <f>INDEX('اکسسوری حذف از لیست اصلی'!F:F,MATCH(K230,'اکسسوری حذف از لیست اصلی'!T:T,0))</f>
        <v>15</v>
      </c>
      <c r="I230" s="110">
        <f>INDEX('اکسسوری حذف از لیست اصلی'!G:G,MATCH(K230,'اکسسوری حذف از لیست اصلی'!T:T,0))</f>
        <v>150</v>
      </c>
      <c r="J230" s="74">
        <f>INDEX('اکسسوری حذف از لیست اصلی'!J:J,MATCH(K230,'اکسسوری حذف از لیست اصلی'!T:T,0))</f>
        <v>552000000</v>
      </c>
      <c r="K230" s="64">
        <v>73</v>
      </c>
    </row>
    <row r="231" spans="1:11" ht="40.5" customHeight="1">
      <c r="A231" s="60"/>
      <c r="B231" s="61"/>
      <c r="D231" s="73">
        <v>5</v>
      </c>
      <c r="E231" s="109">
        <f>INDEX('اکسسوری حذف از لیست اصلی'!C:C,MATCH(K231,'اکسسوری حذف از لیست اصلی'!T:T,0))</f>
        <v>9901010140</v>
      </c>
      <c r="F231" s="109" t="str">
        <f>INDEX('اکسسوری حذف از لیست اصلی'!D:D,MATCH(K231,'اکسسوری حذف از لیست اصلی'!T:T,0))</f>
        <v>آباژور ایستاده چوبی کرم FL-W140</v>
      </c>
      <c r="G231" s="110">
        <f>INDEX('اکسسوری حذف از لیست اصلی'!E:E,MATCH(K231,'اکسسوری حذف از لیست اصلی'!T:T,0))</f>
        <v>46</v>
      </c>
      <c r="H231" s="110">
        <f>INDEX('اکسسوری حذف از لیست اصلی'!F:F,MATCH(K231,'اکسسوری حذف از لیست اصلی'!T:T,0))</f>
        <v>46</v>
      </c>
      <c r="I231" s="110">
        <f>INDEX('اکسسوری حذف از لیست اصلی'!G:G,MATCH(K231,'اکسسوری حذف از لیست اصلی'!T:T,0))</f>
        <v>122</v>
      </c>
      <c r="J231" s="74">
        <f>INDEX('اکسسوری حذف از لیست اصلی'!J:J,MATCH(K231,'اکسسوری حذف از لیست اصلی'!T:T,0))</f>
        <v>333000000</v>
      </c>
      <c r="K231" s="64">
        <v>74</v>
      </c>
    </row>
    <row r="232" spans="1:11" ht="40.5" customHeight="1">
      <c r="A232" s="60"/>
      <c r="B232" s="61"/>
      <c r="D232" s="73">
        <v>6</v>
      </c>
      <c r="E232" s="109">
        <f>INDEX('اکسسوری حذف از لیست اصلی'!C:C,MATCH(K232,'اکسسوری حذف از لیست اصلی'!T:T,0))</f>
        <v>9901010159</v>
      </c>
      <c r="F232" s="109" t="str">
        <f>INDEX('اکسسوری حذف از لیست اصلی'!D:D,MATCH(K232,'اکسسوری حذف از لیست اصلی'!T:T,0))</f>
        <v>آباژور ایستاده چوبی خود رنگ FL-W159</v>
      </c>
      <c r="G232" s="110" t="str">
        <f>INDEX('اکسسوری حذف از لیست اصلی'!E:E,MATCH(K232,'اکسسوری حذف از لیست اصلی'!T:T,0))</f>
        <v>-</v>
      </c>
      <c r="H232" s="110" t="str">
        <f>INDEX('اکسسوری حذف از لیست اصلی'!F:F,MATCH(K232,'اکسسوری حذف از لیست اصلی'!T:T,0))</f>
        <v>-</v>
      </c>
      <c r="I232" s="110" t="str">
        <f>INDEX('اکسسوری حذف از لیست اصلی'!G:G,MATCH(K232,'اکسسوری حذف از لیست اصلی'!T:T,0))</f>
        <v>-</v>
      </c>
      <c r="J232" s="74">
        <f>INDEX('اکسسوری حذف از لیست اصلی'!J:J,MATCH(K232,'اکسسوری حذف از لیست اصلی'!T:T,0))</f>
        <v>297000000</v>
      </c>
      <c r="K232" s="64">
        <v>75</v>
      </c>
    </row>
    <row r="233" spans="1:11" ht="40.5" customHeight="1">
      <c r="A233" s="60"/>
      <c r="B233" s="61"/>
      <c r="D233" s="73">
        <v>7</v>
      </c>
      <c r="E233" s="109">
        <f>INDEX('اکسسوری حذف از لیست اصلی'!C:C,MATCH(K233,'اکسسوری حذف از لیست اصلی'!T:T,0))</f>
        <v>9901010192</v>
      </c>
      <c r="F233" s="109" t="str">
        <f>INDEX('اکسسوری حذف از لیست اصلی'!D:D,MATCH(K233,'اکسسوری حذف از لیست اصلی'!T:T,0))</f>
        <v>آباژور کنار سالنی عصایی سنگ مشکی FL-S192</v>
      </c>
      <c r="G233" s="110" t="str">
        <f>INDEX('اکسسوری حذف از لیست اصلی'!E:E,MATCH(K233,'اکسسوری حذف از لیست اصلی'!T:T,0))</f>
        <v>-</v>
      </c>
      <c r="H233" s="110" t="str">
        <f>INDEX('اکسسوری حذف از لیست اصلی'!F:F,MATCH(K233,'اکسسوری حذف از لیست اصلی'!T:T,0))</f>
        <v>-</v>
      </c>
      <c r="I233" s="110" t="str">
        <f>INDEX('اکسسوری حذف از لیست اصلی'!G:G,MATCH(K233,'اکسسوری حذف از لیست اصلی'!T:T,0))</f>
        <v>-</v>
      </c>
      <c r="J233" s="74">
        <f>INDEX('اکسسوری حذف از لیست اصلی'!J:J,MATCH(K233,'اکسسوری حذف از لیست اصلی'!T:T,0))</f>
        <v>325000000</v>
      </c>
      <c r="K233" s="64">
        <v>76</v>
      </c>
    </row>
    <row r="234" spans="1:11" ht="40.5" customHeight="1">
      <c r="A234" s="60"/>
      <c r="B234" s="61"/>
      <c r="D234" s="73">
        <v>8</v>
      </c>
      <c r="E234" s="109">
        <f>INDEX('اکسسوری حذف از لیست اصلی'!C:C,MATCH(K234,'اکسسوری حذف از لیست اصلی'!T:T,0))</f>
        <v>9901010214</v>
      </c>
      <c r="F234" s="109" t="str">
        <f>INDEX('اکسسوری حذف از لیست اصلی'!D:D,MATCH(K234,'اکسسوری حذف از لیست اصلی'!T:T,0))</f>
        <v>آ باژور زمینی شیشه ای  پلاتینی بزرگFL-G214</v>
      </c>
      <c r="G234" s="110">
        <f>INDEX('اکسسوری حذف از لیست اصلی'!E:E,MATCH(K234,'اکسسوری حذف از لیست اصلی'!T:T,0))</f>
        <v>0</v>
      </c>
      <c r="H234" s="110">
        <f>INDEX('اکسسوری حذف از لیست اصلی'!F:F,MATCH(K234,'اکسسوری حذف از لیست اصلی'!T:T,0))</f>
        <v>0</v>
      </c>
      <c r="I234" s="110">
        <f>INDEX('اکسسوری حذف از لیست اصلی'!G:G,MATCH(K234,'اکسسوری حذف از لیست اصلی'!T:T,0))</f>
        <v>0</v>
      </c>
      <c r="J234" s="74">
        <f>INDEX('اکسسوری حذف از لیست اصلی'!J:J,MATCH(K234,'اکسسوری حذف از لیست اصلی'!T:T,0))</f>
        <v>108000000</v>
      </c>
      <c r="K234" s="64">
        <v>77</v>
      </c>
    </row>
    <row r="235" spans="1:11" ht="40.5" customHeight="1">
      <c r="A235" s="60"/>
      <c r="B235" s="61"/>
      <c r="D235" s="73">
        <v>9</v>
      </c>
      <c r="E235" s="109">
        <f>INDEX('اکسسوری حذف از لیست اصلی'!C:C,MATCH(K235,'اکسسوری حذف از لیست اصلی'!T:T,0))</f>
        <v>9901010215</v>
      </c>
      <c r="F235" s="109" t="str">
        <f>INDEX('اکسسوری حذف از لیست اصلی'!D:D,MATCH(K235,'اکسسوری حذف از لیست اصلی'!T:T,0))</f>
        <v>آ باژور زمینی شیشه ای  پلاتینی کوچکFL-G215</v>
      </c>
      <c r="G235" s="110">
        <f>INDEX('اکسسوری حذف از لیست اصلی'!E:E,MATCH(K235,'اکسسوری حذف از لیست اصلی'!T:T,0))</f>
        <v>0</v>
      </c>
      <c r="H235" s="110">
        <f>INDEX('اکسسوری حذف از لیست اصلی'!F:F,MATCH(K235,'اکسسوری حذف از لیست اصلی'!T:T,0))</f>
        <v>0</v>
      </c>
      <c r="I235" s="110">
        <f>INDEX('اکسسوری حذف از لیست اصلی'!G:G,MATCH(K235,'اکسسوری حذف از لیست اصلی'!T:T,0))</f>
        <v>0</v>
      </c>
      <c r="J235" s="74">
        <f>INDEX('اکسسوری حذف از لیست اصلی'!J:J,MATCH(K235,'اکسسوری حذف از لیست اصلی'!T:T,0))</f>
        <v>90000000</v>
      </c>
      <c r="K235" s="64">
        <v>78</v>
      </c>
    </row>
    <row r="236" spans="1:11" ht="40.5" customHeight="1">
      <c r="A236" s="60"/>
      <c r="B236" s="61"/>
      <c r="D236" s="73">
        <v>10</v>
      </c>
      <c r="E236" s="109">
        <f>INDEX('اکسسوری حذف از لیست اصلی'!C:C,MATCH(K236,'اکسسوری حذف از لیست اصلی'!T:T,0))</f>
        <v>9901010216</v>
      </c>
      <c r="F236" s="109" t="str">
        <f>INDEX('اکسسوری حذف از لیست اصلی'!D:D,MATCH(K236,'اکسسوری حذف از لیست اصلی'!T:T,0))</f>
        <v>آ باژور زمینی شیشه ای دودی بزرگFL-G216</v>
      </c>
      <c r="G236" s="110">
        <f>INDEX('اکسسوری حذف از لیست اصلی'!E:E,MATCH(K236,'اکسسوری حذف از لیست اصلی'!T:T,0))</f>
        <v>0</v>
      </c>
      <c r="H236" s="110">
        <f>INDEX('اکسسوری حذف از لیست اصلی'!F:F,MATCH(K236,'اکسسوری حذف از لیست اصلی'!T:T,0))</f>
        <v>0</v>
      </c>
      <c r="I236" s="110">
        <f>INDEX('اکسسوری حذف از لیست اصلی'!G:G,MATCH(K236,'اکسسوری حذف از لیست اصلی'!T:T,0))</f>
        <v>0</v>
      </c>
      <c r="J236" s="74">
        <f>INDEX('اکسسوری حذف از لیست اصلی'!J:J,MATCH(K236,'اکسسوری حذف از لیست اصلی'!T:T,0))</f>
        <v>108000000</v>
      </c>
      <c r="K236" s="64">
        <v>79</v>
      </c>
    </row>
    <row r="237" spans="1:11" ht="40.5" customHeight="1">
      <c r="A237" s="60"/>
      <c r="B237" s="61"/>
      <c r="D237" s="73">
        <v>11</v>
      </c>
      <c r="E237" s="109">
        <f>INDEX('اکسسوری حذف از لیست اصلی'!C:C,MATCH(K237,'اکسسوری حذف از لیست اصلی'!T:T,0))</f>
        <v>9901010217</v>
      </c>
      <c r="F237" s="109" t="str">
        <f>INDEX('اکسسوری حذف از لیست اصلی'!D:D,MATCH(K237,'اکسسوری حذف از لیست اصلی'!T:T,0))</f>
        <v>آ باژور زمینی شیشه ای دودی کوچکFL-G217</v>
      </c>
      <c r="G237" s="110">
        <f>INDEX('اکسسوری حذف از لیست اصلی'!E:E,MATCH(K237,'اکسسوری حذف از لیست اصلی'!T:T,0))</f>
        <v>0</v>
      </c>
      <c r="H237" s="110">
        <f>INDEX('اکسسوری حذف از لیست اصلی'!F:F,MATCH(K237,'اکسسوری حذف از لیست اصلی'!T:T,0))</f>
        <v>0</v>
      </c>
      <c r="I237" s="110">
        <f>INDEX('اکسسوری حذف از لیست اصلی'!G:G,MATCH(K237,'اکسسوری حذف از لیست اصلی'!T:T,0))</f>
        <v>0</v>
      </c>
      <c r="J237" s="74">
        <f>INDEX('اکسسوری حذف از لیست اصلی'!J:J,MATCH(K237,'اکسسوری حذف از لیست اصلی'!T:T,0))</f>
        <v>90000000</v>
      </c>
      <c r="K237" s="64">
        <v>80</v>
      </c>
    </row>
    <row r="238" spans="1:11" ht="40.5" customHeight="1">
      <c r="A238" s="60"/>
      <c r="B238" s="61"/>
      <c r="D238" s="73">
        <v>12</v>
      </c>
      <c r="E238" s="109">
        <f>INDEX('اکسسوری حذف از لیست اصلی'!C:C,MATCH(K238,'اکسسوری حذف از لیست اصلی'!T:T,0))</f>
        <v>9901010218</v>
      </c>
      <c r="F238" s="109" t="str">
        <f>INDEX('اکسسوری حذف از لیست اصلی'!D:D,MATCH(K238,'اکسسوری حذف از لیست اصلی'!T:T,0))</f>
        <v>آباژور ایستاده سنگی مشکیFL-S218</v>
      </c>
      <c r="G238" s="110">
        <f>INDEX('اکسسوری حذف از لیست اصلی'!E:E,MATCH(K238,'اکسسوری حذف از لیست اصلی'!T:T,0))</f>
        <v>0</v>
      </c>
      <c r="H238" s="110">
        <f>INDEX('اکسسوری حذف از لیست اصلی'!F:F,MATCH(K238,'اکسسوری حذف از لیست اصلی'!T:T,0))</f>
        <v>0</v>
      </c>
      <c r="I238" s="110">
        <f>INDEX('اکسسوری حذف از لیست اصلی'!G:G,MATCH(K238,'اکسسوری حذف از لیست اصلی'!T:T,0))</f>
        <v>0</v>
      </c>
      <c r="J238" s="74">
        <f>INDEX('اکسسوری حذف از لیست اصلی'!J:J,MATCH(K238,'اکسسوری حذف از لیست اصلی'!T:T,0))</f>
        <v>342000000</v>
      </c>
      <c r="K238" s="64">
        <v>81</v>
      </c>
    </row>
    <row r="239" spans="1:11">
      <c r="A239" s="60"/>
      <c r="B239" s="61"/>
      <c r="D239" s="65"/>
      <c r="E239" s="65"/>
      <c r="G239" s="28"/>
      <c r="H239" s="28"/>
      <c r="I239" s="28"/>
      <c r="J239" s="74"/>
    </row>
    <row r="240" spans="1:11">
      <c r="A240" s="60"/>
      <c r="B240" s="61"/>
      <c r="D240" s="65"/>
      <c r="E240" s="65"/>
      <c r="G240" s="28"/>
      <c r="H240" s="28"/>
      <c r="I240" s="28"/>
      <c r="J240" s="74"/>
    </row>
    <row r="241" spans="1:11">
      <c r="A241" s="60"/>
      <c r="B241" s="61"/>
      <c r="D241" s="65"/>
      <c r="E241" s="65"/>
      <c r="G241" s="28"/>
      <c r="H241" s="28"/>
      <c r="I241" s="28"/>
      <c r="J241" s="74"/>
    </row>
    <row r="242" spans="1:11">
      <c r="A242" s="60"/>
      <c r="B242" s="61"/>
      <c r="D242" s="65"/>
      <c r="E242" s="65"/>
      <c r="G242" s="28"/>
      <c r="H242" s="28"/>
      <c r="I242" s="28"/>
      <c r="J242" s="74"/>
    </row>
    <row r="243" spans="1:11">
      <c r="A243" s="60"/>
      <c r="B243" s="61"/>
      <c r="D243"/>
      <c r="E243"/>
      <c r="F243"/>
      <c r="G243"/>
      <c r="H243"/>
      <c r="I243"/>
      <c r="J243"/>
    </row>
    <row r="244" spans="1:11">
      <c r="A244" s="60"/>
      <c r="B244" s="61"/>
      <c r="D244"/>
      <c r="E244"/>
      <c r="F244"/>
      <c r="G244"/>
      <c r="H244"/>
      <c r="I244"/>
      <c r="J244"/>
    </row>
    <row r="245" spans="1:11">
      <c r="A245" s="60"/>
      <c r="B245" s="61"/>
      <c r="J245" s="74">
        <v>7</v>
      </c>
    </row>
    <row r="246" spans="1:11">
      <c r="A246" s="70"/>
      <c r="B246" s="71"/>
      <c r="C246" s="183"/>
      <c r="D246" s="184"/>
      <c r="E246" s="184"/>
      <c r="F246" s="184"/>
      <c r="G246" s="184"/>
      <c r="H246" s="184"/>
      <c r="I246" s="184"/>
      <c r="J246" s="184"/>
    </row>
    <row r="247" spans="1:11">
      <c r="A247" s="70"/>
      <c r="B247" s="71"/>
      <c r="C247" s="183"/>
      <c r="D247" s="184"/>
      <c r="E247" s="184"/>
      <c r="F247" s="184"/>
      <c r="G247" s="184"/>
      <c r="H247" s="184"/>
      <c r="I247" s="184"/>
      <c r="J247" s="184"/>
    </row>
    <row r="248" spans="1:11" ht="27.75">
      <c r="A248" s="70"/>
      <c r="B248" s="71"/>
      <c r="C248" s="72"/>
      <c r="D248" s="67" t="s">
        <v>842</v>
      </c>
      <c r="J248" s="68" t="str">
        <f>$N$1</f>
        <v>1405/02/23</v>
      </c>
    </row>
    <row r="249" spans="1:11" ht="36">
      <c r="A249" s="70"/>
      <c r="B249" s="71"/>
      <c r="C249" s="77"/>
      <c r="D249" s="75" t="s">
        <v>0</v>
      </c>
      <c r="E249" s="69" t="s">
        <v>1</v>
      </c>
      <c r="F249" s="107" t="s">
        <v>448</v>
      </c>
      <c r="G249" s="108" t="s">
        <v>1141</v>
      </c>
      <c r="H249" s="108" t="s">
        <v>1142</v>
      </c>
      <c r="I249" s="108" t="s">
        <v>1143</v>
      </c>
      <c r="J249" s="68" t="s">
        <v>251</v>
      </c>
    </row>
    <row r="250" spans="1:11" ht="27" customHeight="1">
      <c r="A250" s="60"/>
      <c r="B250" s="61"/>
      <c r="D250" s="73">
        <v>1</v>
      </c>
      <c r="E250" s="109">
        <f>INDEX('اکسسوری حذف از لیست اصلی'!C:C,MATCH(K250,'اکسسوری حذف از لیست اصلی'!T:T,0))</f>
        <v>9901010111</v>
      </c>
      <c r="F250" s="109" t="str">
        <f>INDEX('اکسسوری حذف از لیست اصلی'!D:D,MATCH(K250,'اکسسوری حذف از لیست اصلی'!T:T,0))</f>
        <v>لوستر روشنایی فلز رزگلد CL-M111</v>
      </c>
      <c r="G250" s="110">
        <f>INDEX('اکسسوری حذف از لیست اصلی'!E:E,MATCH(K250,'اکسسوری حذف از لیست اصلی'!T:T,0))</f>
        <v>80</v>
      </c>
      <c r="H250" s="110">
        <f>INDEX('اکسسوری حذف از لیست اصلی'!F:F,MATCH(K250,'اکسسوری حذف از لیست اصلی'!T:T,0))</f>
        <v>95</v>
      </c>
      <c r="I250" s="110">
        <f>INDEX('اکسسوری حذف از لیست اصلی'!G:G,MATCH(K250,'اکسسوری حذف از لیست اصلی'!T:T,0))</f>
        <v>95</v>
      </c>
      <c r="J250" s="74">
        <f>INDEX('اکسسوری حذف از لیست اصلی'!J:J,MATCH(K250,'اکسسوری حذف از لیست اصلی'!T:T,0))</f>
        <v>1274000000</v>
      </c>
      <c r="K250" s="64">
        <v>82</v>
      </c>
    </row>
    <row r="251" spans="1:11" ht="27" customHeight="1">
      <c r="A251" s="60"/>
      <c r="B251" s="61"/>
      <c r="C251" s="78"/>
      <c r="D251" s="79">
        <v>2</v>
      </c>
      <c r="E251" s="109">
        <f>INDEX('اکسسوری حذف از لیست اصلی'!C:C,MATCH(K251,'اکسسوری حذف از لیست اصلی'!T:T,0))</f>
        <v>9901010113</v>
      </c>
      <c r="F251" s="109" t="str">
        <f>INDEX('اکسسوری حذف از لیست اصلی'!D:D,MATCH(K251,'اکسسوری حذف از لیست اصلی'!T:T,0))</f>
        <v>لوستر روشنایی فلز طلاییCL-M113</v>
      </c>
      <c r="G251" s="110" t="str">
        <f>INDEX('اکسسوری حذف از لیست اصلی'!E:E,MATCH(K251,'اکسسوری حذف از لیست اصلی'!T:T,0))</f>
        <v>90*73</v>
      </c>
      <c r="H251" s="110">
        <f>INDEX('اکسسوری حذف از لیست اصلی'!F:F,MATCH(K251,'اکسسوری حذف از لیست اصلی'!T:T,0))</f>
        <v>0</v>
      </c>
      <c r="I251" s="110">
        <f>INDEX('اکسسوری حذف از لیست اصلی'!G:G,MATCH(K251,'اکسسوری حذف از لیست اصلی'!T:T,0))</f>
        <v>0</v>
      </c>
      <c r="J251" s="74">
        <f>INDEX('اکسسوری حذف از لیست اصلی'!J:J,MATCH(K251,'اکسسوری حذف از لیست اصلی'!T:T,0))</f>
        <v>183000000</v>
      </c>
      <c r="K251" s="64">
        <v>83</v>
      </c>
    </row>
    <row r="252" spans="1:11" ht="27" customHeight="1">
      <c r="A252" s="60"/>
      <c r="B252" s="61"/>
      <c r="D252" s="79">
        <v>3</v>
      </c>
      <c r="E252" s="109">
        <f>INDEX('اکسسوری حذف از لیست اصلی'!C:C,MATCH(K252,'اکسسوری حذف از لیست اصلی'!T:T,0))</f>
        <v>9901010114</v>
      </c>
      <c r="F252" s="109" t="str">
        <f>INDEX('اکسسوری حذف از لیست اصلی'!D:D,MATCH(K252,'اکسسوری حذف از لیست اصلی'!T:T,0))</f>
        <v>لوستر روشنایی فلز طلاییCL-M114</v>
      </c>
      <c r="G252" s="110">
        <f>INDEX('اکسسوری حذف از لیست اصلی'!E:E,MATCH(K252,'اکسسوری حذف از لیست اصلی'!T:T,0))</f>
        <v>95</v>
      </c>
      <c r="H252" s="110">
        <f>INDEX('اکسسوری حذف از لیست اصلی'!F:F,MATCH(K252,'اکسسوری حذف از لیست اصلی'!T:T,0))</f>
        <v>60</v>
      </c>
      <c r="I252" s="110">
        <f>INDEX('اکسسوری حذف از لیست اصلی'!G:G,MATCH(K252,'اکسسوری حذف از لیست اصلی'!T:T,0))</f>
        <v>110</v>
      </c>
      <c r="J252" s="74">
        <f>INDEX('اکسسوری حذف از لیست اصلی'!J:J,MATCH(K252,'اکسسوری حذف از لیست اصلی'!T:T,0))</f>
        <v>736000000</v>
      </c>
      <c r="K252" s="64">
        <v>84</v>
      </c>
    </row>
    <row r="253" spans="1:11" ht="27" customHeight="1">
      <c r="A253" s="60"/>
      <c r="B253" s="61"/>
      <c r="D253" s="79">
        <v>4</v>
      </c>
      <c r="E253" s="109">
        <f>INDEX('اکسسوری حذف از لیست اصلی'!C:C,MATCH(K253,'اکسسوری حذف از لیست اصلی'!T:T,0))</f>
        <v>9901010116</v>
      </c>
      <c r="F253" s="109" t="str">
        <f>INDEX('اکسسوری حذف از لیست اصلی'!D:D,MATCH(K253,'اکسسوری حذف از لیست اصلی'!T:T,0))</f>
        <v>لوستر روشنایی فلز مشکی CL-M116</v>
      </c>
      <c r="G253" s="110">
        <f>INDEX('اکسسوری حذف از لیست اصلی'!E:E,MATCH(K253,'اکسسوری حذف از لیست اصلی'!T:T,0))</f>
        <v>65</v>
      </c>
      <c r="H253" s="110">
        <f>INDEX('اکسسوری حذف از لیست اصلی'!F:F,MATCH(K253,'اکسسوری حذف از لیست اصلی'!T:T,0))</f>
        <v>110</v>
      </c>
      <c r="I253" s="110">
        <f>INDEX('اکسسوری حذف از لیست اصلی'!G:G,MATCH(K253,'اکسسوری حذف از لیست اصلی'!T:T,0))</f>
        <v>110</v>
      </c>
      <c r="J253" s="74">
        <f>INDEX('اکسسوری حذف از لیست اصلی'!J:J,MATCH(K253,'اکسسوری حذف از لیست اصلی'!T:T,0))</f>
        <v>325000000</v>
      </c>
      <c r="K253" s="64">
        <v>85</v>
      </c>
    </row>
    <row r="254" spans="1:11" ht="27" customHeight="1">
      <c r="A254" s="60"/>
      <c r="B254" s="61"/>
      <c r="D254" s="79">
        <v>5</v>
      </c>
      <c r="E254" s="109">
        <f>INDEX('اکسسوری حذف از لیست اصلی'!C:C,MATCH(K254,'اکسسوری حذف از لیست اصلی'!T:T,0))</f>
        <v>9901010143</v>
      </c>
      <c r="F254" s="109" t="str">
        <f>INDEX('اکسسوری حذف از لیست اصلی'!D:D,MATCH(K254,'اکسسوری حذف از لیست اصلی'!T:T,0))</f>
        <v>لوستر روشنایی چوب و فلز آنتیک CL-MW143</v>
      </c>
      <c r="G254" s="110" t="str">
        <f>INDEX('اکسسوری حذف از لیست اصلی'!E:E,MATCH(K254,'اکسسوری حذف از لیست اصلی'!T:T,0))</f>
        <v>-</v>
      </c>
      <c r="H254" s="110" t="str">
        <f>INDEX('اکسسوری حذف از لیست اصلی'!F:F,MATCH(K254,'اکسسوری حذف از لیست اصلی'!T:T,0))</f>
        <v>-</v>
      </c>
      <c r="I254" s="110" t="str">
        <f>INDEX('اکسسوری حذف از لیست اصلی'!G:G,MATCH(K254,'اکسسوری حذف از لیست اصلی'!T:T,0))</f>
        <v>-</v>
      </c>
      <c r="J254" s="74">
        <f>INDEX('اکسسوری حذف از لیست اصلی'!J:J,MATCH(K254,'اکسسوری حذف از لیست اصلی'!T:T,0))</f>
        <v>826000000</v>
      </c>
      <c r="K254" s="64">
        <v>86</v>
      </c>
    </row>
    <row r="255" spans="1:11" ht="27" customHeight="1">
      <c r="A255" s="60"/>
      <c r="B255" s="61"/>
      <c r="D255" s="79">
        <v>6</v>
      </c>
      <c r="E255" s="109">
        <f>INDEX('اکسسوری حذف از لیست اصلی'!C:C,MATCH(K255,'اکسسوری حذف از لیست اصلی'!T:T,0))</f>
        <v>9901010149</v>
      </c>
      <c r="F255" s="109" t="str">
        <f>INDEX('اکسسوری حذف از لیست اصلی'!D:D,MATCH(K255,'اکسسوری حذف از لیست اصلی'!T:T,0))</f>
        <v>لوستر روشنایی فلز مشکی LL-M149</v>
      </c>
      <c r="G255" s="110" t="str">
        <f>INDEX('اکسسوری حذف از لیست اصلی'!E:E,MATCH(K255,'اکسسوری حذف از لیست اصلی'!T:T,0))</f>
        <v>90*35</v>
      </c>
      <c r="H255" s="110">
        <f>INDEX('اکسسوری حذف از لیست اصلی'!F:F,MATCH(K255,'اکسسوری حذف از لیست اصلی'!T:T,0))</f>
        <v>0</v>
      </c>
      <c r="I255" s="110">
        <f>INDEX('اکسسوری حذف از لیست اصلی'!G:G,MATCH(K255,'اکسسوری حذف از لیست اصلی'!T:T,0))</f>
        <v>0</v>
      </c>
      <c r="J255" s="74">
        <f>INDEX('اکسسوری حذف از لیست اصلی'!J:J,MATCH(K255,'اکسسوری حذف از لیست اصلی'!T:T,0))</f>
        <v>967000000</v>
      </c>
      <c r="K255" s="64">
        <v>87</v>
      </c>
    </row>
    <row r="256" spans="1:11" ht="27" customHeight="1">
      <c r="A256" s="60"/>
      <c r="B256" s="61"/>
      <c r="D256" s="79">
        <v>7</v>
      </c>
      <c r="E256" s="109">
        <f>INDEX('اکسسوری حذف از لیست اصلی'!C:C,MATCH(K256,'اکسسوری حذف از لیست اصلی'!T:T,0))</f>
        <v>9901010150</v>
      </c>
      <c r="F256" s="109" t="str">
        <f>INDEX('اکسسوری حذف از لیست اصلی'!D:D,MATCH(K256,'اکسسوری حذف از لیست اصلی'!T:T,0))</f>
        <v>لوستر روشنایی فلز مشکی LL-M150</v>
      </c>
      <c r="G256" s="110" t="str">
        <f>INDEX('اکسسوری حذف از لیست اصلی'!E:E,MATCH(K256,'اکسسوری حذف از لیست اصلی'!T:T,0))</f>
        <v>120*35</v>
      </c>
      <c r="H256" s="110">
        <f>INDEX('اکسسوری حذف از لیست اصلی'!F:F,MATCH(K256,'اکسسوری حذف از لیست اصلی'!T:T,0))</f>
        <v>0</v>
      </c>
      <c r="I256" s="110">
        <f>INDEX('اکسسوری حذف از لیست اصلی'!G:G,MATCH(K256,'اکسسوری حذف از لیست اصلی'!T:T,0))</f>
        <v>0</v>
      </c>
      <c r="J256" s="74">
        <f>INDEX('اکسسوری حذف از لیست اصلی'!J:J,MATCH(K256,'اکسسوری حذف از لیست اصلی'!T:T,0))</f>
        <v>1203000000</v>
      </c>
      <c r="K256" s="64">
        <v>88</v>
      </c>
    </row>
    <row r="257" spans="1:11" ht="27" customHeight="1">
      <c r="A257" s="60"/>
      <c r="B257" s="61"/>
      <c r="D257" s="79">
        <v>8</v>
      </c>
      <c r="E257" s="109">
        <f>INDEX('اکسسوری حذف از لیست اصلی'!C:C,MATCH(K257,'اکسسوری حذف از لیست اصلی'!T:T,0))</f>
        <v>9901010155</v>
      </c>
      <c r="F257" s="109" t="str">
        <f>INDEX('اکسسوری حذف از لیست اصلی'!D:D,MATCH(K257,'اکسسوری حذف از لیست اصلی'!T:T,0))</f>
        <v xml:space="preserve">لوستر روشنایی فلز مشکی CL-M155 </v>
      </c>
      <c r="G257" s="110" t="str">
        <f>INDEX('اکسسوری حذف از لیست اصلی'!E:E,MATCH(K257,'اکسسوری حذف از لیست اصلی'!T:T,0))</f>
        <v>-</v>
      </c>
      <c r="H257" s="110" t="str">
        <f>INDEX('اکسسوری حذف از لیست اصلی'!F:F,MATCH(K257,'اکسسوری حذف از لیست اصلی'!T:T,0))</f>
        <v>-</v>
      </c>
      <c r="I257" s="110" t="str">
        <f>INDEX('اکسسوری حذف از لیست اصلی'!G:G,MATCH(K257,'اکسسوری حذف از لیست اصلی'!T:T,0))</f>
        <v>-</v>
      </c>
      <c r="J257" s="74">
        <f>INDEX('اکسسوری حذف از لیست اصلی'!J:J,MATCH(K257,'اکسسوری حذف از لیست اصلی'!T:T,0))</f>
        <v>943000000</v>
      </c>
      <c r="K257" s="64">
        <v>89</v>
      </c>
    </row>
    <row r="258" spans="1:11" ht="27" customHeight="1">
      <c r="A258" s="60"/>
      <c r="B258" s="61"/>
      <c r="D258" s="79">
        <v>9</v>
      </c>
      <c r="E258" s="109">
        <f>INDEX('اکسسوری حذف از لیست اصلی'!C:C,MATCH(K258,'اکسسوری حذف از لیست اصلی'!T:T,0))</f>
        <v>9901010156</v>
      </c>
      <c r="F258" s="109" t="str">
        <f>INDEX('اکسسوری حذف از لیست اصلی'!D:D,MATCH(K258,'اکسسوری حذف از لیست اصلی'!T:T,0))</f>
        <v>لوستر روشنایی فلزی آنتیک CL-M156</v>
      </c>
      <c r="G258" s="110" t="str">
        <f>INDEX('اکسسوری حذف از لیست اصلی'!E:E,MATCH(K258,'اکسسوری حذف از لیست اصلی'!T:T,0))</f>
        <v>-</v>
      </c>
      <c r="H258" s="110" t="str">
        <f>INDEX('اکسسوری حذف از لیست اصلی'!F:F,MATCH(K258,'اکسسوری حذف از لیست اصلی'!T:T,0))</f>
        <v>-</v>
      </c>
      <c r="I258" s="110" t="str">
        <f>INDEX('اکسسوری حذف از لیست اصلی'!G:G,MATCH(K258,'اکسسوری حذف از لیست اصلی'!T:T,0))</f>
        <v>-</v>
      </c>
      <c r="J258" s="74">
        <f>INDEX('اکسسوری حذف از لیست اصلی'!J:J,MATCH(K258,'اکسسوری حذف از لیست اصلی'!T:T,0))</f>
        <v>694000000</v>
      </c>
      <c r="K258" s="64">
        <v>90</v>
      </c>
    </row>
    <row r="259" spans="1:11" ht="27" customHeight="1">
      <c r="A259" s="60"/>
      <c r="B259" s="61"/>
      <c r="D259" s="79">
        <v>10</v>
      </c>
      <c r="E259" s="109">
        <f>INDEX('اکسسوری حذف از لیست اصلی'!C:C,MATCH(K259,'اکسسوری حذف از لیست اصلی'!T:T,0))</f>
        <v>9901010157</v>
      </c>
      <c r="F259" s="109" t="str">
        <f>INDEX('اکسسوری حذف از لیست اصلی'!D:D,MATCH(K259,'اکسسوری حذف از لیست اصلی'!T:T,0))</f>
        <v>لوستر روشنایی  فلزی مشکی CL-M157</v>
      </c>
      <c r="G259" s="110" t="str">
        <f>INDEX('اکسسوری حذف از لیست اصلی'!E:E,MATCH(K259,'اکسسوری حذف از لیست اصلی'!T:T,0))</f>
        <v>-</v>
      </c>
      <c r="H259" s="110" t="str">
        <f>INDEX('اکسسوری حذف از لیست اصلی'!F:F,MATCH(K259,'اکسسوری حذف از لیست اصلی'!T:T,0))</f>
        <v>-</v>
      </c>
      <c r="I259" s="110" t="str">
        <f>INDEX('اکسسوری حذف از لیست اصلی'!G:G,MATCH(K259,'اکسسوری حذف از لیست اصلی'!T:T,0))</f>
        <v>-</v>
      </c>
      <c r="J259" s="74">
        <f>INDEX('اکسسوری حذف از لیست اصلی'!J:J,MATCH(K259,'اکسسوری حذف از لیست اصلی'!T:T,0))</f>
        <v>908000000</v>
      </c>
      <c r="K259" s="64">
        <v>91</v>
      </c>
    </row>
    <row r="260" spans="1:11" ht="27" customHeight="1">
      <c r="A260" s="60"/>
      <c r="B260" s="61"/>
      <c r="D260" s="79">
        <v>11</v>
      </c>
      <c r="E260" s="109">
        <f>INDEX('اکسسوری حذف از لیست اصلی'!C:C,MATCH(K260,'اکسسوری حذف از لیست اصلی'!T:T,0))</f>
        <v>9901010158</v>
      </c>
      <c r="F260" s="109" t="str">
        <f>INDEX('اکسسوری حذف از لیست اصلی'!D:D,MATCH(K260,'اکسسوری حذف از لیست اصلی'!T:T,0))</f>
        <v>لوستر روشنایی فلزی آنتیک CL-M158</v>
      </c>
      <c r="G260" s="110" t="str">
        <f>INDEX('اکسسوری حذف از لیست اصلی'!E:E,MATCH(K260,'اکسسوری حذف از لیست اصلی'!T:T,0))</f>
        <v>-</v>
      </c>
      <c r="H260" s="110" t="str">
        <f>INDEX('اکسسوری حذف از لیست اصلی'!F:F,MATCH(K260,'اکسسوری حذف از لیست اصلی'!T:T,0))</f>
        <v>-</v>
      </c>
      <c r="I260" s="110" t="str">
        <f>INDEX('اکسسوری حذف از لیست اصلی'!G:G,MATCH(K260,'اکسسوری حذف از لیست اصلی'!T:T,0))</f>
        <v>-</v>
      </c>
      <c r="J260" s="74">
        <f>INDEX('اکسسوری حذف از لیست اصلی'!J:J,MATCH(K260,'اکسسوری حذف از لیست اصلی'!T:T,0))</f>
        <v>933000000</v>
      </c>
      <c r="K260" s="64">
        <v>92</v>
      </c>
    </row>
    <row r="261" spans="1:11" ht="27" customHeight="1">
      <c r="A261" s="60"/>
      <c r="B261" s="61"/>
      <c r="D261" s="79">
        <v>12</v>
      </c>
      <c r="E261" s="109">
        <f>INDEX('اکسسوری حذف از لیست اصلی'!C:C,MATCH(K261,'اکسسوری حذف از لیست اصلی'!T:T,0))</f>
        <v>9901010160</v>
      </c>
      <c r="F261" s="109" t="str">
        <f>INDEX('اکسسوری حذف از لیست اصلی'!D:D,MATCH(K261,'اکسسوری حذف از لیست اصلی'!T:T,0))</f>
        <v>لوستر روشنایی فلز طلایی CL-M160</v>
      </c>
      <c r="G261" s="110" t="str">
        <f>INDEX('اکسسوری حذف از لیست اصلی'!E:E,MATCH(K261,'اکسسوری حذف از لیست اصلی'!T:T,0))</f>
        <v>-</v>
      </c>
      <c r="H261" s="110" t="str">
        <f>INDEX('اکسسوری حذف از لیست اصلی'!F:F,MATCH(K261,'اکسسوری حذف از لیست اصلی'!T:T,0))</f>
        <v>-</v>
      </c>
      <c r="I261" s="110" t="str">
        <f>INDEX('اکسسوری حذف از لیست اصلی'!G:G,MATCH(K261,'اکسسوری حذف از لیست اصلی'!T:T,0))</f>
        <v>-</v>
      </c>
      <c r="J261" s="74">
        <f>INDEX('اکسسوری حذف از لیست اصلی'!J:J,MATCH(K261,'اکسسوری حذف از لیست اصلی'!T:T,0))</f>
        <v>649000000</v>
      </c>
      <c r="K261" s="64">
        <v>93</v>
      </c>
    </row>
    <row r="262" spans="1:11" ht="27" customHeight="1">
      <c r="A262" s="60"/>
      <c r="B262" s="61"/>
      <c r="D262" s="79">
        <v>13</v>
      </c>
      <c r="E262" s="109">
        <f>INDEX('اکسسوری حذف از لیست اصلی'!C:C,MATCH(K262,'اکسسوری حذف از لیست اصلی'!T:T,0))</f>
        <v>9901010161</v>
      </c>
      <c r="F262" s="109" t="str">
        <f>INDEX('اکسسوری حذف از لیست اصلی'!D:D,MATCH(K262,'اکسسوری حذف از لیست اصلی'!T:T,0))</f>
        <v>لوستر روشنایی فلزی مشکی CL-M161</v>
      </c>
      <c r="G262" s="110" t="str">
        <f>INDEX('اکسسوری حذف از لیست اصلی'!E:E,MATCH(K262,'اکسسوری حذف از لیست اصلی'!T:T,0))</f>
        <v>-</v>
      </c>
      <c r="H262" s="110" t="str">
        <f>INDEX('اکسسوری حذف از لیست اصلی'!F:F,MATCH(K262,'اکسسوری حذف از لیست اصلی'!T:T,0))</f>
        <v>-</v>
      </c>
      <c r="I262" s="110" t="str">
        <f>INDEX('اکسسوری حذف از لیست اصلی'!G:G,MATCH(K262,'اکسسوری حذف از لیست اصلی'!T:T,0))</f>
        <v>-</v>
      </c>
      <c r="J262" s="74">
        <f>INDEX('اکسسوری حذف از لیست اصلی'!J:J,MATCH(K262,'اکسسوری حذف از لیست اصلی'!T:T,0))</f>
        <v>649000000</v>
      </c>
      <c r="K262" s="64">
        <v>94</v>
      </c>
    </row>
    <row r="263" spans="1:11" ht="27" customHeight="1">
      <c r="A263" s="60"/>
      <c r="B263" s="61"/>
      <c r="D263" s="79">
        <v>14</v>
      </c>
      <c r="E263" s="109">
        <f>INDEX('اکسسوری حذف از لیست اصلی'!C:C,MATCH(K263,'اکسسوری حذف از لیست اصلی'!T:T,0))</f>
        <v>9901010163</v>
      </c>
      <c r="F263" s="109" t="str">
        <f>INDEX('اکسسوری حذف از لیست اصلی'!D:D,MATCH(K263,'اکسسوری حذف از لیست اصلی'!T:T,0))</f>
        <v xml:space="preserve">لوستر روشنایی فلزی ذغالیCL-M163 </v>
      </c>
      <c r="G263" s="110" t="str">
        <f>INDEX('اکسسوری حذف از لیست اصلی'!E:E,MATCH(K263,'اکسسوری حذف از لیست اصلی'!T:T,0))</f>
        <v>قطر 80</v>
      </c>
      <c r="H263" s="110">
        <f>INDEX('اکسسوری حذف از لیست اصلی'!F:F,MATCH(K263,'اکسسوری حذف از لیست اصلی'!T:T,0))</f>
        <v>0</v>
      </c>
      <c r="I263" s="110">
        <f>INDEX('اکسسوری حذف از لیست اصلی'!G:G,MATCH(K263,'اکسسوری حذف از لیست اصلی'!T:T,0))</f>
        <v>0</v>
      </c>
      <c r="J263" s="74">
        <f>INDEX('اکسسوری حذف از لیست اصلی'!J:J,MATCH(K263,'اکسسوری حذف از لیست اصلی'!T:T,0))</f>
        <v>1156000000</v>
      </c>
      <c r="K263" s="64">
        <v>95</v>
      </c>
    </row>
    <row r="264" spans="1:11" ht="34.5" customHeight="1">
      <c r="A264" s="60"/>
      <c r="B264" s="61"/>
      <c r="D264" s="79">
        <v>15</v>
      </c>
      <c r="E264" s="109">
        <f>INDEX('اکسسوری حذف از لیست اصلی'!C:C,MATCH(K264,'اکسسوری حذف از لیست اصلی'!T:T,0))</f>
        <v>9901010164</v>
      </c>
      <c r="F264" s="109" t="str">
        <f>INDEX('اکسسوری حذف از لیست اصلی'!D:D,MATCH(K264,'اکسسوری حذف از لیست اصلی'!T:T,0))</f>
        <v>لوستر روشنایی فلزی مشکی CL-M164</v>
      </c>
      <c r="G264" s="110" t="str">
        <f>INDEX('اکسسوری حذف از لیست اصلی'!E:E,MATCH(K264,'اکسسوری حذف از لیست اصلی'!T:T,0))</f>
        <v>قطر 60</v>
      </c>
      <c r="H264" s="110">
        <f>INDEX('اکسسوری حذف از لیست اصلی'!F:F,MATCH(K264,'اکسسوری حذف از لیست اصلی'!T:T,0))</f>
        <v>0</v>
      </c>
      <c r="I264" s="110">
        <f>INDEX('اکسسوری حذف از لیست اصلی'!G:G,MATCH(K264,'اکسسوری حذف از لیست اصلی'!T:T,0))</f>
        <v>0</v>
      </c>
      <c r="J264" s="74">
        <f>INDEX('اکسسوری حذف از لیست اصلی'!J:J,MATCH(K264,'اکسسوری حذف از لیست اصلی'!T:T,0))</f>
        <v>1090000000</v>
      </c>
      <c r="K264" s="64">
        <v>96</v>
      </c>
    </row>
    <row r="265" spans="1:11" ht="34.5" customHeight="1">
      <c r="A265" s="60"/>
      <c r="B265" s="61"/>
      <c r="D265" s="79">
        <v>16</v>
      </c>
      <c r="E265" s="109">
        <f>INDEX('اکسسوری حذف از لیست اصلی'!C:C,MATCH(K265,'اکسسوری حذف از لیست اصلی'!T:T,0))</f>
        <v>9901010168</v>
      </c>
      <c r="F265" s="109" t="str">
        <f>INDEX('اکسسوری حذف از لیست اصلی'!D:D,MATCH(K265,'اکسسوری حذف از لیست اصلی'!T:T,0))</f>
        <v>لوستر روشنایی فلزی گرد مشکی CL-M168 (15 عددی)</v>
      </c>
      <c r="G265" s="110" t="str">
        <f>INDEX('اکسسوری حذف از لیست اصلی'!E:E,MATCH(K265,'اکسسوری حذف از لیست اصلی'!T:T,0))</f>
        <v>-</v>
      </c>
      <c r="H265" s="110" t="str">
        <f>INDEX('اکسسوری حذف از لیست اصلی'!F:F,MATCH(K265,'اکسسوری حذف از لیست اصلی'!T:T,0))</f>
        <v>-</v>
      </c>
      <c r="I265" s="110" t="str">
        <f>INDEX('اکسسوری حذف از لیست اصلی'!G:G,MATCH(K265,'اکسسوری حذف از لیست اصلی'!T:T,0))</f>
        <v>-</v>
      </c>
      <c r="J265" s="74">
        <f>INDEX('اکسسوری حذف از لیست اصلی'!J:J,MATCH(K265,'اکسسوری حذف از لیست اصلی'!T:T,0))</f>
        <v>1783000000</v>
      </c>
      <c r="K265" s="64">
        <v>97</v>
      </c>
    </row>
    <row r="266" spans="1:11" ht="27" customHeight="1">
      <c r="A266" s="60"/>
      <c r="B266" s="61"/>
      <c r="D266" s="79">
        <v>17</v>
      </c>
      <c r="E266" s="109">
        <f>INDEX('اکسسوری حذف از لیست اصلی'!C:C,MATCH(K266,'اکسسوری حذف از لیست اصلی'!T:T,0))</f>
        <v>9901010179</v>
      </c>
      <c r="F266" s="109" t="str">
        <f>INDEX('اکسسوری حذف از لیست اصلی'!D:D,MATCH(K266,'اکسسوری حذف از لیست اصلی'!T:T,0))</f>
        <v>لوستر روشنايي فلزي طلايی CL-M179 (16 شعله)</v>
      </c>
      <c r="G266" s="110" t="str">
        <f>INDEX('اکسسوری حذف از لیست اصلی'!E:E,MATCH(K266,'اکسسوری حذف از لیست اصلی'!T:T,0))</f>
        <v>-</v>
      </c>
      <c r="H266" s="110" t="str">
        <f>INDEX('اکسسوری حذف از لیست اصلی'!F:F,MATCH(K266,'اکسسوری حذف از لیست اصلی'!T:T,0))</f>
        <v>-</v>
      </c>
      <c r="I266" s="110" t="str">
        <f>INDEX('اکسسوری حذف از لیست اصلی'!G:G,MATCH(K266,'اکسسوری حذف از لیست اصلی'!T:T,0))</f>
        <v>-</v>
      </c>
      <c r="J266" s="74">
        <f>INDEX('اکسسوری حذف از لیست اصلی'!J:J,MATCH(K266,'اکسسوری حذف از لیست اصلی'!T:T,0))</f>
        <v>1132000000</v>
      </c>
      <c r="K266" s="64">
        <v>98</v>
      </c>
    </row>
    <row r="267" spans="1:11" ht="27" customHeight="1">
      <c r="A267" s="60"/>
      <c r="B267" s="61"/>
      <c r="D267" s="79">
        <v>18</v>
      </c>
      <c r="E267" s="109">
        <f>INDEX('اکسسوری حذف از لیست اصلی'!C:C,MATCH(K267,'اکسسوری حذف از لیست اصلی'!T:T,0))</f>
        <v>9901010181</v>
      </c>
      <c r="F267" s="109" t="str">
        <f>INDEX('اکسسوری حذف از لیست اصلی'!D:D,MATCH(K267,'اکسسوری حذف از لیست اصلی'!T:T,0))</f>
        <v>لوستر روشنایی چوب و فلز ذغالسنگی CL-W181</v>
      </c>
      <c r="G267" s="110" t="str">
        <f>INDEX('اکسسوری حذف از لیست اصلی'!E:E,MATCH(K267,'اکسسوری حذف از لیست اصلی'!T:T,0))</f>
        <v>-</v>
      </c>
      <c r="H267" s="110" t="str">
        <f>INDEX('اکسسوری حذف از لیست اصلی'!F:F,MATCH(K267,'اکسسوری حذف از لیست اصلی'!T:T,0))</f>
        <v>-</v>
      </c>
      <c r="I267" s="110" t="str">
        <f>INDEX('اکسسوری حذف از لیست اصلی'!G:G,MATCH(K267,'اکسسوری حذف از لیست اصلی'!T:T,0))</f>
        <v>-</v>
      </c>
      <c r="J267" s="74">
        <f>INDEX('اکسسوری حذف از لیست اصلی'!J:J,MATCH(K267,'اکسسوری حذف از لیست اصلی'!T:T,0))</f>
        <v>1170000000</v>
      </c>
      <c r="K267" s="64">
        <v>99</v>
      </c>
    </row>
    <row r="268" spans="1:11" ht="27" customHeight="1">
      <c r="A268" s="60"/>
      <c r="B268" s="61"/>
      <c r="D268" s="79">
        <v>19</v>
      </c>
      <c r="E268" s="109">
        <f>INDEX('اکسسوری حذف از لیست اصلی'!C:C,MATCH(K268,'اکسسوری حذف از لیست اصلی'!T:T,0))</f>
        <v>9901010194</v>
      </c>
      <c r="F268" s="109" t="str">
        <f>INDEX('اکسسوری حذف از لیست اصلی'!D:D,MATCH(K268,'اکسسوری حذف از لیست اصلی'!T:T,0))</f>
        <v>لوستر گرد فلزی فریم مشکیCL-M194</v>
      </c>
      <c r="G268" s="110" t="str">
        <f>INDEX('اکسسوری حذف از لیست اصلی'!E:E,MATCH(K268,'اکسسوری حذف از لیست اصلی'!T:T,0))</f>
        <v>75*75</v>
      </c>
      <c r="H268" s="110">
        <f>INDEX('اکسسوری حذف از لیست اصلی'!F:F,MATCH(K268,'اکسسوری حذف از لیست اصلی'!T:T,0))</f>
        <v>0</v>
      </c>
      <c r="I268" s="110">
        <f>INDEX('اکسسوری حذف از لیست اصلی'!G:G,MATCH(K268,'اکسسوری حذف از لیست اصلی'!T:T,0))</f>
        <v>0</v>
      </c>
      <c r="J268" s="74">
        <f>INDEX('اکسسوری حذف از لیست اصلی'!J:J,MATCH(K268,'اکسسوری حذف از لیست اصلی'!T:T,0))</f>
        <v>844000000</v>
      </c>
      <c r="K268" s="64">
        <v>100</v>
      </c>
    </row>
    <row r="269" spans="1:11" ht="27" customHeight="1">
      <c r="A269" s="60"/>
      <c r="B269" s="61"/>
      <c r="D269" s="79">
        <v>20</v>
      </c>
      <c r="E269" s="109">
        <f>INDEX('اکسسوری حذف از لیست اصلی'!C:C,MATCH(K269,'اکسسوری حذف از لیست اصلی'!T:T,0))</f>
        <v>9901010195</v>
      </c>
      <c r="F269" s="109" t="str">
        <f>INDEX('اکسسوری حذف از لیست اصلی'!D:D,MATCH(K269,'اکسسوری حذف از لیست اصلی'!T:T,0))</f>
        <v>لوستر روشنایی فلزی طلایی CL-M195</v>
      </c>
      <c r="G269" s="110" t="str">
        <f>INDEX('اکسسوری حذف از لیست اصلی'!E:E,MATCH(K269,'اکسسوری حذف از لیست اصلی'!T:T,0))</f>
        <v>60*60</v>
      </c>
      <c r="H269" s="110">
        <f>INDEX('اکسسوری حذف از لیست اصلی'!F:F,MATCH(K269,'اکسسوری حذف از لیست اصلی'!T:T,0))</f>
        <v>0</v>
      </c>
      <c r="I269" s="110">
        <f>INDEX('اکسسوری حذف از لیست اصلی'!G:G,MATCH(K269,'اکسسوری حذف از لیست اصلی'!T:T,0))</f>
        <v>0</v>
      </c>
      <c r="J269" s="74">
        <f>INDEX('اکسسوری حذف از لیست اصلی'!J:J,MATCH(K269,'اکسسوری حذف از لیست اصلی'!T:T,0))</f>
        <v>1217000000</v>
      </c>
      <c r="K269" s="64">
        <v>101</v>
      </c>
    </row>
    <row r="270" spans="1:11" ht="33" customHeight="1">
      <c r="A270" s="60"/>
      <c r="B270" s="61"/>
      <c r="D270" s="79">
        <v>21</v>
      </c>
      <c r="E270" s="109">
        <f>INDEX('اکسسوری حذف از لیست اصلی'!C:C,MATCH(K270,'اکسسوری حذف از لیست اصلی'!T:T,0))</f>
        <v>9901010212</v>
      </c>
      <c r="F270" s="109" t="str">
        <f>INDEX('اکسسوری حذف از لیست اصلی'!D:D,MATCH(K270,'اکسسوری حذف از لیست اصلی'!T:T,0))</f>
        <v>لوستر روشنایی فلزی مشکی CL-M212 (قطر 50)</v>
      </c>
      <c r="G270" s="110" t="str">
        <f>INDEX('اکسسوری حذف از لیست اصلی'!E:E,MATCH(K270,'اکسسوری حذف از لیست اصلی'!T:T,0))</f>
        <v>بیسموت</v>
      </c>
      <c r="H270" s="110">
        <f>INDEX('اکسسوری حذف از لیست اصلی'!F:F,MATCH(K270,'اکسسوری حذف از لیست اصلی'!T:T,0))</f>
        <v>0</v>
      </c>
      <c r="I270" s="110">
        <f>INDEX('اکسسوری حذف از لیست اصلی'!G:G,MATCH(K270,'اکسسوری حذف از لیست اصلی'!T:T,0))</f>
        <v>0</v>
      </c>
      <c r="J270" s="74">
        <f>INDEX('اکسسوری حذف از لیست اصلی'!J:J,MATCH(K270,'اکسسوری حذف از لیست اصلی'!T:T,0))</f>
        <v>943000000</v>
      </c>
      <c r="K270" s="64">
        <v>102</v>
      </c>
    </row>
    <row r="271" spans="1:11" ht="18" customHeight="1">
      <c r="A271" s="60"/>
      <c r="B271" s="61"/>
      <c r="D271"/>
      <c r="E271"/>
      <c r="F271"/>
      <c r="G271"/>
      <c r="H271"/>
      <c r="I271"/>
      <c r="J271" s="74">
        <v>8</v>
      </c>
    </row>
    <row r="272" spans="1:11" ht="18" customHeight="1">
      <c r="A272" s="60"/>
      <c r="B272" s="61"/>
      <c r="C272" s="183"/>
      <c r="D272" s="184"/>
      <c r="E272" s="184"/>
      <c r="F272" s="184"/>
      <c r="G272" s="184"/>
      <c r="H272" s="184"/>
      <c r="I272" s="184"/>
      <c r="J272" s="184"/>
    </row>
    <row r="273" spans="1:11" ht="18" customHeight="1">
      <c r="A273" s="60"/>
      <c r="B273" s="61"/>
      <c r="C273" s="183"/>
      <c r="D273" s="184"/>
      <c r="E273" s="184"/>
      <c r="F273" s="184"/>
      <c r="G273" s="184"/>
      <c r="H273" s="184"/>
      <c r="I273" s="184"/>
      <c r="J273" s="184"/>
    </row>
    <row r="274" spans="1:11" ht="27.75">
      <c r="A274" s="70"/>
      <c r="B274" s="71"/>
      <c r="C274" s="72"/>
      <c r="D274" s="67" t="s">
        <v>847</v>
      </c>
      <c r="J274" s="68" t="str">
        <f>$N$1</f>
        <v>1405/02/23</v>
      </c>
    </row>
    <row r="275" spans="1:11" ht="36">
      <c r="A275" s="70"/>
      <c r="B275" s="71"/>
      <c r="C275" s="77"/>
      <c r="D275" s="75" t="s">
        <v>0</v>
      </c>
      <c r="E275" s="69" t="s">
        <v>1</v>
      </c>
      <c r="F275" s="107" t="s">
        <v>448</v>
      </c>
      <c r="G275" s="108" t="s">
        <v>1141</v>
      </c>
      <c r="H275" s="108" t="s">
        <v>1142</v>
      </c>
      <c r="I275" s="108" t="s">
        <v>1143</v>
      </c>
      <c r="J275" s="68" t="s">
        <v>251</v>
      </c>
    </row>
    <row r="276" spans="1:11" ht="47.25" customHeight="1">
      <c r="A276" s="60"/>
      <c r="B276" s="61"/>
      <c r="D276" s="73">
        <v>1</v>
      </c>
      <c r="E276" s="109">
        <f>INDEX('اکسسوری حذف از لیست اصلی'!C:C,MATCH(K276,'اکسسوری حذف از لیست اصلی'!T:T,0))</f>
        <v>9901010033</v>
      </c>
      <c r="F276" s="109" t="str">
        <f>INDEX('اکسسوری حذف از لیست اصلی'!D:D,MATCH(K276,'اکسسوری حذف از لیست اصلی'!T:T,0))</f>
        <v xml:space="preserve"> آویز روشنایی چوبی PL-W033</v>
      </c>
      <c r="G276" s="110">
        <f>INDEX('اکسسوری حذف از لیست اصلی'!E:E,MATCH(K276,'اکسسوری حذف از لیست اصلی'!T:T,0))</f>
        <v>13.5</v>
      </c>
      <c r="H276" s="110">
        <f>INDEX('اکسسوری حذف از لیست اصلی'!F:F,MATCH(K276,'اکسسوری حذف از لیست اصلی'!T:T,0))</f>
        <v>13.5</v>
      </c>
      <c r="I276" s="110">
        <f>INDEX('اکسسوری حذف از لیست اصلی'!G:G,MATCH(K276,'اکسسوری حذف از لیست اصلی'!T:T,0))</f>
        <v>18</v>
      </c>
      <c r="J276" s="74">
        <f>INDEX('اکسسوری حذف از لیست اصلی'!J:J,MATCH(K276,'اکسسوری حذف از لیست اصلی'!T:T,0))</f>
        <v>49000000</v>
      </c>
      <c r="K276" s="64">
        <v>103</v>
      </c>
    </row>
    <row r="277" spans="1:11" ht="47.25" customHeight="1">
      <c r="A277" s="60"/>
      <c r="B277" s="61"/>
      <c r="C277" s="78"/>
      <c r="D277" s="79">
        <v>2</v>
      </c>
      <c r="E277" s="109">
        <f>INDEX('اکسسوری حذف از لیست اصلی'!C:C,MATCH(K277,'اکسسوری حذف از لیست اصلی'!T:T,0))</f>
        <v>9901010034</v>
      </c>
      <c r="F277" s="109" t="str">
        <f>INDEX('اکسسوری حذف از لیست اصلی'!D:D,MATCH(K277,'اکسسوری حذف از لیست اصلی'!T:T,0))</f>
        <v xml:space="preserve"> آویز روشنایی چوبی PL-W034</v>
      </c>
      <c r="G277" s="110">
        <f>INDEX('اکسسوری حذف از لیست اصلی'!E:E,MATCH(K277,'اکسسوری حذف از لیست اصلی'!T:T,0))</f>
        <v>6.5</v>
      </c>
      <c r="H277" s="110">
        <f>INDEX('اکسسوری حذف از لیست اصلی'!F:F,MATCH(K277,'اکسسوری حذف از لیست اصلی'!T:T,0))</f>
        <v>6.5</v>
      </c>
      <c r="I277" s="110">
        <f>INDEX('اکسسوری حذف از لیست اصلی'!G:G,MATCH(K277,'اکسسوری حذف از لیست اصلی'!T:T,0))</f>
        <v>27.5</v>
      </c>
      <c r="J277" s="74">
        <f>INDEX('اکسسوری حذف از لیست اصلی'!J:J,MATCH(K277,'اکسسوری حذف از لیست اصلی'!T:T,0))</f>
        <v>45000000</v>
      </c>
      <c r="K277" s="64">
        <v>104</v>
      </c>
    </row>
    <row r="278" spans="1:11" ht="47.25" customHeight="1">
      <c r="A278" s="60"/>
      <c r="B278" s="61"/>
      <c r="D278" s="73">
        <v>3</v>
      </c>
      <c r="E278" s="109">
        <f>INDEX('اکسسوری حذف از لیست اصلی'!C:C,MATCH(K278,'اکسسوری حذف از لیست اصلی'!T:T,0))</f>
        <v>9901010035</v>
      </c>
      <c r="F278" s="109" t="str">
        <f>INDEX('اکسسوری حذف از لیست اصلی'!D:D,MATCH(K278,'اکسسوری حذف از لیست اصلی'!T:T,0))</f>
        <v xml:space="preserve"> آویز روشنایی چوبی PL-W035</v>
      </c>
      <c r="G278" s="110">
        <f>INDEX('اکسسوری حذف از لیست اصلی'!E:E,MATCH(K278,'اکسسوری حذف از لیست اصلی'!T:T,0))</f>
        <v>11</v>
      </c>
      <c r="H278" s="110">
        <f>INDEX('اکسسوری حذف از لیست اصلی'!F:F,MATCH(K278,'اکسسوری حذف از لیست اصلی'!T:T,0))</f>
        <v>11</v>
      </c>
      <c r="I278" s="110">
        <f>INDEX('اکسسوری حذف از لیست اصلی'!G:G,MATCH(K278,'اکسسوری حذف از لیست اصلی'!T:T,0))</f>
        <v>22</v>
      </c>
      <c r="J278" s="74">
        <f>INDEX('اکسسوری حذف از لیست اصلی'!J:J,MATCH(K278,'اکسسوری حذف از لیست اصلی'!T:T,0))</f>
        <v>49000000</v>
      </c>
      <c r="K278" s="64">
        <v>105</v>
      </c>
    </row>
    <row r="279" spans="1:11" ht="47.25" customHeight="1">
      <c r="A279" s="60"/>
      <c r="B279" s="61"/>
      <c r="D279" s="73">
        <v>4</v>
      </c>
      <c r="E279" s="109">
        <f>INDEX('اکسسوری حذف از لیست اصلی'!C:C,MATCH(K279,'اکسسوری حذف از لیست اصلی'!T:T,0))</f>
        <v>9901010036</v>
      </c>
      <c r="F279" s="109" t="str">
        <f>INDEX('اکسسوری حذف از لیست اصلی'!D:D,MATCH(K279,'اکسسوری حذف از لیست اصلی'!T:T,0))</f>
        <v xml:space="preserve"> آویز روشنایی چوبی PL-W036</v>
      </c>
      <c r="G279" s="110">
        <f>INDEX('اکسسوری حذف از لیست اصلی'!E:E,MATCH(K279,'اکسسوری حذف از لیست اصلی'!T:T,0))</f>
        <v>11</v>
      </c>
      <c r="H279" s="110">
        <f>INDEX('اکسسوری حذف از لیست اصلی'!F:F,MATCH(K279,'اکسسوری حذف از لیست اصلی'!T:T,0))</f>
        <v>11</v>
      </c>
      <c r="I279" s="110">
        <f>INDEX('اکسسوری حذف از لیست اصلی'!G:G,MATCH(K279,'اکسسوری حذف از لیست اصلی'!T:T,0))</f>
        <v>11</v>
      </c>
      <c r="J279" s="74">
        <f>INDEX('اکسسوری حذف از لیست اصلی'!J:J,MATCH(K279,'اکسسوری حذف از لیست اصلی'!T:T,0))</f>
        <v>38000000</v>
      </c>
      <c r="K279" s="64">
        <v>106</v>
      </c>
    </row>
    <row r="280" spans="1:11" ht="47.25" customHeight="1">
      <c r="A280" s="60"/>
      <c r="B280" s="61"/>
      <c r="D280" s="79">
        <v>5</v>
      </c>
      <c r="E280" s="109">
        <f>INDEX('اکسسوری حذف از لیست اصلی'!C:C,MATCH(K280,'اکسسوری حذف از لیست اصلی'!T:T,0))</f>
        <v>9901010072</v>
      </c>
      <c r="F280" s="109" t="str">
        <f>INDEX('اکسسوری حذف از لیست اصلی'!D:D,MATCH(K280,'اکسسوری حذف از لیست اصلی'!T:T,0))</f>
        <v>لاینر روشنایی چوبی LL-W072</v>
      </c>
      <c r="G280" s="110">
        <f>INDEX('اکسسوری حذف از لیست اصلی'!E:E,MATCH(K280,'اکسسوری حذف از لیست اصلی'!T:T,0))</f>
        <v>110</v>
      </c>
      <c r="H280" s="110">
        <f>INDEX('اکسسوری حذف از لیست اصلی'!F:F,MATCH(K280,'اکسسوری حذف از لیست اصلی'!T:T,0))</f>
        <v>0</v>
      </c>
      <c r="I280" s="110">
        <f>INDEX('اکسسوری حذف از لیست اصلی'!G:G,MATCH(K280,'اکسسوری حذف از لیست اصلی'!T:T,0))</f>
        <v>0</v>
      </c>
      <c r="J280" s="74">
        <f>INDEX('اکسسوری حذف از لیست اصلی'!J:J,MATCH(K280,'اکسسوری حذف از لیست اصلی'!T:T,0))</f>
        <v>238000000</v>
      </c>
      <c r="K280" s="64">
        <v>107</v>
      </c>
    </row>
    <row r="281" spans="1:11" ht="47.25" customHeight="1">
      <c r="A281" s="60"/>
      <c r="B281" s="61"/>
      <c r="D281" s="73">
        <v>6</v>
      </c>
      <c r="E281" s="109">
        <f>INDEX('اکسسوری حذف از لیست اصلی'!C:C,MATCH(K281,'اکسسوری حذف از لیست اصلی'!T:T,0))</f>
        <v>9901010073</v>
      </c>
      <c r="F281" s="109" t="str">
        <f>INDEX('اکسسوری حذف از لیست اصلی'!D:D,MATCH(K281,'اکسسوری حذف از لیست اصلی'!T:T,0))</f>
        <v>لاینر روشنایی چوبی LL-W073</v>
      </c>
      <c r="G281" s="110">
        <f>INDEX('اکسسوری حذف از لیست اصلی'!E:E,MATCH(K281,'اکسسوری حذف از لیست اصلی'!T:T,0))</f>
        <v>60</v>
      </c>
      <c r="H281" s="110">
        <f>INDEX('اکسسوری حذف از لیست اصلی'!F:F,MATCH(K281,'اکسسوری حذف از لیست اصلی'!T:T,0))</f>
        <v>0</v>
      </c>
      <c r="I281" s="110">
        <f>INDEX('اکسسوری حذف از لیست اصلی'!G:G,MATCH(K281,'اکسسوری حذف از لیست اصلی'!T:T,0))</f>
        <v>0</v>
      </c>
      <c r="J281" s="74">
        <f>INDEX('اکسسوری حذف از لیست اصلی'!J:J,MATCH(K281,'اکسسوری حذف از لیست اصلی'!T:T,0))</f>
        <v>202000000</v>
      </c>
      <c r="K281" s="64">
        <v>108</v>
      </c>
    </row>
    <row r="282" spans="1:11" ht="47.25" customHeight="1">
      <c r="A282" s="60"/>
      <c r="B282" s="61"/>
      <c r="D282" s="73">
        <v>7</v>
      </c>
      <c r="E282" s="109">
        <f>INDEX('اکسسوری حذف از لیست اصلی'!C:C,MATCH(K282,'اکسسوری حذف از لیست اصلی'!T:T,0))</f>
        <v>9901010074</v>
      </c>
      <c r="F282" s="109" t="str">
        <f>INDEX('اکسسوری حذف از لیست اصلی'!D:D,MATCH(K282,'اکسسوری حذف از لیست اصلی'!T:T,0))</f>
        <v xml:space="preserve"> آویز روشنایی چوبی PL-W074</v>
      </c>
      <c r="G282" s="110">
        <f>INDEX('اکسسوری حذف از لیست اصلی'!E:E,MATCH(K282,'اکسسوری حذف از لیست اصلی'!T:T,0))</f>
        <v>9</v>
      </c>
      <c r="H282" s="110">
        <f>INDEX('اکسسوری حذف از لیست اصلی'!F:F,MATCH(K282,'اکسسوری حذف از لیست اصلی'!T:T,0))</f>
        <v>9</v>
      </c>
      <c r="I282" s="110">
        <f>INDEX('اکسسوری حذف از لیست اصلی'!G:G,MATCH(K282,'اکسسوری حذف از لیست اصلی'!T:T,0))</f>
        <v>20</v>
      </c>
      <c r="J282" s="74">
        <f>INDEX('اکسسوری حذف از لیست اصلی'!J:J,MATCH(K282,'اکسسوری حذف از لیست اصلی'!T:T,0))</f>
        <v>113000000</v>
      </c>
      <c r="K282" s="64">
        <v>109</v>
      </c>
    </row>
    <row r="283" spans="1:11" ht="47.25" customHeight="1">
      <c r="A283" s="60"/>
      <c r="B283" s="61"/>
      <c r="D283" s="79">
        <v>8</v>
      </c>
      <c r="E283" s="109">
        <f>INDEX('اکسسوری حذف از لیست اصلی'!C:C,MATCH(K283,'اکسسوری حذف از لیست اصلی'!T:T,0))</f>
        <v>9901010102</v>
      </c>
      <c r="F283" s="109" t="str">
        <f>INDEX('اکسسوری حذف از لیست اصلی'!D:D,MATCH(K283,'اکسسوری حذف از لیست اصلی'!T:T,0))</f>
        <v xml:space="preserve"> آویز روشنایی سرامیکی سفید PL-CR102</v>
      </c>
      <c r="G283" s="110" t="str">
        <f>INDEX('اکسسوری حذف از لیست اصلی'!E:E,MATCH(K283,'اکسسوری حذف از لیست اصلی'!T:T,0))</f>
        <v>18*126</v>
      </c>
      <c r="H283" s="110">
        <f>INDEX('اکسسوری حذف از لیست اصلی'!F:F,MATCH(K283,'اکسسوری حذف از لیست اصلی'!T:T,0))</f>
        <v>0</v>
      </c>
      <c r="I283" s="110">
        <f>INDEX('اکسسوری حذف از لیست اصلی'!G:G,MATCH(K283,'اکسسوری حذف از لیست اصلی'!T:T,0))</f>
        <v>0</v>
      </c>
      <c r="J283" s="74">
        <f>INDEX('اکسسوری حذف از لیست اصلی'!J:J,MATCH(K283,'اکسسوری حذف از لیست اصلی'!T:T,0))</f>
        <v>153000000</v>
      </c>
      <c r="K283" s="64">
        <v>110</v>
      </c>
    </row>
    <row r="284" spans="1:11" ht="47.25" customHeight="1">
      <c r="A284" s="60"/>
      <c r="B284" s="61"/>
      <c r="D284" s="73">
        <v>9</v>
      </c>
      <c r="E284" s="109">
        <f>INDEX('اکسسوری حذف از لیست اصلی'!C:C,MATCH(K284,'اکسسوری حذف از لیست اصلی'!T:T,0))</f>
        <v>9901010105</v>
      </c>
      <c r="F284" s="109" t="str">
        <f>INDEX('اکسسوری حذف از لیست اصلی'!D:D,MATCH(K284,'اکسسوری حذف از لیست اصلی'!T:T,0))</f>
        <v xml:space="preserve"> آویز روشنایی چرم عسلی تیره PL-L105</v>
      </c>
      <c r="G284" s="110" t="str">
        <f>INDEX('اکسسوری حذف از لیست اصلی'!E:E,MATCH(K284,'اکسسوری حذف از لیست اصلی'!T:T,0))</f>
        <v>26*149</v>
      </c>
      <c r="H284" s="110">
        <f>INDEX('اکسسوری حذف از لیست اصلی'!F:F,MATCH(K284,'اکسسوری حذف از لیست اصلی'!T:T,0))</f>
        <v>0</v>
      </c>
      <c r="I284" s="110">
        <f>INDEX('اکسسوری حذف از لیست اصلی'!G:G,MATCH(K284,'اکسسوری حذف از لیست اصلی'!T:T,0))</f>
        <v>0</v>
      </c>
      <c r="J284" s="74">
        <f>INDEX('اکسسوری حذف از لیست اصلی'!J:J,MATCH(K284,'اکسسوری حذف از لیست اصلی'!T:T,0))</f>
        <v>201000000</v>
      </c>
      <c r="K284" s="64">
        <v>111</v>
      </c>
    </row>
    <row r="285" spans="1:11" ht="47.25" customHeight="1">
      <c r="A285" s="60"/>
      <c r="B285" s="61"/>
      <c r="D285" s="73">
        <v>10</v>
      </c>
      <c r="E285" s="109">
        <f>INDEX('اکسسوری حذف از لیست اصلی'!C:C,MATCH(K285,'اکسسوری حذف از لیست اصلی'!T:T,0))</f>
        <v>9901010110</v>
      </c>
      <c r="F285" s="109" t="str">
        <f>INDEX('اکسسوری حذف از لیست اصلی'!D:D,MATCH(K285,'اکسسوری حذف از لیست اصلی'!T:T,0))</f>
        <v>لاینر روشنایی فلز مشکی LL-M110</v>
      </c>
      <c r="G285" s="110">
        <f>INDEX('اکسسوری حذف از لیست اصلی'!E:E,MATCH(K285,'اکسسوری حذف از لیست اصلی'!T:T,0))</f>
        <v>25</v>
      </c>
      <c r="H285" s="110">
        <f>INDEX('اکسسوری حذف از لیست اصلی'!F:F,MATCH(K285,'اکسسوری حذف از لیست اصلی'!T:T,0))</f>
        <v>10</v>
      </c>
      <c r="I285" s="110">
        <f>INDEX('اکسسوری حذف از لیست اصلی'!G:G,MATCH(K285,'اکسسوری حذف از لیست اصلی'!T:T,0))</f>
        <v>160</v>
      </c>
      <c r="J285" s="74">
        <f>INDEX('اکسسوری حذف از لیست اصلی'!J:J,MATCH(K285,'اکسسوری حذف از لیست اصلی'!T:T,0))</f>
        <v>323000000</v>
      </c>
      <c r="K285" s="64">
        <v>112</v>
      </c>
    </row>
    <row r="286" spans="1:11" ht="47.25" customHeight="1">
      <c r="A286" s="60"/>
      <c r="B286" s="61"/>
      <c r="D286" s="79">
        <v>11</v>
      </c>
      <c r="E286" s="109">
        <f>INDEX('اکسسوری حذف از لیست اصلی'!C:C,MATCH(K286,'اکسسوری حذف از لیست اصلی'!T:T,0))</f>
        <v>9901010167</v>
      </c>
      <c r="F286" s="109" t="str">
        <f>INDEX('اکسسوری حذف از لیست اصلی'!D:D,MATCH(K286,'اکسسوری حذف از لیست اصلی'!T:T,0))</f>
        <v>لاینر روشنایی فلزی مشکیLL-M167 (33 عددی)</v>
      </c>
      <c r="G286" s="110" t="str">
        <f>INDEX('اکسسوری حذف از لیست اصلی'!E:E,MATCH(K286,'اکسسوری حذف از لیست اصلی'!T:T,0))</f>
        <v>-</v>
      </c>
      <c r="H286" s="110" t="str">
        <f>INDEX('اکسسوری حذف از لیست اصلی'!F:F,MATCH(K286,'اکسسوری حذف از لیست اصلی'!T:T,0))</f>
        <v>-</v>
      </c>
      <c r="I286" s="110" t="str">
        <f>INDEX('اکسسوری حذف از لیست اصلی'!G:G,MATCH(K286,'اکسسوری حذف از لیست اصلی'!T:T,0))</f>
        <v>-</v>
      </c>
      <c r="J286" s="74">
        <f>INDEX('اکسسوری حذف از لیست اصلی'!J:J,MATCH(K286,'اکسسوری حذف از لیست اصلی'!T:T,0))</f>
        <v>3680000000</v>
      </c>
      <c r="K286" s="64">
        <v>113</v>
      </c>
    </row>
    <row r="287" spans="1:11" ht="18" customHeight="1">
      <c r="A287" s="60"/>
      <c r="B287" s="61"/>
      <c r="D287"/>
      <c r="E287"/>
      <c r="F287"/>
      <c r="G287"/>
      <c r="H287"/>
      <c r="I287"/>
      <c r="J287"/>
    </row>
    <row r="288" spans="1:11" ht="18" customHeight="1">
      <c r="A288" s="60"/>
      <c r="B288" s="61"/>
      <c r="D288"/>
      <c r="E288"/>
      <c r="F288"/>
      <c r="G288"/>
      <c r="H288"/>
      <c r="I288"/>
      <c r="J288"/>
    </row>
    <row r="289" spans="1:11" ht="18" customHeight="1">
      <c r="A289" s="60"/>
      <c r="B289" s="61"/>
      <c r="D289"/>
      <c r="E289"/>
      <c r="F289"/>
      <c r="G289"/>
      <c r="H289"/>
      <c r="I289"/>
      <c r="J289"/>
    </row>
    <row r="290" spans="1:11" ht="18" customHeight="1">
      <c r="A290" s="60"/>
      <c r="B290" s="61"/>
      <c r="D290"/>
      <c r="E290"/>
      <c r="F290"/>
      <c r="G290"/>
      <c r="H290"/>
      <c r="I290"/>
      <c r="J290"/>
    </row>
    <row r="291" spans="1:11">
      <c r="A291" s="60"/>
      <c r="B291" s="61"/>
      <c r="J291" s="74">
        <v>9</v>
      </c>
    </row>
    <row r="292" spans="1:11">
      <c r="A292" s="70"/>
      <c r="B292" s="71"/>
      <c r="C292" s="183"/>
      <c r="D292" s="184"/>
      <c r="E292" s="184"/>
      <c r="F292" s="184"/>
      <c r="G292" s="184"/>
      <c r="H292" s="184"/>
      <c r="I292" s="184"/>
      <c r="J292" s="184"/>
    </row>
    <row r="293" spans="1:11">
      <c r="A293" s="70"/>
      <c r="B293" s="71"/>
      <c r="C293" s="183"/>
      <c r="D293" s="184"/>
      <c r="E293" s="184"/>
      <c r="F293" s="184"/>
      <c r="G293" s="184"/>
      <c r="H293" s="184"/>
      <c r="I293" s="184"/>
      <c r="J293" s="184"/>
    </row>
    <row r="294" spans="1:11" ht="27.75">
      <c r="A294" s="70"/>
      <c r="B294" s="71"/>
      <c r="C294" s="72"/>
      <c r="D294" s="67" t="s">
        <v>1137</v>
      </c>
      <c r="J294" s="68" t="str">
        <f>$N$1</f>
        <v>1405/02/23</v>
      </c>
    </row>
    <row r="295" spans="1:11" ht="55.5" customHeight="1">
      <c r="A295" s="70"/>
      <c r="B295" s="71"/>
      <c r="C295" s="77"/>
      <c r="D295" s="75" t="s">
        <v>0</v>
      </c>
      <c r="E295" s="69" t="s">
        <v>1</v>
      </c>
      <c r="F295" s="107" t="s">
        <v>448</v>
      </c>
      <c r="G295" s="108" t="s">
        <v>1141</v>
      </c>
      <c r="H295" s="108" t="s">
        <v>1142</v>
      </c>
      <c r="I295" s="108" t="s">
        <v>1143</v>
      </c>
      <c r="J295" s="68" t="s">
        <v>251</v>
      </c>
    </row>
    <row r="296" spans="1:11" ht="41.25" customHeight="1">
      <c r="A296" s="60"/>
      <c r="B296" s="61"/>
      <c r="D296" s="73">
        <v>1</v>
      </c>
      <c r="E296" s="109">
        <f>INDEX('اکسسوری حذف از لیست اصلی'!C:C,MATCH(K296,'اکسسوری حذف از لیست اصلی'!T:T,0))</f>
        <v>9901010166</v>
      </c>
      <c r="F296" s="109" t="str">
        <f>INDEX('اکسسوری حذف از لیست اصلی'!D:D,MATCH(K296,'اکسسوری حذف از لیست اصلی'!T:T,0))</f>
        <v xml:space="preserve"> روشنایی دیواری فلزی طلاییWL-M166</v>
      </c>
      <c r="G296" s="110">
        <f>INDEX('اکسسوری حذف از لیست اصلی'!E:E,MATCH(K296,'اکسسوری حذف از لیست اصلی'!T:T,0))</f>
        <v>0</v>
      </c>
      <c r="H296" s="110" t="str">
        <f>INDEX('اکسسوری حذف از لیست اصلی'!F:F,MATCH(K296,'اکسسوری حذف از لیست اصلی'!T:T,0))</f>
        <v>-</v>
      </c>
      <c r="I296" s="110" t="str">
        <f>INDEX('اکسسوری حذف از لیست اصلی'!G:G,MATCH(K296,'اکسسوری حذف از لیست اصلی'!T:T,0))</f>
        <v>-</v>
      </c>
      <c r="J296" s="74">
        <f>INDEX('اکسسوری حذف از لیست اصلی'!J:J,MATCH(K296,'اکسسوری حذف از لیست اصلی'!T:T,0))</f>
        <v>484000000</v>
      </c>
      <c r="K296" s="29">
        <v>114</v>
      </c>
    </row>
    <row r="297" spans="1:11" ht="41.25" customHeight="1">
      <c r="A297" s="60"/>
      <c r="B297" s="61"/>
      <c r="D297" s="73">
        <v>2</v>
      </c>
      <c r="E297" s="109">
        <f>INDEX('اکسسوری حذف از لیست اصلی'!C:C,MATCH(K297,'اکسسوری حذف از لیست اصلی'!T:T,0))</f>
        <v>9901010219</v>
      </c>
      <c r="F297" s="109" t="str">
        <f>INDEX('اکسسوری حذف از لیست اصلی'!D:D,MATCH(K297,'اکسسوری حذف از لیست اصلی'!T:T,0))</f>
        <v>روشنایی دیواری شیشه ای کوچک WL-G219</v>
      </c>
      <c r="G297" s="110">
        <f>INDEX('اکسسوری حذف از لیست اصلی'!E:E,MATCH(K297,'اکسسوری حذف از لیست اصلی'!T:T,0))</f>
        <v>0</v>
      </c>
      <c r="H297" s="110">
        <f>INDEX('اکسسوری حذف از لیست اصلی'!F:F,MATCH(K297,'اکسسوری حذف از لیست اصلی'!T:T,0))</f>
        <v>0</v>
      </c>
      <c r="I297" s="110">
        <f>INDEX('اکسسوری حذف از لیست اصلی'!G:G,MATCH(K297,'اکسسوری حذف از لیست اصلی'!T:T,0))</f>
        <v>0</v>
      </c>
      <c r="J297" s="74">
        <f>INDEX('اکسسوری حذف از لیست اصلی'!J:J,MATCH(K297,'اکسسوری حذف از لیست اصلی'!T:T,0))</f>
        <v>126000000</v>
      </c>
      <c r="K297" s="29">
        <v>115</v>
      </c>
    </row>
    <row r="298" spans="1:11" ht="41.25" customHeight="1">
      <c r="A298" s="60"/>
      <c r="B298" s="61"/>
      <c r="D298" s="73">
        <v>3</v>
      </c>
      <c r="E298" s="109">
        <f>INDEX('اکسسوری حذف از لیست اصلی'!C:C,MATCH(K298,'اکسسوری حذف از لیست اصلی'!T:T,0))</f>
        <v>9901010220</v>
      </c>
      <c r="F298" s="109" t="str">
        <f>INDEX('اکسسوری حذف از لیست اصلی'!D:D,MATCH(K298,'اکسسوری حذف از لیست اصلی'!T:T,0))</f>
        <v>چراغ دیواری آکاردئونی استیل دودی WL-ST220</v>
      </c>
      <c r="G298" s="110">
        <f>INDEX('اکسسوری حذف از لیست اصلی'!E:E,MATCH(K298,'اکسسوری حذف از لیست اصلی'!T:T,0))</f>
        <v>0</v>
      </c>
      <c r="H298" s="110">
        <f>INDEX('اکسسوری حذف از لیست اصلی'!F:F,MATCH(K298,'اکسسوری حذف از لیست اصلی'!T:T,0))</f>
        <v>0</v>
      </c>
      <c r="I298" s="110">
        <f>INDEX('اکسسوری حذف از لیست اصلی'!G:G,MATCH(K298,'اکسسوری حذف از لیست اصلی'!T:T,0))</f>
        <v>0</v>
      </c>
      <c r="J298" s="74">
        <f>INDEX('اکسسوری حذف از لیست اصلی'!J:J,MATCH(K298,'اکسسوری حذف از لیست اصلی'!T:T,0))</f>
        <v>590000000</v>
      </c>
      <c r="K298" s="29">
        <v>116</v>
      </c>
    </row>
    <row r="299" spans="1:11" ht="41.25" customHeight="1">
      <c r="A299" s="60"/>
      <c r="B299" s="61"/>
      <c r="D299" s="73">
        <v>4</v>
      </c>
      <c r="E299" s="109">
        <f>INDEX('اکسسوری حذف از لیست اصلی'!C:C,MATCH(K299,'اکسسوری حذف از لیست اصلی'!T:T,0))</f>
        <v>9901010222</v>
      </c>
      <c r="F299" s="109" t="str">
        <f>INDEX('اکسسوری حذف از لیست اصلی'!D:D,MATCH(K299,'اکسسوری حذف از لیست اصلی'!T:T,0))</f>
        <v>روشنایی دیواری شیشه ای رنگی بزرگ WL-G222</v>
      </c>
      <c r="G299" s="110">
        <f>INDEX('اکسسوری حذف از لیست اصلی'!E:E,MATCH(K299,'اکسسوری حذف از لیست اصلی'!T:T,0))</f>
        <v>0</v>
      </c>
      <c r="H299" s="110">
        <f>INDEX('اکسسوری حذف از لیست اصلی'!F:F,MATCH(K299,'اکسسوری حذف از لیست اصلی'!T:T,0))</f>
        <v>0</v>
      </c>
      <c r="I299" s="110">
        <f>INDEX('اکسسوری حذف از لیست اصلی'!G:G,MATCH(K299,'اکسسوری حذف از لیست اصلی'!T:T,0))</f>
        <v>0</v>
      </c>
      <c r="J299" s="74">
        <f>INDEX('اکسسوری حذف از لیست اصلی'!J:J,MATCH(K299,'اکسسوری حذف از لیست اصلی'!T:T,0))</f>
        <v>198000000</v>
      </c>
      <c r="K299" s="29">
        <v>117</v>
      </c>
    </row>
    <row r="300" spans="1:11" ht="41.25" customHeight="1">
      <c r="A300" s="60"/>
      <c r="B300" s="61"/>
      <c r="D300" s="73">
        <v>5</v>
      </c>
      <c r="E300" s="109">
        <f>INDEX('اکسسوری حذف از لیست اصلی'!C:C,MATCH(K300,'اکسسوری حذف از لیست اصلی'!T:T,0))</f>
        <v>9901010223</v>
      </c>
      <c r="F300" s="109" t="str">
        <f>INDEX('اکسسوری حذف از لیست اصلی'!D:D,MATCH(K300,'اکسسوری حذف از لیست اصلی'!T:T,0))</f>
        <v>روشنایی دیواری شیشه ای رنگی بزرگ WL-G223</v>
      </c>
      <c r="G300" s="110">
        <f>INDEX('اکسسوری حذف از لیست اصلی'!E:E,MATCH(K300,'اکسسوری حذف از لیست اصلی'!T:T,0))</f>
        <v>0</v>
      </c>
      <c r="H300" s="110">
        <f>INDEX('اکسسوری حذف از لیست اصلی'!F:F,MATCH(K300,'اکسسوری حذف از لیست اصلی'!T:T,0))</f>
        <v>0</v>
      </c>
      <c r="I300" s="110">
        <f>INDEX('اکسسوری حذف از لیست اصلی'!G:G,MATCH(K300,'اکسسوری حذف از لیست اصلی'!T:T,0))</f>
        <v>0</v>
      </c>
      <c r="J300" s="74">
        <f>INDEX('اکسسوری حذف از لیست اصلی'!J:J,MATCH(K300,'اکسسوری حذف از لیست اصلی'!T:T,0))</f>
        <v>189000000</v>
      </c>
      <c r="K300" s="29">
        <v>118</v>
      </c>
    </row>
    <row r="301" spans="1:11" ht="16.5" customHeight="1">
      <c r="A301" s="60"/>
      <c r="B301" s="61"/>
      <c r="C301" s="78"/>
      <c r="D301" s="73">
        <v>6</v>
      </c>
      <c r="E301" s="109">
        <f>INDEX('اکسسوری حذف از لیست اصلی'!C:C,MATCH(K301,'اکسسوری حذف از لیست اصلی'!T:T,0))</f>
        <v>9901010224</v>
      </c>
      <c r="F301" s="109" t="str">
        <f>INDEX('اکسسوری حذف از لیست اصلی'!D:D,MATCH(K301,'اکسسوری حذف از لیست اصلی'!T:T,0))</f>
        <v>روشنایی دیواری شیشه ای بی رنگ بزرگ WL-G224</v>
      </c>
      <c r="G301" s="110">
        <f>INDEX('اکسسوری حذف از لیست اصلی'!E:E,MATCH(K301,'اکسسوری حذف از لیست اصلی'!T:T,0))</f>
        <v>0</v>
      </c>
      <c r="H301" s="110">
        <f>INDEX('اکسسوری حذف از لیست اصلی'!F:F,MATCH(K301,'اکسسوری حذف از لیست اصلی'!T:T,0))</f>
        <v>0</v>
      </c>
      <c r="I301" s="110">
        <f>INDEX('اکسسوری حذف از لیست اصلی'!G:G,MATCH(K301,'اکسسوری حذف از لیست اصلی'!T:T,0))</f>
        <v>0</v>
      </c>
      <c r="J301" s="74">
        <f>INDEX('اکسسوری حذف از لیست اصلی'!J:J,MATCH(K301,'اکسسوری حذف از لیست اصلی'!T:T,0))</f>
        <v>170000000</v>
      </c>
      <c r="K301" s="64">
        <v>119</v>
      </c>
    </row>
    <row r="302" spans="1:11" ht="22.5" customHeight="1">
      <c r="A302" s="60"/>
      <c r="B302" s="61"/>
      <c r="D302"/>
      <c r="E302"/>
      <c r="F302"/>
      <c r="G302"/>
      <c r="H302"/>
      <c r="I302"/>
      <c r="J302"/>
    </row>
    <row r="303" spans="1:11" ht="20.25" customHeight="1">
      <c r="A303" s="60"/>
      <c r="B303" s="61"/>
      <c r="J303" s="74"/>
    </row>
    <row r="304" spans="1:11" ht="27.75">
      <c r="A304" s="70"/>
      <c r="B304" s="71"/>
      <c r="C304" s="72"/>
      <c r="D304" s="67" t="s">
        <v>857</v>
      </c>
      <c r="J304" s="68"/>
    </row>
    <row r="305" spans="1:11" ht="52.5" customHeight="1">
      <c r="A305" s="70"/>
      <c r="B305" s="71"/>
      <c r="C305" s="77"/>
      <c r="D305" s="75" t="s">
        <v>0</v>
      </c>
      <c r="E305" s="69" t="s">
        <v>1</v>
      </c>
      <c r="F305" s="107" t="s">
        <v>448</v>
      </c>
      <c r="G305" s="108" t="s">
        <v>1141</v>
      </c>
      <c r="H305" s="108" t="s">
        <v>1142</v>
      </c>
      <c r="I305" s="108" t="s">
        <v>1143</v>
      </c>
      <c r="J305" s="68" t="s">
        <v>251</v>
      </c>
    </row>
    <row r="306" spans="1:11" ht="45.75" customHeight="1">
      <c r="A306" s="60"/>
      <c r="B306" s="61"/>
      <c r="D306" s="73">
        <v>1</v>
      </c>
      <c r="E306" s="109">
        <f>INDEX('اکسسوری حذف از لیست اصلی'!C:C,MATCH(K306,'اکسسوری حذف از لیست اصلی'!T:T,0))</f>
        <v>9901030363</v>
      </c>
      <c r="F306" s="109" t="str">
        <f>INDEX('اکسسوری حذف از لیست اصلی'!D:D,MATCH(K306,'اکسسوری حذف از لیست اصلی'!T:T,0))</f>
        <v>نیمکت پلای وود خودرنگ DF-W363</v>
      </c>
      <c r="G306" s="110">
        <f>INDEX('اکسسوری حذف از لیست اصلی'!E:E,MATCH(K306,'اکسسوری حذف از لیست اصلی'!T:T,0))</f>
        <v>46.5</v>
      </c>
      <c r="H306" s="110">
        <f>INDEX('اکسسوری حذف از لیست اصلی'!F:F,MATCH(K306,'اکسسوری حذف از لیست اصلی'!T:T,0))</f>
        <v>180</v>
      </c>
      <c r="I306" s="110">
        <f>INDEX('اکسسوری حذف از لیست اصلی'!G:G,MATCH(K306,'اکسسوری حذف از لیست اصلی'!T:T,0))</f>
        <v>45</v>
      </c>
      <c r="J306" s="74">
        <f>INDEX('اکسسوری حذف از لیست اصلی'!J:J,MATCH(K306,'اکسسوری حذف از لیست اصلی'!T:T,0))</f>
        <v>1639000000</v>
      </c>
      <c r="K306" s="64">
        <v>120</v>
      </c>
    </row>
    <row r="307" spans="1:11" ht="45.75" customHeight="1">
      <c r="A307" s="60"/>
      <c r="B307" s="61"/>
      <c r="C307" s="78"/>
      <c r="D307" s="79">
        <v>2</v>
      </c>
      <c r="E307" s="109">
        <f>INDEX('اکسسوری حذف از لیست اصلی'!C:C,MATCH(K307,'اکسسوری حذف از لیست اصلی'!T:T,0))</f>
        <v>9901030386</v>
      </c>
      <c r="F307" s="109" t="str">
        <f>INDEX('اکسسوری حذف از لیست اصلی'!D:D,MATCH(K307,'اکسسوری حذف از لیست اصلی'!T:T,0))</f>
        <v>مبل تک نفره فضای باز ترمو وود فنلاندی با پارچه ضد آبDF-W386</v>
      </c>
      <c r="G307" s="110" t="str">
        <f>INDEX('اکسسوری حذف از لیست اصلی'!E:E,MATCH(K307,'اکسسوری حذف از لیست اصلی'!T:T,0))</f>
        <v>-</v>
      </c>
      <c r="H307" s="110" t="str">
        <f>INDEX('اکسسوری حذف از لیست اصلی'!F:F,MATCH(K307,'اکسسوری حذف از لیست اصلی'!T:T,0))</f>
        <v>-</v>
      </c>
      <c r="I307" s="110" t="str">
        <f>INDEX('اکسسوری حذف از لیست اصلی'!G:G,MATCH(K307,'اکسسوری حذف از لیست اصلی'!T:T,0))</f>
        <v>-</v>
      </c>
      <c r="J307" s="74">
        <f>INDEX('اکسسوری حذف از لیست اصلی'!J:J,MATCH(K307,'اکسسوری حذف از لیست اصلی'!T:T,0))</f>
        <v>1488000000</v>
      </c>
      <c r="K307" s="64">
        <v>121</v>
      </c>
    </row>
    <row r="308" spans="1:11" ht="45.75" customHeight="1">
      <c r="A308" s="60"/>
      <c r="B308" s="61"/>
      <c r="C308" s="66"/>
      <c r="D308" s="73">
        <v>3</v>
      </c>
      <c r="E308" s="109">
        <f>INDEX('اکسسوری حذف از لیست اصلی'!C:C,MATCH(K308,'اکسسوری حذف از لیست اصلی'!T:T,0))</f>
        <v>9901030387</v>
      </c>
      <c r="F308" s="109" t="str">
        <f>INDEX('اکسسوری حذف از لیست اصلی'!D:D,MATCH(K308,'اکسسوری حذف از لیست اصلی'!T:T,0))</f>
        <v>پاف جلو مبلی فضای باز ترمو وود فنلاندیDT-W387</v>
      </c>
      <c r="G308" s="110" t="str">
        <f>INDEX('اکسسوری حذف از لیست اصلی'!E:E,MATCH(K308,'اکسسوری حذف از لیست اصلی'!T:T,0))</f>
        <v>-</v>
      </c>
      <c r="H308" s="110" t="str">
        <f>INDEX('اکسسوری حذف از لیست اصلی'!F:F,MATCH(K308,'اکسسوری حذف از لیست اصلی'!T:T,0))</f>
        <v>-</v>
      </c>
      <c r="I308" s="110" t="str">
        <f>INDEX('اکسسوری حذف از لیست اصلی'!G:G,MATCH(K308,'اکسسوری حذف از لیست اصلی'!T:T,0))</f>
        <v>-</v>
      </c>
      <c r="J308" s="74">
        <f>INDEX('اکسسوری حذف از لیست اصلی'!J:J,MATCH(K308,'اکسسوری حذف از لیست اصلی'!T:T,0))</f>
        <v>870000000</v>
      </c>
      <c r="K308" s="64">
        <v>122</v>
      </c>
    </row>
    <row r="309" spans="1:11" ht="45.75" customHeight="1">
      <c r="A309" s="60"/>
      <c r="B309" s="61"/>
      <c r="C309" s="66"/>
      <c r="D309" s="79">
        <v>4</v>
      </c>
      <c r="E309" s="109">
        <f>INDEX('اکسسوری حذف از لیست اصلی'!C:C,MATCH(K309,'اکسسوری حذف از لیست اصلی'!T:T,0))</f>
        <v>9901030469</v>
      </c>
      <c r="F309" s="109" t="str">
        <f>INDEX('اکسسوری حذف از لیست اصلی'!D:D,MATCH(K309,'اکسسوری حذف از لیست اصلی'!T:T,0))</f>
        <v>میز کنارمبلی پلای وود گردویی تیرهDT-W469</v>
      </c>
      <c r="G309" s="110">
        <f>INDEX('اکسسوری حذف از لیست اصلی'!E:E,MATCH(K309,'اکسسوری حذف از لیست اصلی'!T:T,0))</f>
        <v>0</v>
      </c>
      <c r="H309" s="110">
        <f>INDEX('اکسسوری حذف از لیست اصلی'!F:F,MATCH(K309,'اکسسوری حذف از لیست اصلی'!T:T,0))</f>
        <v>0</v>
      </c>
      <c r="I309" s="110">
        <f>INDEX('اکسسوری حذف از لیست اصلی'!G:G,MATCH(K309,'اکسسوری حذف از لیست اصلی'!T:T,0))</f>
        <v>0</v>
      </c>
      <c r="J309" s="74">
        <f>INDEX('اکسسوری حذف از لیست اصلی'!J:J,MATCH(K309,'اکسسوری حذف از لیست اصلی'!T:T,0))</f>
        <v>790000000</v>
      </c>
      <c r="K309" s="64">
        <v>123</v>
      </c>
    </row>
    <row r="310" spans="1:11">
      <c r="A310" s="60"/>
      <c r="B310" s="61"/>
      <c r="D310"/>
      <c r="E310"/>
      <c r="F310"/>
      <c r="G310"/>
      <c r="H310"/>
      <c r="I310"/>
      <c r="J310"/>
    </row>
    <row r="311" spans="1:11">
      <c r="A311" s="60"/>
      <c r="B311" s="61"/>
      <c r="D311"/>
      <c r="E311"/>
      <c r="F311"/>
      <c r="G311"/>
      <c r="H311"/>
      <c r="I311"/>
      <c r="J311"/>
    </row>
    <row r="312" spans="1:11">
      <c r="A312" s="60"/>
      <c r="B312" s="61"/>
      <c r="J312" s="74">
        <v>10</v>
      </c>
    </row>
    <row r="313" spans="1:11">
      <c r="A313" s="60"/>
      <c r="B313" s="61"/>
      <c r="C313" s="183"/>
      <c r="D313" s="184"/>
      <c r="E313" s="184"/>
      <c r="F313" s="184"/>
      <c r="G313" s="184"/>
      <c r="H313" s="184"/>
      <c r="I313" s="184"/>
      <c r="J313" s="184"/>
    </row>
    <row r="314" spans="1:11">
      <c r="A314" s="60"/>
      <c r="B314" s="61"/>
      <c r="C314" s="183"/>
      <c r="D314" s="184"/>
      <c r="E314" s="184"/>
      <c r="F314" s="184"/>
      <c r="G314" s="184"/>
      <c r="H314" s="184"/>
      <c r="I314" s="184"/>
      <c r="J314" s="184"/>
    </row>
    <row r="315" spans="1:11" ht="27.75">
      <c r="A315" s="70"/>
      <c r="B315" s="71"/>
      <c r="C315" s="72"/>
      <c r="D315" s="67" t="s">
        <v>1138</v>
      </c>
      <c r="J315" s="68" t="str">
        <f>$N$1</f>
        <v>1405/02/23</v>
      </c>
    </row>
    <row r="316" spans="1:11" ht="53.25" customHeight="1">
      <c r="A316" s="70"/>
      <c r="B316" s="71"/>
      <c r="C316" s="77"/>
      <c r="D316" s="75" t="s">
        <v>0</v>
      </c>
      <c r="E316" s="69" t="s">
        <v>1</v>
      </c>
      <c r="F316" s="107" t="s">
        <v>448</v>
      </c>
      <c r="G316" s="108" t="s">
        <v>1141</v>
      </c>
      <c r="H316" s="108" t="s">
        <v>1142</v>
      </c>
      <c r="I316" s="108" t="s">
        <v>1143</v>
      </c>
      <c r="J316" s="68" t="s">
        <v>251</v>
      </c>
    </row>
    <row r="317" spans="1:11" ht="36" customHeight="1">
      <c r="A317" s="60"/>
      <c r="B317" s="61"/>
      <c r="D317" s="73">
        <v>1</v>
      </c>
      <c r="E317" s="109">
        <f>INDEX('اکسسوری حذف از لیست اصلی'!C:C,MATCH(K317,'اکسسوری حذف از لیست اصلی'!T:T,0))</f>
        <v>9901030003</v>
      </c>
      <c r="F317" s="109" t="str">
        <f>INDEX('اکسسوری حذف از لیست اصلی'!D:D,MATCH(K317,'اکسسوری حذف از لیست اصلی'!T:T,0))</f>
        <v>میز کنار مبلی آلومنیومی نقره ای DT-A003</v>
      </c>
      <c r="G317" s="110" t="str">
        <f>INDEX('اکسسوری حذف از لیست اصلی'!E:E,MATCH(K317,'اکسسوری حذف از لیست اصلی'!T:T,0))</f>
        <v>-</v>
      </c>
      <c r="H317" s="110" t="str">
        <f>INDEX('اکسسوری حذف از لیست اصلی'!F:F,MATCH(K317,'اکسسوری حذف از لیست اصلی'!T:T,0))</f>
        <v>-</v>
      </c>
      <c r="I317" s="110" t="str">
        <f>INDEX('اکسسوری حذف از لیست اصلی'!G:G,MATCH(K317,'اکسسوری حذف از لیست اصلی'!T:T,0))</f>
        <v>-</v>
      </c>
      <c r="J317" s="74">
        <f>INDEX('اکسسوری حذف از لیست اصلی'!J:J,MATCH(K317,'اکسسوری حذف از لیست اصلی'!T:T,0))</f>
        <v>221000000</v>
      </c>
      <c r="K317" s="64">
        <v>124</v>
      </c>
    </row>
    <row r="318" spans="1:11" ht="36" customHeight="1">
      <c r="A318" s="60"/>
      <c r="B318" s="61"/>
      <c r="C318" s="78"/>
      <c r="D318" s="79">
        <v>2</v>
      </c>
      <c r="E318" s="109">
        <f>INDEX('اکسسوری حذف از لیست اصلی'!C:C,MATCH(K318,'اکسسوری حذف از لیست اصلی'!T:T,0))</f>
        <v>9901030409</v>
      </c>
      <c r="F318" s="109" t="str">
        <f>INDEX('اکسسوری حذف از لیست اصلی'!D:D,MATCH(K318,'اکسسوری حذف از لیست اصلی'!T:T,0))</f>
        <v>میز دکوراتیو سرو صبحانه چوبی پتینه وایت واش DT-W409</v>
      </c>
      <c r="G318" s="110">
        <f>INDEX('اکسسوری حذف از لیست اصلی'!E:E,MATCH(K318,'اکسسوری حذف از لیست اصلی'!T:T,0))</f>
        <v>25</v>
      </c>
      <c r="H318" s="110">
        <f>INDEX('اکسسوری حذف از لیست اصلی'!F:F,MATCH(K318,'اکسسوری حذف از لیست اصلی'!T:T,0))</f>
        <v>30</v>
      </c>
      <c r="I318" s="110">
        <f>INDEX('اکسسوری حذف از لیست اصلی'!G:G,MATCH(K318,'اکسسوری حذف از لیست اصلی'!T:T,0))</f>
        <v>50</v>
      </c>
      <c r="J318" s="74">
        <f>INDEX('اکسسوری حذف از لیست اصلی'!J:J,MATCH(K318,'اکسسوری حذف از لیست اصلی'!T:T,0))</f>
        <v>373000000</v>
      </c>
      <c r="K318" s="64">
        <v>125</v>
      </c>
    </row>
    <row r="319" spans="1:11" ht="36" customHeight="1">
      <c r="A319" s="60"/>
      <c r="B319" s="61"/>
      <c r="C319" s="66"/>
      <c r="D319" s="73">
        <v>3</v>
      </c>
      <c r="E319" s="109">
        <f>INDEX('اکسسوری حذف از لیست اصلی'!C:C,MATCH(K319,'اکسسوری حذف از لیست اصلی'!T:T,0))</f>
        <v>9901030410</v>
      </c>
      <c r="F319" s="109" t="str">
        <f>INDEX('اکسسوری حذف از لیست اصلی'!D:D,MATCH(K319,'اکسسوری حذف از لیست اصلی'!T:T,0))</f>
        <v>میز دکوراتیو سرو صبحانه چوبی بادامی DT-W410</v>
      </c>
      <c r="G319" s="110">
        <f>INDEX('اکسسوری حذف از لیست اصلی'!E:E,MATCH(K319,'اکسسوری حذف از لیست اصلی'!T:T,0))</f>
        <v>25</v>
      </c>
      <c r="H319" s="110">
        <f>INDEX('اکسسوری حذف از لیست اصلی'!F:F,MATCH(K319,'اکسسوری حذف از لیست اصلی'!T:T,0))</f>
        <v>30</v>
      </c>
      <c r="I319" s="110">
        <f>INDEX('اکسسوری حذف از لیست اصلی'!G:G,MATCH(K319,'اکسسوری حذف از لیست اصلی'!T:T,0))</f>
        <v>50</v>
      </c>
      <c r="J319" s="74">
        <f>INDEX('اکسسوری حذف از لیست اصلی'!J:J,MATCH(K319,'اکسسوری حذف از لیست اصلی'!T:T,0))</f>
        <v>488000000</v>
      </c>
      <c r="K319" s="64">
        <v>126</v>
      </c>
    </row>
    <row r="320" spans="1:11" ht="36" customHeight="1">
      <c r="A320" s="60"/>
      <c r="B320" s="61"/>
      <c r="C320" s="66"/>
      <c r="D320" s="79">
        <v>4</v>
      </c>
      <c r="E320" s="109">
        <f>INDEX('اکسسوری حذف از لیست اصلی'!C:C,MATCH(K320,'اکسسوری حذف از لیست اصلی'!T:T,0))</f>
        <v>9901030411</v>
      </c>
      <c r="F320" s="109" t="str">
        <f>INDEX('اکسسوری حذف از لیست اصلی'!D:D,MATCH(K320,'اکسسوری حذف از لیست اصلی'!T:T,0))</f>
        <v>میز دکوراتیو سرو صبحانه چوبی دودی DT-W411</v>
      </c>
      <c r="G320" s="110">
        <f>INDEX('اکسسوری حذف از لیست اصلی'!E:E,MATCH(K320,'اکسسوری حذف از لیست اصلی'!T:T,0))</f>
        <v>25</v>
      </c>
      <c r="H320" s="110">
        <f>INDEX('اکسسوری حذف از لیست اصلی'!F:F,MATCH(K320,'اکسسوری حذف از لیست اصلی'!T:T,0))</f>
        <v>30</v>
      </c>
      <c r="I320" s="110">
        <f>INDEX('اکسسوری حذف از لیست اصلی'!G:G,MATCH(K320,'اکسسوری حذف از لیست اصلی'!T:T,0))</f>
        <v>50</v>
      </c>
      <c r="J320" s="74">
        <f>INDEX('اکسسوری حذف از لیست اصلی'!J:J,MATCH(K320,'اکسسوری حذف از لیست اصلی'!T:T,0))</f>
        <v>488000000</v>
      </c>
      <c r="K320" s="64">
        <v>127</v>
      </c>
    </row>
    <row r="321" spans="1:11" ht="36" customHeight="1">
      <c r="A321" s="60"/>
      <c r="B321" s="61"/>
      <c r="C321" s="66"/>
      <c r="D321" s="73">
        <v>5</v>
      </c>
      <c r="E321" s="109">
        <f>INDEX('اکسسوری حذف از لیست اصلی'!C:C,MATCH(K321,'اکسسوری حذف از لیست اصلی'!T:T,0))</f>
        <v>9901030412</v>
      </c>
      <c r="F321" s="109" t="str">
        <f>INDEX('اکسسوری حذف از لیست اصلی'!D:D,MATCH(K321,'اکسسوری حذف از لیست اصلی'!T:T,0))</f>
        <v>میز دکوراتیو سرو صبحانه چوبی مشکی DT-W412</v>
      </c>
      <c r="G321" s="110">
        <f>INDEX('اکسسوری حذف از لیست اصلی'!E:E,MATCH(K321,'اکسسوری حذف از لیست اصلی'!T:T,0))</f>
        <v>25</v>
      </c>
      <c r="H321" s="110">
        <f>INDEX('اکسسوری حذف از لیست اصلی'!F:F,MATCH(K321,'اکسسوری حذف از لیست اصلی'!T:T,0))</f>
        <v>30</v>
      </c>
      <c r="I321" s="110">
        <f>INDEX('اکسسوری حذف از لیست اصلی'!G:G,MATCH(K321,'اکسسوری حذف از لیست اصلی'!T:T,0))</f>
        <v>50</v>
      </c>
      <c r="J321" s="74">
        <f>INDEX('اکسسوری حذف از لیست اصلی'!J:J,MATCH(K321,'اکسسوری حذف از لیست اصلی'!T:T,0))</f>
        <v>373000000</v>
      </c>
      <c r="K321" s="64">
        <v>128</v>
      </c>
    </row>
    <row r="322" spans="1:11" ht="36" customHeight="1">
      <c r="A322" s="60"/>
      <c r="B322" s="61"/>
      <c r="D322" s="79">
        <v>6</v>
      </c>
      <c r="E322" s="109">
        <f>INDEX('اکسسوری حذف از لیست اصلی'!C:C,MATCH(K322,'اکسسوری حذف از لیست اصلی'!T:T,0))</f>
        <v>9901030455</v>
      </c>
      <c r="F322" s="109" t="str">
        <f>INDEX('اکسسوری حذف از لیست اصلی'!D:D,MATCH(K322,'اکسسوری حذف از لیست اصلی'!T:T,0))</f>
        <v>جا مجله ای / میز دکواتیو چوبی بادامی DT-W455</v>
      </c>
      <c r="G322" s="110" t="str">
        <f>INDEX('اکسسوری حذف از لیست اصلی'!E:E,MATCH(K322,'اکسسوری حذف از لیست اصلی'!T:T,0))</f>
        <v>-</v>
      </c>
      <c r="H322" s="110" t="str">
        <f>INDEX('اکسسوری حذف از لیست اصلی'!F:F,MATCH(K322,'اکسسوری حذف از لیست اصلی'!T:T,0))</f>
        <v>-</v>
      </c>
      <c r="I322" s="110" t="str">
        <f>INDEX('اکسسوری حذف از لیست اصلی'!G:G,MATCH(K322,'اکسسوری حذف از لیست اصلی'!T:T,0))</f>
        <v>-</v>
      </c>
      <c r="J322" s="74">
        <f>INDEX('اکسسوری حذف از لیست اصلی'!J:J,MATCH(K322,'اکسسوری حذف از لیست اصلی'!T:T,0))</f>
        <v>510000000</v>
      </c>
      <c r="K322" s="64">
        <v>129</v>
      </c>
    </row>
    <row r="323" spans="1:11" ht="36" customHeight="1">
      <c r="A323" s="60"/>
      <c r="B323" s="61"/>
      <c r="D323" s="73">
        <v>7</v>
      </c>
      <c r="E323" s="109">
        <f>INDEX('اکسسوری حذف از لیست اصلی'!C:C,MATCH(K323,'اکسسوری حذف از لیست اصلی'!T:T,0))</f>
        <v>9901030458</v>
      </c>
      <c r="F323" s="109" t="str">
        <f>INDEX('اکسسوری حذف از لیست اصلی'!D:D,MATCH(K323,'اکسسوری حذف از لیست اصلی'!T:T,0))</f>
        <v>جا مجله ای / میز دکواتیو چوبی مشکی DT-W458</v>
      </c>
      <c r="G323" s="110" t="str">
        <f>INDEX('اکسسوری حذف از لیست اصلی'!E:E,MATCH(K323,'اکسسوری حذف از لیست اصلی'!T:T,0))</f>
        <v>-</v>
      </c>
      <c r="H323" s="110" t="str">
        <f>INDEX('اکسسوری حذف از لیست اصلی'!F:F,MATCH(K323,'اکسسوری حذف از لیست اصلی'!T:T,0))</f>
        <v>-</v>
      </c>
      <c r="I323" s="110" t="str">
        <f>INDEX('اکسسوری حذف از لیست اصلی'!G:G,MATCH(K323,'اکسسوری حذف از لیست اصلی'!T:T,0))</f>
        <v>-</v>
      </c>
      <c r="J323" s="74">
        <f>INDEX('اکسسوری حذف از لیست اصلی'!J:J,MATCH(K323,'اکسسوری حذف از لیست اصلی'!T:T,0))</f>
        <v>510000000</v>
      </c>
      <c r="K323" s="64">
        <v>130</v>
      </c>
    </row>
    <row r="324" spans="1:11" ht="15" customHeight="1">
      <c r="A324" s="60"/>
      <c r="B324" s="61"/>
      <c r="D324"/>
      <c r="E324"/>
      <c r="F324"/>
      <c r="G324"/>
      <c r="H324"/>
      <c r="I324"/>
      <c r="J324"/>
    </row>
    <row r="325" spans="1:11" ht="15" customHeight="1">
      <c r="A325" s="60"/>
      <c r="B325" s="61"/>
      <c r="D325"/>
      <c r="E325"/>
      <c r="F325"/>
      <c r="G325"/>
      <c r="H325"/>
      <c r="I325"/>
      <c r="J325"/>
    </row>
    <row r="326" spans="1:11" ht="15" customHeight="1">
      <c r="A326" s="60"/>
      <c r="B326" s="61"/>
      <c r="D326"/>
      <c r="E326"/>
      <c r="F326"/>
      <c r="G326"/>
      <c r="H326"/>
      <c r="I326"/>
      <c r="J326"/>
    </row>
    <row r="327" spans="1:11" ht="15" customHeight="1">
      <c r="A327" s="60"/>
      <c r="B327" s="61"/>
      <c r="D327"/>
      <c r="E327"/>
      <c r="F327"/>
      <c r="G327"/>
      <c r="H327"/>
      <c r="I327"/>
      <c r="J327"/>
    </row>
    <row r="328" spans="1:11" ht="15" customHeight="1">
      <c r="A328" s="60"/>
      <c r="B328" s="61"/>
      <c r="D328"/>
      <c r="E328"/>
      <c r="F328"/>
      <c r="G328"/>
      <c r="H328"/>
      <c r="I328"/>
      <c r="J328"/>
    </row>
    <row r="329" spans="1:11" ht="15" customHeight="1">
      <c r="A329" s="60"/>
      <c r="B329" s="61"/>
      <c r="D329"/>
      <c r="E329"/>
      <c r="F329"/>
      <c r="G329"/>
      <c r="H329"/>
      <c r="I329"/>
      <c r="J329"/>
    </row>
    <row r="330" spans="1:11" ht="15" customHeight="1">
      <c r="A330" s="60"/>
      <c r="B330" s="61"/>
      <c r="D330"/>
      <c r="E330"/>
      <c r="F330"/>
      <c r="G330"/>
      <c r="H330"/>
      <c r="I330"/>
      <c r="J330"/>
    </row>
    <row r="331" spans="1:11" ht="15" customHeight="1">
      <c r="A331" s="60"/>
      <c r="B331" s="61"/>
      <c r="D331"/>
      <c r="E331"/>
      <c r="F331"/>
      <c r="G331"/>
      <c r="H331"/>
      <c r="I331"/>
      <c r="J331"/>
    </row>
    <row r="332" spans="1:11" ht="15" customHeight="1">
      <c r="A332" s="60"/>
      <c r="B332" s="61"/>
      <c r="D332"/>
      <c r="E332"/>
      <c r="F332"/>
      <c r="G332"/>
      <c r="H332"/>
      <c r="I332"/>
      <c r="J332"/>
    </row>
    <row r="333" spans="1:11" ht="15" customHeight="1">
      <c r="A333" s="60"/>
      <c r="B333" s="61"/>
      <c r="D333"/>
      <c r="E333"/>
      <c r="F333"/>
      <c r="G333"/>
      <c r="H333"/>
      <c r="I333"/>
      <c r="J333"/>
    </row>
    <row r="334" spans="1:11" ht="15" customHeight="1">
      <c r="A334" s="60"/>
      <c r="B334" s="61"/>
      <c r="D334"/>
      <c r="E334"/>
      <c r="F334"/>
      <c r="G334"/>
      <c r="H334"/>
      <c r="I334"/>
      <c r="J334"/>
    </row>
    <row r="335" spans="1:11" ht="15" customHeight="1">
      <c r="A335" s="60"/>
      <c r="B335" s="61"/>
      <c r="D335"/>
      <c r="E335"/>
      <c r="F335"/>
      <c r="G335"/>
      <c r="H335"/>
      <c r="I335"/>
      <c r="J335"/>
    </row>
    <row r="336" spans="1:11" ht="15" customHeight="1">
      <c r="A336" s="60"/>
      <c r="B336" s="61"/>
      <c r="D336"/>
      <c r="E336"/>
      <c r="F336"/>
      <c r="G336"/>
      <c r="H336"/>
      <c r="I336"/>
      <c r="J336"/>
    </row>
    <row r="337" spans="1:11" ht="15" customHeight="1">
      <c r="A337" s="60"/>
      <c r="B337" s="61"/>
      <c r="D337"/>
      <c r="E337"/>
      <c r="F337"/>
      <c r="G337"/>
      <c r="H337"/>
      <c r="I337"/>
      <c r="J337"/>
    </row>
    <row r="338" spans="1:11" ht="15" customHeight="1">
      <c r="A338" s="60"/>
      <c r="B338" s="61"/>
      <c r="D338"/>
      <c r="E338"/>
      <c r="F338"/>
      <c r="G338"/>
      <c r="H338"/>
      <c r="I338"/>
      <c r="J338"/>
    </row>
    <row r="339" spans="1:11" ht="15" customHeight="1">
      <c r="A339" s="60"/>
      <c r="B339" s="61"/>
      <c r="D339"/>
      <c r="E339"/>
      <c r="F339"/>
      <c r="G339"/>
      <c r="H339"/>
      <c r="I339"/>
      <c r="J339"/>
    </row>
    <row r="340" spans="1:11" ht="15" customHeight="1">
      <c r="A340" s="60"/>
      <c r="B340" s="61"/>
      <c r="D340"/>
      <c r="E340"/>
      <c r="F340"/>
      <c r="G340"/>
      <c r="H340"/>
      <c r="I340"/>
      <c r="J340"/>
    </row>
    <row r="341" spans="1:11" ht="15" customHeight="1">
      <c r="A341" s="60"/>
      <c r="B341" s="61"/>
      <c r="D341"/>
      <c r="E341"/>
      <c r="F341"/>
      <c r="G341"/>
      <c r="H341"/>
      <c r="I341"/>
      <c r="J341"/>
    </row>
    <row r="342" spans="1:11" ht="15" customHeight="1">
      <c r="A342" s="60"/>
      <c r="B342" s="61"/>
      <c r="D342"/>
      <c r="E342"/>
      <c r="F342"/>
      <c r="G342"/>
      <c r="H342"/>
      <c r="I342"/>
      <c r="J342"/>
    </row>
    <row r="343" spans="1:11" ht="15" customHeight="1">
      <c r="A343" s="60"/>
      <c r="B343" s="61"/>
      <c r="D343"/>
      <c r="E343"/>
      <c r="F343"/>
      <c r="G343"/>
      <c r="H343"/>
      <c r="I343"/>
      <c r="J343"/>
    </row>
    <row r="344" spans="1:11" ht="15" customHeight="1">
      <c r="A344" s="60"/>
      <c r="B344" s="61"/>
      <c r="D344"/>
      <c r="E344"/>
      <c r="F344"/>
      <c r="G344"/>
      <c r="H344"/>
      <c r="I344"/>
      <c r="J344"/>
    </row>
    <row r="345" spans="1:11" ht="15" customHeight="1">
      <c r="A345" s="60"/>
      <c r="B345" s="61"/>
      <c r="D345"/>
      <c r="E345"/>
      <c r="F345"/>
      <c r="G345"/>
      <c r="H345"/>
      <c r="I345"/>
      <c r="J345"/>
    </row>
    <row r="346" spans="1:11">
      <c r="A346" s="60"/>
      <c r="B346" s="61"/>
      <c r="J346" s="74">
        <v>11</v>
      </c>
    </row>
    <row r="347" spans="1:11">
      <c r="A347" s="70"/>
      <c r="B347" s="71"/>
      <c r="C347" s="183"/>
      <c r="D347" s="184"/>
      <c r="E347" s="184"/>
      <c r="F347" s="184"/>
      <c r="G347" s="184"/>
      <c r="H347" s="184"/>
      <c r="I347" s="184"/>
      <c r="J347" s="184"/>
    </row>
    <row r="348" spans="1:11">
      <c r="A348" s="70"/>
      <c r="B348" s="71"/>
      <c r="C348" s="183"/>
      <c r="D348" s="184"/>
      <c r="E348" s="184"/>
      <c r="F348" s="184"/>
      <c r="G348" s="184"/>
      <c r="H348" s="184"/>
      <c r="I348" s="184"/>
      <c r="J348" s="184"/>
    </row>
    <row r="349" spans="1:11" ht="27.75">
      <c r="A349" s="70"/>
      <c r="B349" s="71"/>
      <c r="C349" s="72"/>
      <c r="D349" s="67" t="s">
        <v>863</v>
      </c>
      <c r="J349" s="68" t="str">
        <f>$N$1</f>
        <v>1405/02/23</v>
      </c>
    </row>
    <row r="350" spans="1:11" ht="36">
      <c r="A350" s="70"/>
      <c r="B350" s="71"/>
      <c r="C350" s="77"/>
      <c r="D350" s="75" t="s">
        <v>0</v>
      </c>
      <c r="E350" s="69" t="s">
        <v>1</v>
      </c>
      <c r="F350" s="107" t="s">
        <v>448</v>
      </c>
      <c r="G350" s="108" t="s">
        <v>1141</v>
      </c>
      <c r="H350" s="108" t="s">
        <v>1142</v>
      </c>
      <c r="I350" s="108" t="s">
        <v>1143</v>
      </c>
      <c r="J350" s="68" t="s">
        <v>251</v>
      </c>
    </row>
    <row r="351" spans="1:11" ht="31.5" customHeight="1">
      <c r="A351" s="60"/>
      <c r="B351" s="61"/>
      <c r="D351" s="73">
        <v>1</v>
      </c>
      <c r="E351" s="109">
        <f>INDEX('اکسسوری حذف از لیست اصلی'!C:C,MATCH(K351,'اکسسوری حذف از لیست اصلی'!T:T,0))</f>
        <v>9901020006</v>
      </c>
      <c r="F351" s="109" t="str">
        <f>INDEX('اکسسوری حذف از لیست اصلی'!D:D,MATCH(K351,'اکسسوری حذف از لیست اصلی'!T:T,0))</f>
        <v>شال مبل ساتن ST-S006</v>
      </c>
      <c r="G351" s="110" t="str">
        <f>INDEX('اکسسوری حذف از لیست اصلی'!E:E,MATCH(K351,'اکسسوری حذف از لیست اصلی'!T:T,0))</f>
        <v>-</v>
      </c>
      <c r="H351" s="110" t="str">
        <f>INDEX('اکسسوری حذف از لیست اصلی'!F:F,MATCH(K351,'اکسسوری حذف از لیست اصلی'!T:T,0))</f>
        <v>-</v>
      </c>
      <c r="I351" s="110" t="str">
        <f>INDEX('اکسسوری حذف از لیست اصلی'!G:G,MATCH(K351,'اکسسوری حذف از لیست اصلی'!T:T,0))</f>
        <v>-</v>
      </c>
      <c r="J351" s="74">
        <f>INDEX('اکسسوری حذف از لیست اصلی'!J:J,MATCH(K351,'اکسسوری حذف از لیست اصلی'!T:T,0))</f>
        <v>67000000</v>
      </c>
      <c r="K351" s="64">
        <v>131</v>
      </c>
    </row>
    <row r="352" spans="1:11" ht="31.5" customHeight="1">
      <c r="A352" s="60"/>
      <c r="B352" s="61"/>
      <c r="C352" s="78"/>
      <c r="D352" s="79">
        <v>2</v>
      </c>
      <c r="E352" s="109">
        <f>INDEX('اکسسوری حذف از لیست اصلی'!C:C,MATCH(K352,'اکسسوری حذف از لیست اصلی'!T:T,0))</f>
        <v>9901020009</v>
      </c>
      <c r="F352" s="109" t="str">
        <f>INDEX('اکسسوری حذف از لیست اصلی'!D:D,MATCH(K352,'اکسسوری حذف از لیست اصلی'!T:T,0))</f>
        <v>شال مبل ساتن ST-S009</v>
      </c>
      <c r="G352" s="110" t="str">
        <f>INDEX('اکسسوری حذف از لیست اصلی'!E:E,MATCH(K352,'اکسسوری حذف از لیست اصلی'!T:T,0))</f>
        <v>-</v>
      </c>
      <c r="H352" s="110" t="str">
        <f>INDEX('اکسسوری حذف از لیست اصلی'!F:F,MATCH(K352,'اکسسوری حذف از لیست اصلی'!T:T,0))</f>
        <v>-</v>
      </c>
      <c r="I352" s="110" t="str">
        <f>INDEX('اکسسوری حذف از لیست اصلی'!G:G,MATCH(K352,'اکسسوری حذف از لیست اصلی'!T:T,0))</f>
        <v>-</v>
      </c>
      <c r="J352" s="74">
        <f>INDEX('اکسسوری حذف از لیست اصلی'!J:J,MATCH(K352,'اکسسوری حذف از لیست اصلی'!T:T,0))</f>
        <v>88000000</v>
      </c>
      <c r="K352" s="64">
        <v>132</v>
      </c>
    </row>
    <row r="353" spans="1:11" ht="31.5" customHeight="1">
      <c r="A353" s="60"/>
      <c r="B353" s="61"/>
      <c r="D353" s="79">
        <v>3</v>
      </c>
      <c r="E353" s="109">
        <f>INDEX('اکسسوری حذف از لیست اصلی'!C:C,MATCH(K353,'اکسسوری حذف از لیست اصلی'!T:T,0))</f>
        <v>9901020012</v>
      </c>
      <c r="F353" s="109" t="str">
        <f>INDEX('اکسسوری حذف از لیست اصلی'!D:D,MATCH(K353,'اکسسوری حذف از لیست اصلی'!T:T,0))</f>
        <v>شال مبل ساتن ST-S012</v>
      </c>
      <c r="G353" s="110" t="str">
        <f>INDEX('اکسسوری حذف از لیست اصلی'!E:E,MATCH(K353,'اکسسوری حذف از لیست اصلی'!T:T,0))</f>
        <v>-</v>
      </c>
      <c r="H353" s="110" t="str">
        <f>INDEX('اکسسوری حذف از لیست اصلی'!F:F,MATCH(K353,'اکسسوری حذف از لیست اصلی'!T:T,0))</f>
        <v>-</v>
      </c>
      <c r="I353" s="110" t="str">
        <f>INDEX('اکسسوری حذف از لیست اصلی'!G:G,MATCH(K353,'اکسسوری حذف از لیست اصلی'!T:T,0))</f>
        <v>-</v>
      </c>
      <c r="J353" s="74">
        <f>INDEX('اکسسوری حذف از لیست اصلی'!J:J,MATCH(K353,'اکسسوری حذف از لیست اصلی'!T:T,0))</f>
        <v>67000000</v>
      </c>
      <c r="K353" s="64">
        <v>133</v>
      </c>
    </row>
    <row r="354" spans="1:11" ht="31.5" customHeight="1">
      <c r="A354" s="60"/>
      <c r="B354" s="61"/>
      <c r="D354" s="73">
        <v>4</v>
      </c>
      <c r="E354" s="109">
        <f>INDEX('اکسسوری حذف از لیست اصلی'!C:C,MATCH(K354,'اکسسوری حذف از لیست اصلی'!T:T,0))</f>
        <v>9901020023</v>
      </c>
      <c r="F354" s="109" t="str">
        <f>INDEX('اکسسوری حذف از لیست اصلی'!D:D,MATCH(K354,'اکسسوری حذف از لیست اصلی'!T:T,0))</f>
        <v>شال مبل ساتن طوسی کرم ST-S023</v>
      </c>
      <c r="G354" s="110" t="str">
        <f>INDEX('اکسسوری حذف از لیست اصلی'!E:E,MATCH(K354,'اکسسوری حذف از لیست اصلی'!T:T,0))</f>
        <v>-</v>
      </c>
      <c r="H354" s="110" t="str">
        <f>INDEX('اکسسوری حذف از لیست اصلی'!F:F,MATCH(K354,'اکسسوری حذف از لیست اصلی'!T:T,0))</f>
        <v>-</v>
      </c>
      <c r="I354" s="110" t="str">
        <f>INDEX('اکسسوری حذف از لیست اصلی'!G:G,MATCH(K354,'اکسسوری حذف از لیست اصلی'!T:T,0))</f>
        <v>-</v>
      </c>
      <c r="J354" s="74">
        <f>INDEX('اکسسوری حذف از لیست اصلی'!J:J,MATCH(K354,'اکسسوری حذف از لیست اصلی'!T:T,0))</f>
        <v>67000000</v>
      </c>
      <c r="K354" s="64">
        <v>134</v>
      </c>
    </row>
    <row r="355" spans="1:11" ht="31.5" customHeight="1">
      <c r="A355" s="60"/>
      <c r="B355" s="61"/>
      <c r="D355" s="79">
        <v>5</v>
      </c>
      <c r="E355" s="109">
        <f>INDEX('اکسسوری حذف از لیست اصلی'!C:C,MATCH(K355,'اکسسوری حذف از لیست اصلی'!T:T,0))</f>
        <v>9901020034</v>
      </c>
      <c r="F355" s="109" t="str">
        <f>INDEX('اکسسوری حذف از لیست اصلی'!D:D,MATCH(K355,'اکسسوری حذف از لیست اصلی'!T:T,0))</f>
        <v>شال مبل سبز طوسی ST-T034</v>
      </c>
      <c r="G355" s="110" t="str">
        <f>INDEX('اکسسوری حذف از لیست اصلی'!E:E,MATCH(K355,'اکسسوری حذف از لیست اصلی'!T:T,0))</f>
        <v>-</v>
      </c>
      <c r="H355" s="110" t="str">
        <f>INDEX('اکسسوری حذف از لیست اصلی'!F:F,MATCH(K355,'اکسسوری حذف از لیست اصلی'!T:T,0))</f>
        <v>-</v>
      </c>
      <c r="I355" s="110" t="str">
        <f>INDEX('اکسسوری حذف از لیست اصلی'!G:G,MATCH(K355,'اکسسوری حذف از لیست اصلی'!T:T,0))</f>
        <v>-</v>
      </c>
      <c r="J355" s="74">
        <f>INDEX('اکسسوری حذف از لیست اصلی'!J:J,MATCH(K355,'اکسسوری حذف از لیست اصلی'!T:T,0))</f>
        <v>105000000</v>
      </c>
      <c r="K355" s="64">
        <v>135</v>
      </c>
    </row>
    <row r="356" spans="1:11" ht="31.5" customHeight="1">
      <c r="A356" s="60"/>
      <c r="B356" s="61"/>
      <c r="D356" s="79">
        <v>6</v>
      </c>
      <c r="E356" s="109">
        <f>INDEX('اکسسوری حذف از لیست اصلی'!C:C,MATCH(K356,'اکسسوری حذف از لیست اصلی'!T:T,0))</f>
        <v>9901020035</v>
      </c>
      <c r="F356" s="109" t="str">
        <f>INDEX('اکسسوری حذف از لیست اصلی'!D:D,MATCH(K356,'اکسسوری حذف از لیست اصلی'!T:T,0))</f>
        <v>شال مبل طوسی ST-T035</v>
      </c>
      <c r="G356" s="110" t="str">
        <f>INDEX('اکسسوری حذف از لیست اصلی'!E:E,MATCH(K356,'اکسسوری حذف از لیست اصلی'!T:T,0))</f>
        <v>-</v>
      </c>
      <c r="H356" s="110" t="str">
        <f>INDEX('اکسسوری حذف از لیست اصلی'!F:F,MATCH(K356,'اکسسوری حذف از لیست اصلی'!T:T,0))</f>
        <v>-</v>
      </c>
      <c r="I356" s="110" t="str">
        <f>INDEX('اکسسوری حذف از لیست اصلی'!G:G,MATCH(K356,'اکسسوری حذف از لیست اصلی'!T:T,0))</f>
        <v>-</v>
      </c>
      <c r="J356" s="74">
        <f>INDEX('اکسسوری حذف از لیست اصلی'!J:J,MATCH(K356,'اکسسوری حذف از لیست اصلی'!T:T,0))</f>
        <v>80000000</v>
      </c>
      <c r="K356" s="64">
        <v>136</v>
      </c>
    </row>
    <row r="357" spans="1:11" ht="31.5" customHeight="1">
      <c r="A357" s="60"/>
      <c r="B357" s="61"/>
      <c r="D357" s="73">
        <v>7</v>
      </c>
      <c r="E357" s="109">
        <f>INDEX('اکسسوری حذف از لیست اصلی'!C:C,MATCH(K357,'اکسسوری حذف از لیست اصلی'!T:T,0))</f>
        <v>9901020036</v>
      </c>
      <c r="F357" s="109" t="str">
        <f>INDEX('اکسسوری حذف از لیست اصلی'!D:D,MATCH(K357,'اکسسوری حذف از لیست اصلی'!T:T,0))</f>
        <v>شال مبل آبیST-T036</v>
      </c>
      <c r="G357" s="110" t="str">
        <f>INDEX('اکسسوری حذف از لیست اصلی'!E:E,MATCH(K357,'اکسسوری حذف از لیست اصلی'!T:T,0))</f>
        <v>-</v>
      </c>
      <c r="H357" s="110" t="str">
        <f>INDEX('اکسسوری حذف از لیست اصلی'!F:F,MATCH(K357,'اکسسوری حذف از لیست اصلی'!T:T,0))</f>
        <v>-</v>
      </c>
      <c r="I357" s="110" t="str">
        <f>INDEX('اکسسوری حذف از لیست اصلی'!G:G,MATCH(K357,'اکسسوری حذف از لیست اصلی'!T:T,0))</f>
        <v>-</v>
      </c>
      <c r="J357" s="74">
        <f>INDEX('اکسسوری حذف از لیست اصلی'!J:J,MATCH(K357,'اکسسوری حذف از لیست اصلی'!T:T,0))</f>
        <v>80000000</v>
      </c>
      <c r="K357" s="64">
        <v>137</v>
      </c>
    </row>
    <row r="358" spans="1:11" ht="31.5" customHeight="1">
      <c r="A358" s="60"/>
      <c r="B358" s="61"/>
      <c r="D358" s="79">
        <v>8</v>
      </c>
      <c r="E358" s="109">
        <f>INDEX('اکسسوری حذف از لیست اصلی'!C:C,MATCH(K358,'اکسسوری حذف از لیست اصلی'!T:T,0))</f>
        <v>9901020037</v>
      </c>
      <c r="F358" s="109" t="str">
        <f>INDEX('اکسسوری حذف از لیست اصلی'!D:D,MATCH(K358,'اکسسوری حذف از لیست اصلی'!T:T,0))</f>
        <v>شال مبل قهوه ای شکلاتی ST-T037</v>
      </c>
      <c r="G358" s="110" t="str">
        <f>INDEX('اکسسوری حذف از لیست اصلی'!E:E,MATCH(K358,'اکسسوری حذف از لیست اصلی'!T:T,0))</f>
        <v>-</v>
      </c>
      <c r="H358" s="110" t="str">
        <f>INDEX('اکسسوری حذف از لیست اصلی'!F:F,MATCH(K358,'اکسسوری حذف از لیست اصلی'!T:T,0))</f>
        <v>-</v>
      </c>
      <c r="I358" s="110" t="str">
        <f>INDEX('اکسسوری حذف از لیست اصلی'!G:G,MATCH(K358,'اکسسوری حذف از لیست اصلی'!T:T,0))</f>
        <v>-</v>
      </c>
      <c r="J358" s="74">
        <f>INDEX('اکسسوری حذف از لیست اصلی'!J:J,MATCH(K358,'اکسسوری حذف از لیست اصلی'!T:T,0))</f>
        <v>80000000</v>
      </c>
      <c r="K358" s="64">
        <v>138</v>
      </c>
    </row>
    <row r="359" spans="1:11" ht="31.5" customHeight="1">
      <c r="A359" s="60"/>
      <c r="B359" s="61"/>
      <c r="D359" s="79">
        <v>9</v>
      </c>
      <c r="E359" s="109">
        <f>INDEX('اکسسوری حذف از لیست اصلی'!C:C,MATCH(K359,'اکسسوری حذف از لیست اصلی'!T:T,0))</f>
        <v>9901020039</v>
      </c>
      <c r="F359" s="109" t="str">
        <f>INDEX('اکسسوری حذف از لیست اصلی'!D:D,MATCH(K359,'اکسسوری حذف از لیست اصلی'!T:T,0))</f>
        <v>شال مبل قهوه ای ST-T039</v>
      </c>
      <c r="G359" s="110" t="str">
        <f>INDEX('اکسسوری حذف از لیست اصلی'!E:E,MATCH(K359,'اکسسوری حذف از لیست اصلی'!T:T,0))</f>
        <v>-</v>
      </c>
      <c r="H359" s="110" t="str">
        <f>INDEX('اکسسوری حذف از لیست اصلی'!F:F,MATCH(K359,'اکسسوری حذف از لیست اصلی'!T:T,0))</f>
        <v>-</v>
      </c>
      <c r="I359" s="110" t="str">
        <f>INDEX('اکسسوری حذف از لیست اصلی'!G:G,MATCH(K359,'اکسسوری حذف از لیست اصلی'!T:T,0))</f>
        <v>-</v>
      </c>
      <c r="J359" s="74">
        <f>INDEX('اکسسوری حذف از لیست اصلی'!J:J,MATCH(K359,'اکسسوری حذف از لیست اصلی'!T:T,0))</f>
        <v>80000000</v>
      </c>
      <c r="K359" s="64">
        <v>139</v>
      </c>
    </row>
    <row r="360" spans="1:11" ht="31.5" customHeight="1">
      <c r="A360" s="60"/>
      <c r="B360" s="61"/>
      <c r="D360" s="73">
        <v>10</v>
      </c>
      <c r="E360" s="109">
        <f>INDEX('اکسسوری حذف از لیست اصلی'!C:C,MATCH(K360,'اکسسوری حذف از لیست اصلی'!T:T,0))</f>
        <v>9901020040</v>
      </c>
      <c r="F360" s="109" t="str">
        <f>INDEX('اکسسوری حذف از لیست اصلی'!D:D,MATCH(K360,'اکسسوری حذف از لیست اصلی'!T:T,0))</f>
        <v>شال مبل کرم ST-T040</v>
      </c>
      <c r="G360" s="110" t="str">
        <f>INDEX('اکسسوری حذف از لیست اصلی'!E:E,MATCH(K360,'اکسسوری حذف از لیست اصلی'!T:T,0))</f>
        <v>-</v>
      </c>
      <c r="H360" s="110" t="str">
        <f>INDEX('اکسسوری حذف از لیست اصلی'!F:F,MATCH(K360,'اکسسوری حذف از لیست اصلی'!T:T,0))</f>
        <v>-</v>
      </c>
      <c r="I360" s="110" t="str">
        <f>INDEX('اکسسوری حذف از لیست اصلی'!G:G,MATCH(K360,'اکسسوری حذف از لیست اصلی'!T:T,0))</f>
        <v>-</v>
      </c>
      <c r="J360" s="74">
        <f>INDEX('اکسسوری حذف از لیست اصلی'!J:J,MATCH(K360,'اکسسوری حذف از لیست اصلی'!T:T,0))</f>
        <v>105000000</v>
      </c>
      <c r="K360" s="64">
        <v>140</v>
      </c>
    </row>
    <row r="361" spans="1:11" ht="31.5" customHeight="1">
      <c r="A361" s="60"/>
      <c r="B361" s="61"/>
      <c r="D361" s="79">
        <v>11</v>
      </c>
      <c r="E361" s="109">
        <f>INDEX('اکسسوری حذف از لیست اصلی'!C:C,MATCH(K361,'اکسسوری حذف از لیست اصلی'!T:T,0))</f>
        <v>9901020056</v>
      </c>
      <c r="F361" s="109" t="str">
        <f>INDEX('اکسسوری حذف از لیست اصلی'!D:D,MATCH(K361,'اکسسوری حذف از لیست اصلی'!T:T,0))</f>
        <v>شال مبل خز قهوه ای ST-F056</v>
      </c>
      <c r="G361" s="110" t="str">
        <f>INDEX('اکسسوری حذف از لیست اصلی'!E:E,MATCH(K361,'اکسسوری حذف از لیست اصلی'!T:T,0))</f>
        <v>-</v>
      </c>
      <c r="H361" s="110" t="str">
        <f>INDEX('اکسسوری حذف از لیست اصلی'!F:F,MATCH(K361,'اکسسوری حذف از لیست اصلی'!T:T,0))</f>
        <v>-</v>
      </c>
      <c r="I361" s="110" t="str">
        <f>INDEX('اکسسوری حذف از لیست اصلی'!G:G,MATCH(K361,'اکسسوری حذف از لیست اصلی'!T:T,0))</f>
        <v>-</v>
      </c>
      <c r="J361" s="74">
        <f>INDEX('اکسسوری حذف از لیست اصلی'!J:J,MATCH(K361,'اکسسوری حذف از لیست اصلی'!T:T,0))</f>
        <v>153000000</v>
      </c>
      <c r="K361" s="64">
        <v>141</v>
      </c>
    </row>
    <row r="362" spans="1:11" ht="31.5" customHeight="1">
      <c r="A362" s="60"/>
      <c r="B362" s="61"/>
      <c r="D362" s="73">
        <v>12</v>
      </c>
      <c r="E362" s="109">
        <f>INDEX('اکسسوری حذف از لیست اصلی'!C:C,MATCH(K362,'اکسسوری حذف از لیست اصلی'!T:T,0))</f>
        <v>9901020057</v>
      </c>
      <c r="F362" s="109" t="str">
        <f>INDEX('اکسسوری حذف از لیست اصلی'!D:D,MATCH(K362,'اکسسوری حذف از لیست اصلی'!T:T,0))</f>
        <v>شال مبل خز ببری کرم ST-F057</v>
      </c>
      <c r="G362" s="110" t="str">
        <f>INDEX('اکسسوری حذف از لیست اصلی'!E:E,MATCH(K362,'اکسسوری حذف از لیست اصلی'!T:T,0))</f>
        <v>-</v>
      </c>
      <c r="H362" s="110" t="str">
        <f>INDEX('اکسسوری حذف از لیست اصلی'!F:F,MATCH(K362,'اکسسوری حذف از لیست اصلی'!T:T,0))</f>
        <v>-</v>
      </c>
      <c r="I362" s="110" t="str">
        <f>INDEX('اکسسوری حذف از لیست اصلی'!G:G,MATCH(K362,'اکسسوری حذف از لیست اصلی'!T:T,0))</f>
        <v>-</v>
      </c>
      <c r="J362" s="74">
        <f>INDEX('اکسسوری حذف از لیست اصلی'!J:J,MATCH(K362,'اکسسوری حذف از لیست اصلی'!T:T,0))</f>
        <v>201000000</v>
      </c>
      <c r="K362" s="64">
        <v>142</v>
      </c>
    </row>
    <row r="363" spans="1:11" ht="31.5" customHeight="1">
      <c r="A363" s="60"/>
      <c r="B363" s="61"/>
      <c r="D363" s="79">
        <v>13</v>
      </c>
      <c r="E363" s="109">
        <f>INDEX('اکسسوری حذف از لیست اصلی'!C:C,MATCH(K363,'اکسسوری حذف از لیست اصلی'!T:T,0))</f>
        <v>9901020089</v>
      </c>
      <c r="F363" s="109" t="str">
        <f>INDEX('اکسسوری حذف از لیست اصلی'!D:D,MATCH(K363,'اکسسوری حذف از لیست اصلی'!T:T,0))</f>
        <v>شال مبل کرم ST-T089</v>
      </c>
      <c r="G363" s="110" t="str">
        <f>INDEX('اکسسوری حذف از لیست اصلی'!E:E,MATCH(K363,'اکسسوری حذف از لیست اصلی'!T:T,0))</f>
        <v>-</v>
      </c>
      <c r="H363" s="110" t="str">
        <f>INDEX('اکسسوری حذف از لیست اصلی'!F:F,MATCH(K363,'اکسسوری حذف از لیست اصلی'!T:T,0))</f>
        <v>-</v>
      </c>
      <c r="I363" s="110" t="str">
        <f>INDEX('اکسسوری حذف از لیست اصلی'!G:G,MATCH(K363,'اکسسوری حذف از لیست اصلی'!T:T,0))</f>
        <v>-</v>
      </c>
      <c r="J363" s="74">
        <f>INDEX('اکسسوری حذف از لیست اصلی'!J:J,MATCH(K363,'اکسسوری حذف از لیست اصلی'!T:T,0))</f>
        <v>105000000</v>
      </c>
      <c r="K363" s="64">
        <v>143</v>
      </c>
    </row>
    <row r="364" spans="1:11" ht="31.5" customHeight="1">
      <c r="A364" s="60"/>
      <c r="B364" s="61"/>
      <c r="D364" s="73">
        <v>14</v>
      </c>
      <c r="E364" s="109">
        <f>INDEX('اکسسوری حذف از لیست اصلی'!C:C,MATCH(K364,'اکسسوری حذف از لیست اصلی'!T:T,0))</f>
        <v>9901020090</v>
      </c>
      <c r="F364" s="109" t="str">
        <f>INDEX('اکسسوری حذف از لیست اصلی'!D:D,MATCH(K364,'اکسسوری حذف از لیست اصلی'!T:T,0))</f>
        <v>شال مبل قهوه ای ST-T090</v>
      </c>
      <c r="G364" s="110" t="str">
        <f>INDEX('اکسسوری حذف از لیست اصلی'!E:E,MATCH(K364,'اکسسوری حذف از لیست اصلی'!T:T,0))</f>
        <v>-</v>
      </c>
      <c r="H364" s="110" t="str">
        <f>INDEX('اکسسوری حذف از لیست اصلی'!F:F,MATCH(K364,'اکسسوری حذف از لیست اصلی'!T:T,0))</f>
        <v>-</v>
      </c>
      <c r="I364" s="110" t="str">
        <f>INDEX('اکسسوری حذف از لیست اصلی'!G:G,MATCH(K364,'اکسسوری حذف از لیست اصلی'!T:T,0))</f>
        <v>-</v>
      </c>
      <c r="J364" s="74">
        <f>INDEX('اکسسوری حذف از لیست اصلی'!J:J,MATCH(K364,'اکسسوری حذف از لیست اصلی'!T:T,0))</f>
        <v>80000000</v>
      </c>
      <c r="K364" s="64">
        <v>144</v>
      </c>
    </row>
    <row r="365" spans="1:11" ht="31.5" customHeight="1">
      <c r="A365" s="60"/>
      <c r="B365" s="61"/>
      <c r="D365" s="79">
        <v>15</v>
      </c>
      <c r="E365" s="109">
        <f>INDEX('اکسسوری حذف از لیست اصلی'!C:C,MATCH(K365,'اکسسوری حذف از لیست اصلی'!T:T,0))</f>
        <v>9901020091</v>
      </c>
      <c r="F365" s="109" t="str">
        <f>INDEX('اکسسوری حذف از لیست اصلی'!D:D,MATCH(K365,'اکسسوری حذف از لیست اصلی'!T:T,0))</f>
        <v>شال مبل سبز طوسی ST-T091</v>
      </c>
      <c r="G365" s="110" t="str">
        <f>INDEX('اکسسوری حذف از لیست اصلی'!E:E,MATCH(K365,'اکسسوری حذف از لیست اصلی'!T:T,0))</f>
        <v>-</v>
      </c>
      <c r="H365" s="110" t="str">
        <f>INDEX('اکسسوری حذف از لیست اصلی'!F:F,MATCH(K365,'اکسسوری حذف از لیست اصلی'!T:T,0))</f>
        <v>-</v>
      </c>
      <c r="I365" s="110" t="str">
        <f>INDEX('اکسسوری حذف از لیست اصلی'!G:G,MATCH(K365,'اکسسوری حذف از لیست اصلی'!T:T,0))</f>
        <v>-</v>
      </c>
      <c r="J365" s="74">
        <f>INDEX('اکسسوری حذف از لیست اصلی'!J:J,MATCH(K365,'اکسسوری حذف از لیست اصلی'!T:T,0))</f>
        <v>80000000</v>
      </c>
      <c r="K365" s="64">
        <v>145</v>
      </c>
    </row>
    <row r="366" spans="1:11" ht="31.5" customHeight="1">
      <c r="A366" s="60"/>
      <c r="B366" s="61"/>
      <c r="D366" s="73">
        <v>16</v>
      </c>
      <c r="E366" s="109">
        <f>INDEX('اکسسوری حذف از لیست اصلی'!C:C,MATCH(K366,'اکسسوری حذف از لیست اصلی'!T:T,0))</f>
        <v>9901020110</v>
      </c>
      <c r="F366" s="109" t="str">
        <f>INDEX('اکسسوری حذف از لیست اصلی'!D:D,MATCH(K366,'اکسسوری حذف از لیست اصلی'!T:T,0))</f>
        <v>شال مبل ST-C110</v>
      </c>
      <c r="G366" s="110" t="str">
        <f>INDEX('اکسسوری حذف از لیست اصلی'!E:E,MATCH(K366,'اکسسوری حذف از لیست اصلی'!T:T,0))</f>
        <v>170*110</v>
      </c>
      <c r="H366" s="110">
        <f>INDEX('اکسسوری حذف از لیست اصلی'!F:F,MATCH(K366,'اکسسوری حذف از لیست اصلی'!T:T,0))</f>
        <v>0</v>
      </c>
      <c r="I366" s="110">
        <f>INDEX('اکسسوری حذف از لیست اصلی'!G:G,MATCH(K366,'اکسسوری حذف از لیست اصلی'!T:T,0))</f>
        <v>0</v>
      </c>
      <c r="J366" s="74">
        <f>INDEX('اکسسوری حذف از لیست اصلی'!J:J,MATCH(K366,'اکسسوری حذف از لیست اصلی'!T:T,0))</f>
        <v>115000000</v>
      </c>
      <c r="K366" s="64">
        <v>146</v>
      </c>
    </row>
    <row r="367" spans="1:11" ht="31.5" customHeight="1">
      <c r="A367" s="60"/>
      <c r="B367" s="61"/>
      <c r="D367" s="79">
        <v>17</v>
      </c>
      <c r="E367" s="109">
        <f>INDEX('اکسسوری حذف از لیست اصلی'!C:C,MATCH(K367,'اکسسوری حذف از لیست اصلی'!T:T,0))</f>
        <v>9901020112</v>
      </c>
      <c r="F367" s="109" t="str">
        <f>INDEX('اکسسوری حذف از لیست اصلی'!D:D,MATCH(K367,'اکسسوری حذف از لیست اصلی'!T:T,0))</f>
        <v>شال مبل دستبافت طوسیST-T112</v>
      </c>
      <c r="G367" s="110">
        <f>INDEX('اکسسوری حذف از لیست اصلی'!E:E,MATCH(K367,'اکسسوری حذف از لیست اصلی'!T:T,0))</f>
        <v>0</v>
      </c>
      <c r="H367" s="110">
        <f>INDEX('اکسسوری حذف از لیست اصلی'!F:F,MATCH(K367,'اکسسوری حذف از لیست اصلی'!T:T,0))</f>
        <v>0</v>
      </c>
      <c r="I367" s="110">
        <f>INDEX('اکسسوری حذف از لیست اصلی'!G:G,MATCH(K367,'اکسسوری حذف از لیست اصلی'!T:T,0))</f>
        <v>0</v>
      </c>
      <c r="J367" s="74">
        <f>INDEX('اکسسوری حذف از لیست اصلی'!J:J,MATCH(K367,'اکسسوری حذف از لیست اصلی'!T:T,0))</f>
        <v>259000000</v>
      </c>
      <c r="K367" s="64">
        <v>147</v>
      </c>
    </row>
    <row r="368" spans="1:11" ht="31.5" customHeight="1">
      <c r="A368" s="60"/>
      <c r="B368" s="61"/>
      <c r="D368" s="73">
        <v>18</v>
      </c>
      <c r="E368" s="109">
        <f>INDEX('اکسسوری حذف از لیست اصلی'!C:C,MATCH(K368,'اکسسوری حذف از لیست اصلی'!T:T,0))</f>
        <v>9901020113</v>
      </c>
      <c r="F368" s="109" t="str">
        <f>INDEX('اکسسوری حذف از لیست اصلی'!D:D,MATCH(K368,'اکسسوری حذف از لیست اصلی'!T:T,0))</f>
        <v>شال مبل دستبافت کرمST-T113</v>
      </c>
      <c r="G368" s="110">
        <f>INDEX('اکسسوری حذف از لیست اصلی'!E:E,MATCH(K368,'اکسسوری حذف از لیست اصلی'!T:T,0))</f>
        <v>0</v>
      </c>
      <c r="H368" s="110">
        <f>INDEX('اکسسوری حذف از لیست اصلی'!F:F,MATCH(K368,'اکسسوری حذف از لیست اصلی'!T:T,0))</f>
        <v>0</v>
      </c>
      <c r="I368" s="110">
        <f>INDEX('اکسسوری حذف از لیست اصلی'!G:G,MATCH(K368,'اکسسوری حذف از لیست اصلی'!T:T,0))</f>
        <v>0</v>
      </c>
      <c r="J368" s="74">
        <f>INDEX('اکسسوری حذف از لیست اصلی'!J:J,MATCH(K368,'اکسسوری حذف از لیست اصلی'!T:T,0))</f>
        <v>259000000</v>
      </c>
      <c r="K368" s="64">
        <v>148</v>
      </c>
    </row>
    <row r="369" spans="1:11" ht="22.5" customHeight="1">
      <c r="A369" s="60"/>
      <c r="B369" s="61"/>
      <c r="D369" s="28"/>
      <c r="E369" s="65"/>
      <c r="G369" s="28"/>
      <c r="H369" s="28"/>
      <c r="I369" s="28"/>
      <c r="J369" s="74"/>
    </row>
    <row r="370" spans="1:11">
      <c r="A370" s="60"/>
      <c r="B370" s="61"/>
      <c r="J370" s="74">
        <v>12</v>
      </c>
    </row>
    <row r="371" spans="1:11">
      <c r="A371" s="70"/>
      <c r="B371" s="71"/>
      <c r="C371" s="183"/>
      <c r="D371" s="184"/>
      <c r="E371" s="184"/>
      <c r="F371" s="184"/>
      <c r="G371" s="184"/>
      <c r="H371" s="184"/>
      <c r="I371" s="184"/>
      <c r="J371" s="184"/>
    </row>
    <row r="372" spans="1:11">
      <c r="A372" s="70"/>
      <c r="B372" s="71"/>
      <c r="C372" s="183"/>
      <c r="D372" s="184"/>
      <c r="E372" s="184"/>
      <c r="F372" s="184"/>
      <c r="G372" s="184"/>
      <c r="H372" s="184"/>
      <c r="I372" s="184"/>
      <c r="J372" s="184"/>
    </row>
    <row r="373" spans="1:11" ht="27.75">
      <c r="A373" s="70"/>
      <c r="B373" s="71"/>
      <c r="C373" s="72"/>
      <c r="D373" s="67" t="s">
        <v>876</v>
      </c>
      <c r="J373" s="68" t="str">
        <f>$N$1</f>
        <v>1405/02/23</v>
      </c>
    </row>
    <row r="374" spans="1:11" ht="36">
      <c r="A374" s="70"/>
      <c r="B374" s="71"/>
      <c r="C374" s="77"/>
      <c r="D374" s="75" t="s">
        <v>0</v>
      </c>
      <c r="E374" s="69" t="s">
        <v>1</v>
      </c>
      <c r="F374" s="107" t="s">
        <v>448</v>
      </c>
      <c r="G374" s="108" t="s">
        <v>1141</v>
      </c>
      <c r="H374" s="108" t="s">
        <v>1142</v>
      </c>
      <c r="I374" s="108" t="s">
        <v>1143</v>
      </c>
      <c r="J374" s="68" t="s">
        <v>251</v>
      </c>
    </row>
    <row r="375" spans="1:11" ht="28.5" customHeight="1">
      <c r="A375" s="60"/>
      <c r="B375" s="61"/>
      <c r="D375" s="73">
        <v>1</v>
      </c>
      <c r="E375" s="109">
        <f>INDEX('اکسسوری حذف از لیست اصلی'!C:C,MATCH(K375,'اکسسوری حذف از لیست اصلی'!T:T,0))</f>
        <v>9901020041</v>
      </c>
      <c r="F375" s="109" t="str">
        <f>INDEX('اکسسوری حذف از لیست اصلی'!D:D,MATCH(K375,'اکسسوری حذف از لیست اصلی'!T:T,0))</f>
        <v>رانر کتان /RT-C041</v>
      </c>
      <c r="G375" s="110" t="str">
        <f>INDEX('اکسسوری حذف از لیست اصلی'!E:E,MATCH(K375,'اکسسوری حذف از لیست اصلی'!T:T,0))</f>
        <v>140cm</v>
      </c>
      <c r="H375" s="110">
        <f>INDEX('اکسسوری حذف از لیست اصلی'!F:F,MATCH(K375,'اکسسوری حذف از لیست اصلی'!T:T,0))</f>
        <v>0</v>
      </c>
      <c r="I375" s="110">
        <f>INDEX('اکسسوری حذف از لیست اصلی'!G:G,MATCH(K375,'اکسسوری حذف از لیست اصلی'!T:T,0))</f>
        <v>0</v>
      </c>
      <c r="J375" s="74">
        <f>INDEX('اکسسوری حذف از لیست اصلی'!J:J,MATCH(K375,'اکسسوری حذف از لیست اصلی'!T:T,0))</f>
        <v>56000000</v>
      </c>
      <c r="K375" s="64">
        <v>149</v>
      </c>
    </row>
    <row r="376" spans="1:11" ht="28.5" customHeight="1">
      <c r="A376" s="60"/>
      <c r="B376" s="61"/>
      <c r="C376" s="78"/>
      <c r="D376" s="79">
        <v>2</v>
      </c>
      <c r="E376" s="109">
        <f>INDEX('اکسسوری حذف از لیست اصلی'!C:C,MATCH(K376,'اکسسوری حذف از لیست اصلی'!T:T,0))</f>
        <v>9901020042</v>
      </c>
      <c r="F376" s="109" t="str">
        <f>INDEX('اکسسوری حذف از لیست اصلی'!D:D,MATCH(K376,'اکسسوری حذف از لیست اصلی'!T:T,0))</f>
        <v>رانر کتان/RT-C042</v>
      </c>
      <c r="G376" s="110" t="str">
        <f>INDEX('اکسسوری حذف از لیست اصلی'!E:E,MATCH(K376,'اکسسوری حذف از لیست اصلی'!T:T,0))</f>
        <v>140cm</v>
      </c>
      <c r="H376" s="110">
        <f>INDEX('اکسسوری حذف از لیست اصلی'!F:F,MATCH(K376,'اکسسوری حذف از لیست اصلی'!T:T,0))</f>
        <v>0</v>
      </c>
      <c r="I376" s="110">
        <f>INDEX('اکسسوری حذف از لیست اصلی'!G:G,MATCH(K376,'اکسسوری حذف از لیست اصلی'!T:T,0))</f>
        <v>0</v>
      </c>
      <c r="J376" s="74">
        <f>INDEX('اکسسوری حذف از لیست اصلی'!J:J,MATCH(K376,'اکسسوری حذف از لیست اصلی'!T:T,0))</f>
        <v>49000000</v>
      </c>
      <c r="K376" s="64">
        <v>150</v>
      </c>
    </row>
    <row r="377" spans="1:11" ht="28.5" customHeight="1">
      <c r="A377" s="60"/>
      <c r="B377" s="61"/>
      <c r="D377" s="79">
        <v>3</v>
      </c>
      <c r="E377" s="109">
        <f>INDEX('اکسسوری حذف از لیست اصلی'!C:C,MATCH(K377,'اکسسوری حذف از لیست اصلی'!T:T,0))</f>
        <v>9901020044</v>
      </c>
      <c r="F377" s="109" t="str">
        <f>INDEX('اکسسوری حذف از لیست اصلی'!D:D,MATCH(K377,'اکسسوری حذف از لیست اصلی'!T:T,0))</f>
        <v>رانر کتان/RT-C044</v>
      </c>
      <c r="G377" s="110" t="str">
        <f>INDEX('اکسسوری حذف از لیست اصلی'!E:E,MATCH(K377,'اکسسوری حذف از لیست اصلی'!T:T,0))</f>
        <v>140cm</v>
      </c>
      <c r="H377" s="110">
        <f>INDEX('اکسسوری حذف از لیست اصلی'!F:F,MATCH(K377,'اکسسوری حذف از لیست اصلی'!T:T,0))</f>
        <v>0</v>
      </c>
      <c r="I377" s="110">
        <f>INDEX('اکسسوری حذف از لیست اصلی'!G:G,MATCH(K377,'اکسسوری حذف از لیست اصلی'!T:T,0))</f>
        <v>0</v>
      </c>
      <c r="J377" s="74">
        <f>INDEX('اکسسوری حذف از لیست اصلی'!J:J,MATCH(K377,'اکسسوری حذف از لیست اصلی'!T:T,0))</f>
        <v>49000000</v>
      </c>
      <c r="K377" s="64">
        <v>151</v>
      </c>
    </row>
    <row r="378" spans="1:11" ht="28.5" customHeight="1">
      <c r="A378" s="60"/>
      <c r="B378" s="61"/>
      <c r="D378" s="79">
        <v>4</v>
      </c>
      <c r="E378" s="109">
        <f>INDEX('اکسسوری حذف از لیست اصلی'!C:C,MATCH(K378,'اکسسوری حذف از لیست اصلی'!T:T,0))</f>
        <v>9901020045</v>
      </c>
      <c r="F378" s="109" t="str">
        <f>INDEX('اکسسوری حذف از لیست اصلی'!D:D,MATCH(K378,'اکسسوری حذف از لیست اصلی'!T:T,0))</f>
        <v>رانر کتان/RT-C045</v>
      </c>
      <c r="G378" s="110" t="str">
        <f>INDEX('اکسسوری حذف از لیست اصلی'!E:E,MATCH(K378,'اکسسوری حذف از لیست اصلی'!T:T,0))</f>
        <v>220cm</v>
      </c>
      <c r="H378" s="110">
        <f>INDEX('اکسسوری حذف از لیست اصلی'!F:F,MATCH(K378,'اکسسوری حذف از لیست اصلی'!T:T,0))</f>
        <v>0</v>
      </c>
      <c r="I378" s="110">
        <f>INDEX('اکسسوری حذف از لیست اصلی'!G:G,MATCH(K378,'اکسسوری حذف از لیست اصلی'!T:T,0))</f>
        <v>0</v>
      </c>
      <c r="J378" s="74">
        <f>INDEX('اکسسوری حذف از لیست اصلی'!J:J,MATCH(K378,'اکسسوری حذف از لیست اصلی'!T:T,0))</f>
        <v>58000000</v>
      </c>
      <c r="K378" s="64">
        <v>152</v>
      </c>
    </row>
    <row r="379" spans="1:11" ht="28.5" customHeight="1">
      <c r="A379" s="60"/>
      <c r="B379" s="61"/>
      <c r="D379" s="73">
        <v>5</v>
      </c>
      <c r="E379" s="109">
        <f>INDEX('اکسسوری حذف از لیست اصلی'!C:C,MATCH(K379,'اکسسوری حذف از لیست اصلی'!T:T,0))</f>
        <v>9901020046</v>
      </c>
      <c r="F379" s="109" t="str">
        <f>INDEX('اکسسوری حذف از لیست اصلی'!D:D,MATCH(K379,'اکسسوری حذف از لیست اصلی'!T:T,0))</f>
        <v>رانر کتان/RT-C046</v>
      </c>
      <c r="G379" s="110" t="str">
        <f>INDEX('اکسسوری حذف از لیست اصلی'!E:E,MATCH(K379,'اکسسوری حذف از لیست اصلی'!T:T,0))</f>
        <v>160cm</v>
      </c>
      <c r="H379" s="110">
        <f>INDEX('اکسسوری حذف از لیست اصلی'!F:F,MATCH(K379,'اکسسوری حذف از لیست اصلی'!T:T,0))</f>
        <v>0</v>
      </c>
      <c r="I379" s="110">
        <f>INDEX('اکسسوری حذف از لیست اصلی'!G:G,MATCH(K379,'اکسسوری حذف از لیست اصلی'!T:T,0))</f>
        <v>0</v>
      </c>
      <c r="J379" s="74">
        <f>INDEX('اکسسوری حذف از لیست اصلی'!J:J,MATCH(K379,'اکسسوری حذف از لیست اصلی'!T:T,0))</f>
        <v>63000000</v>
      </c>
      <c r="K379" s="64">
        <v>153</v>
      </c>
    </row>
    <row r="380" spans="1:11" ht="28.5" customHeight="1">
      <c r="A380" s="60"/>
      <c r="B380" s="61"/>
      <c r="D380" s="79">
        <v>6</v>
      </c>
      <c r="E380" s="109">
        <f>INDEX('اکسسوری حذف از لیست اصلی'!C:C,MATCH(K380,'اکسسوری حذف از لیست اصلی'!T:T,0))</f>
        <v>9901020047</v>
      </c>
      <c r="F380" s="109" t="str">
        <f>INDEX('اکسسوری حذف از لیست اصلی'!D:D,MATCH(K380,'اکسسوری حذف از لیست اصلی'!T:T,0))</f>
        <v>رانر کتان/RT-C047</v>
      </c>
      <c r="G380" s="110" t="str">
        <f>INDEX('اکسسوری حذف از لیست اصلی'!E:E,MATCH(K380,'اکسسوری حذف از لیست اصلی'!T:T,0))</f>
        <v>160cm</v>
      </c>
      <c r="H380" s="110">
        <f>INDEX('اکسسوری حذف از لیست اصلی'!F:F,MATCH(K380,'اکسسوری حذف از لیست اصلی'!T:T,0))</f>
        <v>0</v>
      </c>
      <c r="I380" s="110">
        <f>INDEX('اکسسوری حذف از لیست اصلی'!G:G,MATCH(K380,'اکسسوری حذف از لیست اصلی'!T:T,0))</f>
        <v>0</v>
      </c>
      <c r="J380" s="74">
        <f>INDEX('اکسسوری حذف از لیست اصلی'!J:J,MATCH(K380,'اکسسوری حذف از لیست اصلی'!T:T,0))</f>
        <v>54000000</v>
      </c>
      <c r="K380" s="64">
        <v>154</v>
      </c>
    </row>
    <row r="381" spans="1:11" ht="28.5" customHeight="1">
      <c r="A381" s="60"/>
      <c r="B381" s="61"/>
      <c r="D381" s="79">
        <v>7</v>
      </c>
      <c r="E381" s="109">
        <f>INDEX('اکسسوری حذف از لیست اصلی'!C:C,MATCH(K381,'اکسسوری حذف از لیست اصلی'!T:T,0))</f>
        <v>9901020049</v>
      </c>
      <c r="F381" s="109" t="str">
        <f>INDEX('اکسسوری حذف از لیست اصلی'!D:D,MATCH(K381,'اکسسوری حذف از لیست اصلی'!T:T,0))</f>
        <v>رانر کتان/RT-C049</v>
      </c>
      <c r="G381" s="110" t="str">
        <f>INDEX('اکسسوری حذف از لیست اصلی'!E:E,MATCH(K381,'اکسسوری حذف از لیست اصلی'!T:T,0))</f>
        <v>160cm</v>
      </c>
      <c r="H381" s="110">
        <f>INDEX('اکسسوری حذف از لیست اصلی'!F:F,MATCH(K381,'اکسسوری حذف از لیست اصلی'!T:T,0))</f>
        <v>0</v>
      </c>
      <c r="I381" s="110">
        <f>INDEX('اکسسوری حذف از لیست اصلی'!G:G,MATCH(K381,'اکسسوری حذف از لیست اصلی'!T:T,0))</f>
        <v>0</v>
      </c>
      <c r="J381" s="74">
        <f>INDEX('اکسسوری حذف از لیست اصلی'!J:J,MATCH(K381,'اکسسوری حذف از لیست اصلی'!T:T,0))</f>
        <v>54000000</v>
      </c>
      <c r="K381" s="64">
        <v>155</v>
      </c>
    </row>
    <row r="382" spans="1:11" ht="28.5" customHeight="1">
      <c r="A382" s="60"/>
      <c r="B382" s="61"/>
      <c r="D382" s="79">
        <v>8</v>
      </c>
      <c r="E382" s="109">
        <f>INDEX('اکسسوری حذف از لیست اصلی'!C:C,MATCH(K382,'اکسسوری حذف از لیست اصلی'!T:T,0))</f>
        <v>9901020050</v>
      </c>
      <c r="F382" s="109" t="str">
        <f>INDEX('اکسسوری حذف از لیست اصلی'!D:D,MATCH(K382,'اکسسوری حذف از لیست اصلی'!T:T,0))</f>
        <v>رانر کتان/RT-C050</v>
      </c>
      <c r="G382" s="110" t="str">
        <f>INDEX('اکسسوری حذف از لیست اصلی'!E:E,MATCH(K382,'اکسسوری حذف از لیست اصلی'!T:T,0))</f>
        <v>240cm</v>
      </c>
      <c r="H382" s="110">
        <f>INDEX('اکسسوری حذف از لیست اصلی'!F:F,MATCH(K382,'اکسسوری حذف از لیست اصلی'!T:T,0))</f>
        <v>0</v>
      </c>
      <c r="I382" s="110">
        <f>INDEX('اکسسوری حذف از لیست اصلی'!G:G,MATCH(K382,'اکسسوری حذف از لیست اصلی'!T:T,0))</f>
        <v>0</v>
      </c>
      <c r="J382" s="74">
        <f>INDEX('اکسسوری حذف از لیست اصلی'!J:J,MATCH(K382,'اکسسوری حذف از لیست اصلی'!T:T,0))</f>
        <v>63000000</v>
      </c>
      <c r="K382" s="64">
        <v>156</v>
      </c>
    </row>
    <row r="383" spans="1:11" ht="28.5" customHeight="1">
      <c r="A383" s="60"/>
      <c r="B383" s="61"/>
      <c r="D383" s="73">
        <v>9</v>
      </c>
      <c r="E383" s="109">
        <f>INDEX('اکسسوری حذف از لیست اصلی'!C:C,MATCH(K383,'اکسسوری حذف از لیست اصلی'!T:T,0))</f>
        <v>9901020070</v>
      </c>
      <c r="F383" s="109" t="str">
        <f>INDEX('اکسسوری حذف از لیست اصلی'!D:D,MATCH(K383,'اکسسوری حذف از لیست اصلی'!T:T,0))</f>
        <v>رانر کتان/RT-C070</v>
      </c>
      <c r="G383" s="110" t="str">
        <f>INDEX('اکسسوری حذف از لیست اصلی'!E:E,MATCH(K383,'اکسسوری حذف از لیست اصلی'!T:T,0))</f>
        <v>180cm</v>
      </c>
      <c r="H383" s="110">
        <f>INDEX('اکسسوری حذف از لیست اصلی'!F:F,MATCH(K383,'اکسسوری حذف از لیست اصلی'!T:T,0))</f>
        <v>0</v>
      </c>
      <c r="I383" s="110">
        <f>INDEX('اکسسوری حذف از لیست اصلی'!G:G,MATCH(K383,'اکسسوری حذف از لیست اصلی'!T:T,0))</f>
        <v>0</v>
      </c>
      <c r="J383" s="74">
        <f>INDEX('اکسسوری حذف از لیست اصلی'!J:J,MATCH(K383,'اکسسوری حذف از لیست اصلی'!T:T,0))</f>
        <v>56000000</v>
      </c>
      <c r="K383" s="64">
        <v>157</v>
      </c>
    </row>
    <row r="384" spans="1:11" ht="28.5" customHeight="1">
      <c r="A384" s="60"/>
      <c r="B384" s="61"/>
      <c r="D384" s="79">
        <v>10</v>
      </c>
      <c r="E384" s="109">
        <f>INDEX('اکسسوری حذف از لیست اصلی'!C:C,MATCH(K384,'اکسسوری حذف از لیست اصلی'!T:T,0))</f>
        <v>9901020071</v>
      </c>
      <c r="F384" s="109" t="str">
        <f>INDEX('اکسسوری حذف از لیست اصلی'!D:D,MATCH(K384,'اکسسوری حذف از لیست اصلی'!T:T,0))</f>
        <v>رانر کتان/RT-C071</v>
      </c>
      <c r="G384" s="110" t="str">
        <f>INDEX('اکسسوری حذف از لیست اصلی'!E:E,MATCH(K384,'اکسسوری حذف از لیست اصلی'!T:T,0))</f>
        <v>220cm</v>
      </c>
      <c r="H384" s="110">
        <f>INDEX('اکسسوری حذف از لیست اصلی'!F:F,MATCH(K384,'اکسسوری حذف از لیست اصلی'!T:T,0))</f>
        <v>0</v>
      </c>
      <c r="I384" s="110">
        <f>INDEX('اکسسوری حذف از لیست اصلی'!G:G,MATCH(K384,'اکسسوری حذف از لیست اصلی'!T:T,0))</f>
        <v>0</v>
      </c>
      <c r="J384" s="74">
        <f>INDEX('اکسسوری حذف از لیست اصلی'!J:J,MATCH(K384,'اکسسوری حذف از لیست اصلی'!T:T,0))</f>
        <v>61000000</v>
      </c>
      <c r="K384" s="64">
        <v>158</v>
      </c>
    </row>
    <row r="385" spans="1:11" ht="28.5" customHeight="1">
      <c r="A385" s="60"/>
      <c r="B385" s="61"/>
      <c r="D385" s="79">
        <v>11</v>
      </c>
      <c r="E385" s="109">
        <f>INDEX('اکسسوری حذف از لیست اصلی'!C:C,MATCH(K385,'اکسسوری حذف از لیست اصلی'!T:T,0))</f>
        <v>9901020072</v>
      </c>
      <c r="F385" s="109" t="str">
        <f>INDEX('اکسسوری حذف از لیست اصلی'!D:D,MATCH(K385,'اکسسوری حذف از لیست اصلی'!T:T,0))</f>
        <v>رانر کتان/RT-C072</v>
      </c>
      <c r="G385" s="110" t="str">
        <f>INDEX('اکسسوری حذف از لیست اصلی'!E:E,MATCH(K385,'اکسسوری حذف از لیست اصلی'!T:T,0))</f>
        <v>180cm</v>
      </c>
      <c r="H385" s="110">
        <f>INDEX('اکسسوری حذف از لیست اصلی'!F:F,MATCH(K385,'اکسسوری حذف از لیست اصلی'!T:T,0))</f>
        <v>0</v>
      </c>
      <c r="I385" s="110">
        <f>INDEX('اکسسوری حذف از لیست اصلی'!G:G,MATCH(K385,'اکسسوری حذف از لیست اصلی'!T:T,0))</f>
        <v>0</v>
      </c>
      <c r="J385" s="74">
        <f>INDEX('اکسسوری حذف از لیست اصلی'!J:J,MATCH(K385,'اکسسوری حذف از لیست اصلی'!T:T,0))</f>
        <v>56000000</v>
      </c>
      <c r="K385" s="64">
        <v>159</v>
      </c>
    </row>
    <row r="386" spans="1:11" ht="28.5" customHeight="1">
      <c r="A386" s="60"/>
      <c r="B386" s="61"/>
      <c r="D386" s="79">
        <v>12</v>
      </c>
      <c r="E386" s="109">
        <f>INDEX('اکسسوری حذف از لیست اصلی'!C:C,MATCH(K386,'اکسسوری حذف از لیست اصلی'!T:T,0))</f>
        <v>9901020073</v>
      </c>
      <c r="F386" s="109" t="str">
        <f>INDEX('اکسسوری حذف از لیست اصلی'!D:D,MATCH(K386,'اکسسوری حذف از لیست اصلی'!T:T,0))</f>
        <v>رانر کتان/RT-C073</v>
      </c>
      <c r="G386" s="110" t="str">
        <f>INDEX('اکسسوری حذف از لیست اصلی'!E:E,MATCH(K386,'اکسسوری حذف از لیست اصلی'!T:T,0))</f>
        <v>220cm</v>
      </c>
      <c r="H386" s="110">
        <f>INDEX('اکسسوری حذف از لیست اصلی'!F:F,MATCH(K386,'اکسسوری حذف از لیست اصلی'!T:T,0))</f>
        <v>0</v>
      </c>
      <c r="I386" s="110">
        <f>INDEX('اکسسوری حذف از لیست اصلی'!G:G,MATCH(K386,'اکسسوری حذف از لیست اصلی'!T:T,0))</f>
        <v>0</v>
      </c>
      <c r="J386" s="74">
        <f>INDEX('اکسسوری حذف از لیست اصلی'!J:J,MATCH(K386,'اکسسوری حذف از لیست اصلی'!T:T,0))</f>
        <v>61000000</v>
      </c>
      <c r="K386" s="64">
        <v>160</v>
      </c>
    </row>
    <row r="387" spans="1:11" ht="28.5" customHeight="1">
      <c r="A387" s="60"/>
      <c r="B387" s="61"/>
      <c r="D387" s="73">
        <v>13</v>
      </c>
      <c r="E387" s="109">
        <f>INDEX('اکسسوری حذف از لیست اصلی'!C:C,MATCH(K387,'اکسسوری حذف از لیست اصلی'!T:T,0))</f>
        <v>9901020074</v>
      </c>
      <c r="F387" s="109" t="str">
        <f>INDEX('اکسسوری حذف از لیست اصلی'!D:D,MATCH(K387,'اکسسوری حذف از لیست اصلی'!T:T,0))</f>
        <v>رانر کتان/RT-C074</v>
      </c>
      <c r="G387" s="110" t="str">
        <f>INDEX('اکسسوری حذف از لیست اصلی'!E:E,MATCH(K387,'اکسسوری حذف از لیست اصلی'!T:T,0))</f>
        <v>180cm</v>
      </c>
      <c r="H387" s="110">
        <f>INDEX('اکسسوری حذف از لیست اصلی'!F:F,MATCH(K387,'اکسسوری حذف از لیست اصلی'!T:T,0))</f>
        <v>0</v>
      </c>
      <c r="I387" s="110">
        <f>INDEX('اکسسوری حذف از لیست اصلی'!G:G,MATCH(K387,'اکسسوری حذف از لیست اصلی'!T:T,0))</f>
        <v>0</v>
      </c>
      <c r="J387" s="74">
        <f>INDEX('اکسسوری حذف از لیست اصلی'!J:J,MATCH(K387,'اکسسوری حذف از لیست اصلی'!T:T,0))</f>
        <v>73000000</v>
      </c>
      <c r="K387" s="64">
        <v>161</v>
      </c>
    </row>
    <row r="388" spans="1:11" ht="28.5" customHeight="1">
      <c r="A388" s="60"/>
      <c r="B388" s="61"/>
      <c r="D388" s="79">
        <v>14</v>
      </c>
      <c r="E388" s="109">
        <f>INDEX('اکسسوری حذف از لیست اصلی'!C:C,MATCH(K388,'اکسسوری حذف از لیست اصلی'!T:T,0))</f>
        <v>9901020075</v>
      </c>
      <c r="F388" s="109" t="str">
        <f>INDEX('اکسسوری حذف از لیست اصلی'!D:D,MATCH(K388,'اکسسوری حذف از لیست اصلی'!T:T,0))</f>
        <v>رانر کتان/RT-C075</v>
      </c>
      <c r="G388" s="110" t="str">
        <f>INDEX('اکسسوری حذف از لیست اصلی'!E:E,MATCH(K388,'اکسسوری حذف از لیست اصلی'!T:T,0))</f>
        <v>220cm</v>
      </c>
      <c r="H388" s="110">
        <f>INDEX('اکسسوری حذف از لیست اصلی'!F:F,MATCH(K388,'اکسسوری حذف از لیست اصلی'!T:T,0))</f>
        <v>0</v>
      </c>
      <c r="I388" s="110">
        <f>INDEX('اکسسوری حذف از لیست اصلی'!G:G,MATCH(K388,'اکسسوری حذف از لیست اصلی'!T:T,0))</f>
        <v>0</v>
      </c>
      <c r="J388" s="74">
        <f>INDEX('اکسسوری حذف از لیست اصلی'!J:J,MATCH(K388,'اکسسوری حذف از لیست اصلی'!T:T,0))</f>
        <v>61000000</v>
      </c>
      <c r="K388" s="64">
        <v>162</v>
      </c>
    </row>
    <row r="389" spans="1:11" ht="28.5" customHeight="1">
      <c r="A389" s="60"/>
      <c r="B389" s="61"/>
      <c r="D389" s="79">
        <v>15</v>
      </c>
      <c r="E389" s="109">
        <f>INDEX('اکسسوری حذف از لیست اصلی'!C:C,MATCH(K389,'اکسسوری حذف از لیست اصلی'!T:T,0))</f>
        <v>9901020076</v>
      </c>
      <c r="F389" s="109" t="str">
        <f>INDEX('اکسسوری حذف از لیست اصلی'!D:D,MATCH(K389,'اکسسوری حذف از لیست اصلی'!T:T,0))</f>
        <v>رانر کتان/RT-C076</v>
      </c>
      <c r="G389" s="110" t="str">
        <f>INDEX('اکسسوری حذف از لیست اصلی'!E:E,MATCH(K389,'اکسسوری حذف از لیست اصلی'!T:T,0))</f>
        <v>180cm</v>
      </c>
      <c r="H389" s="110">
        <f>INDEX('اکسسوری حذف از لیست اصلی'!F:F,MATCH(K389,'اکسسوری حذف از لیست اصلی'!T:T,0))</f>
        <v>0</v>
      </c>
      <c r="I389" s="110">
        <f>INDEX('اکسسوری حذف از لیست اصلی'!G:G,MATCH(K389,'اکسسوری حذف از لیست اصلی'!T:T,0))</f>
        <v>0</v>
      </c>
      <c r="J389" s="74">
        <f>INDEX('اکسسوری حذف از لیست اصلی'!J:J,MATCH(K389,'اکسسوری حذف از لیست اصلی'!T:T,0))</f>
        <v>73000000</v>
      </c>
      <c r="K389" s="64">
        <v>163</v>
      </c>
    </row>
    <row r="390" spans="1:11" ht="28.5" customHeight="1">
      <c r="A390" s="60"/>
      <c r="B390" s="61"/>
      <c r="D390" s="79">
        <v>16</v>
      </c>
      <c r="E390" s="109">
        <f>INDEX('اکسسوری حذف از لیست اصلی'!C:C,MATCH(K390,'اکسسوری حذف از لیست اصلی'!T:T,0))</f>
        <v>9901020077</v>
      </c>
      <c r="F390" s="109" t="str">
        <f>INDEX('اکسسوری حذف از لیست اصلی'!D:D,MATCH(K390,'اکسسوری حذف از لیست اصلی'!T:T,0))</f>
        <v>رانر کتان/RT-C077</v>
      </c>
      <c r="G390" s="110" t="str">
        <f>INDEX('اکسسوری حذف از لیست اصلی'!E:E,MATCH(K390,'اکسسوری حذف از لیست اصلی'!T:T,0))</f>
        <v>220cm</v>
      </c>
      <c r="H390" s="110">
        <f>INDEX('اکسسوری حذف از لیست اصلی'!F:F,MATCH(K390,'اکسسوری حذف از لیست اصلی'!T:T,0))</f>
        <v>0</v>
      </c>
      <c r="I390" s="110">
        <f>INDEX('اکسسوری حذف از لیست اصلی'!G:G,MATCH(K390,'اکسسوری حذف از لیست اصلی'!T:T,0))</f>
        <v>0</v>
      </c>
      <c r="J390" s="74">
        <f>INDEX('اکسسوری حذف از لیست اصلی'!J:J,MATCH(K390,'اکسسوری حذف از لیست اصلی'!T:T,0))</f>
        <v>61000000</v>
      </c>
      <c r="K390" s="64">
        <v>164</v>
      </c>
    </row>
    <row r="391" spans="1:11" ht="28.5" customHeight="1">
      <c r="A391" s="60"/>
      <c r="B391" s="61"/>
      <c r="D391" s="79">
        <v>17</v>
      </c>
      <c r="E391" s="109">
        <f>INDEX('اکسسوری حذف از لیست اصلی'!C:C,MATCH(K391,'اکسسوری حذف از لیست اصلی'!T:T,0))</f>
        <v>9901020078</v>
      </c>
      <c r="F391" s="109" t="str">
        <f>INDEX('اکسسوری حذف از لیست اصلی'!D:D,MATCH(K391,'اکسسوری حذف از لیست اصلی'!T:T,0))</f>
        <v>رانر کتان/RT-C078</v>
      </c>
      <c r="G391" s="110" t="str">
        <f>INDEX('اکسسوری حذف از لیست اصلی'!E:E,MATCH(K391,'اکسسوری حذف از لیست اصلی'!T:T,0))</f>
        <v>140cm</v>
      </c>
      <c r="H391" s="110">
        <f>INDEX('اکسسوری حذف از لیست اصلی'!F:F,MATCH(K391,'اکسسوری حذف از لیست اصلی'!T:T,0))</f>
        <v>0</v>
      </c>
      <c r="I391" s="110">
        <f>INDEX('اکسسوری حذف از لیست اصلی'!G:G,MATCH(K391,'اکسسوری حذف از لیست اصلی'!T:T,0))</f>
        <v>0</v>
      </c>
      <c r="J391" s="74">
        <f>INDEX('اکسسوری حذف از لیست اصلی'!J:J,MATCH(K391,'اکسسوری حذف از لیست اصلی'!T:T,0))</f>
        <v>49000000</v>
      </c>
      <c r="K391" s="64">
        <v>165</v>
      </c>
    </row>
    <row r="392" spans="1:11" ht="28.5" customHeight="1">
      <c r="A392" s="60"/>
      <c r="B392" s="61"/>
      <c r="D392" s="79">
        <v>18</v>
      </c>
      <c r="E392" s="109">
        <f>INDEX('اکسسوری حذف از لیست اصلی'!C:C,MATCH(K392,'اکسسوری حذف از لیست اصلی'!T:T,0))</f>
        <v>9901020079</v>
      </c>
      <c r="F392" s="109" t="str">
        <f>INDEX('اکسسوری حذف از لیست اصلی'!D:D,MATCH(K392,'اکسسوری حذف از لیست اصلی'!T:T,0))</f>
        <v>رانر کتان/RT-C079</v>
      </c>
      <c r="G392" s="110" t="str">
        <f>INDEX('اکسسوری حذف از لیست اصلی'!E:E,MATCH(K392,'اکسسوری حذف از لیست اصلی'!T:T,0))</f>
        <v>160cm</v>
      </c>
      <c r="H392" s="110">
        <f>INDEX('اکسسوری حذف از لیست اصلی'!F:F,MATCH(K392,'اکسسوری حذف از لیست اصلی'!T:T,0))</f>
        <v>0</v>
      </c>
      <c r="I392" s="110">
        <f>INDEX('اکسسوری حذف از لیست اصلی'!G:G,MATCH(K392,'اکسسوری حذف از لیست اصلی'!T:T,0))</f>
        <v>0</v>
      </c>
      <c r="J392" s="74">
        <f>INDEX('اکسسوری حذف از لیست اصلی'!J:J,MATCH(K392,'اکسسوری حذف از لیست اصلی'!T:T,0))</f>
        <v>54000000</v>
      </c>
      <c r="K392" s="64">
        <v>166</v>
      </c>
    </row>
    <row r="393" spans="1:11" ht="28.5" customHeight="1">
      <c r="A393" s="60"/>
      <c r="B393" s="61"/>
      <c r="D393" s="79">
        <v>19</v>
      </c>
      <c r="E393" s="109">
        <f>INDEX('اکسسوری حذف از لیست اصلی'!C:C,MATCH(K393,'اکسسوری حذف از لیست اصلی'!T:T,0))</f>
        <v>9901020102</v>
      </c>
      <c r="F393" s="109" t="str">
        <f>INDEX('اکسسوری حذف از لیست اصلی'!D:D,MATCH(K393,'اکسسوری حذف از لیست اصلی'!T:T,0))</f>
        <v>رانر لینن سبز RT-C102</v>
      </c>
      <c r="G393" s="110" t="str">
        <f>INDEX('اکسسوری حذف از لیست اصلی'!E:E,MATCH(K393,'اکسسوری حذف از لیست اصلی'!T:T,0))</f>
        <v>180cm</v>
      </c>
      <c r="H393" s="110">
        <f>INDEX('اکسسوری حذف از لیست اصلی'!F:F,MATCH(K393,'اکسسوری حذف از لیست اصلی'!T:T,0))</f>
        <v>0</v>
      </c>
      <c r="I393" s="110">
        <f>INDEX('اکسسوری حذف از لیست اصلی'!G:G,MATCH(K393,'اکسسوری حذف از لیست اصلی'!T:T,0))</f>
        <v>0</v>
      </c>
      <c r="J393" s="74">
        <f>INDEX('اکسسوری حذف از لیست اصلی'!J:J,MATCH(K393,'اکسسوری حذف از لیست اصلی'!T:T,0))</f>
        <v>73000000</v>
      </c>
      <c r="K393" s="64">
        <v>167</v>
      </c>
    </row>
    <row r="394" spans="1:11" ht="28.5" customHeight="1">
      <c r="A394" s="60"/>
      <c r="B394" s="61"/>
      <c r="D394" s="79">
        <v>20</v>
      </c>
      <c r="E394" s="109">
        <f>INDEX('اکسسوری حذف از لیست اصلی'!C:C,MATCH(K394,'اکسسوری حذف از لیست اصلی'!T:T,0))</f>
        <v>9901020104</v>
      </c>
      <c r="F394" s="109" t="str">
        <f>INDEX('اکسسوری حذف از لیست اصلی'!D:D,MATCH(K394,'اکسسوری حذف از لیست اصلی'!T:T,0))</f>
        <v>رانر لینن طوسی RT-C104</v>
      </c>
      <c r="G394" s="110" t="str">
        <f>INDEX('اکسسوری حذف از لیست اصلی'!E:E,MATCH(K394,'اکسسوری حذف از لیست اصلی'!T:T,0))</f>
        <v>140cm</v>
      </c>
      <c r="H394" s="110">
        <f>INDEX('اکسسوری حذف از لیست اصلی'!F:F,MATCH(K394,'اکسسوری حذف از لیست اصلی'!T:T,0))</f>
        <v>0</v>
      </c>
      <c r="I394" s="110">
        <f>INDEX('اکسسوری حذف از لیست اصلی'!G:G,MATCH(K394,'اکسسوری حذف از لیست اصلی'!T:T,0))</f>
        <v>0</v>
      </c>
      <c r="J394" s="74">
        <f>INDEX('اکسسوری حذف از لیست اصلی'!J:J,MATCH(K394,'اکسسوری حذف از لیست اصلی'!T:T,0))</f>
        <v>59000000</v>
      </c>
      <c r="K394" s="64">
        <v>168</v>
      </c>
    </row>
    <row r="395" spans="1:11" ht="13.5" customHeight="1">
      <c r="A395" s="60"/>
      <c r="B395" s="61"/>
      <c r="D395"/>
      <c r="E395"/>
      <c r="F395"/>
      <c r="G395"/>
      <c r="H395"/>
      <c r="I395"/>
      <c r="J395"/>
    </row>
    <row r="396" spans="1:11">
      <c r="A396" s="60"/>
      <c r="B396" s="61"/>
      <c r="J396" s="74">
        <v>13</v>
      </c>
    </row>
    <row r="397" spans="1:11" ht="18" customHeight="1">
      <c r="A397" s="60"/>
      <c r="B397" s="61"/>
      <c r="C397" s="183"/>
      <c r="D397" s="184"/>
      <c r="E397" s="184"/>
      <c r="F397" s="184"/>
      <c r="G397" s="184"/>
      <c r="H397" s="184"/>
      <c r="I397" s="184"/>
      <c r="J397" s="184"/>
    </row>
    <row r="398" spans="1:11" ht="18" customHeight="1">
      <c r="A398" s="60"/>
      <c r="B398" s="61"/>
      <c r="C398" s="183"/>
      <c r="D398" s="184"/>
      <c r="E398" s="184"/>
      <c r="F398" s="184"/>
      <c r="G398" s="184"/>
      <c r="H398" s="184"/>
      <c r="I398" s="184"/>
      <c r="J398" s="184"/>
    </row>
    <row r="399" spans="1:11" ht="27.75">
      <c r="A399" s="60"/>
      <c r="B399" s="61"/>
      <c r="C399" s="72"/>
      <c r="D399" s="67" t="s">
        <v>876</v>
      </c>
      <c r="J399" s="68" t="str">
        <f>$N$1</f>
        <v>1405/02/23</v>
      </c>
    </row>
    <row r="400" spans="1:11" ht="36">
      <c r="A400" s="60"/>
      <c r="B400" s="61"/>
      <c r="C400" s="77"/>
      <c r="D400" s="75" t="s">
        <v>0</v>
      </c>
      <c r="E400" s="69" t="s">
        <v>1</v>
      </c>
      <c r="F400" s="107" t="s">
        <v>448</v>
      </c>
      <c r="G400" s="108" t="s">
        <v>1141</v>
      </c>
      <c r="H400" s="108" t="s">
        <v>1142</v>
      </c>
      <c r="I400" s="108" t="s">
        <v>1143</v>
      </c>
      <c r="J400" s="68" t="s">
        <v>251</v>
      </c>
    </row>
    <row r="401" spans="1:11" ht="23.25" customHeight="1">
      <c r="A401" s="60"/>
      <c r="B401" s="61"/>
      <c r="D401" s="73">
        <v>21</v>
      </c>
      <c r="E401" s="109">
        <f>INDEX('اکسسوری حذف از لیست اصلی'!C:C,MATCH(K401,'اکسسوری حذف از لیست اصلی'!T:T,0))</f>
        <v>9901020105</v>
      </c>
      <c r="F401" s="109" t="str">
        <f>INDEX('اکسسوری حذف از لیست اصلی'!D:D,MATCH(K401,'اکسسوری حذف از لیست اصلی'!T:T,0))</f>
        <v>رانر لینن طوسی RT-C105</v>
      </c>
      <c r="G401" s="110" t="str">
        <f>INDEX('اکسسوری حذف از لیست اصلی'!E:E,MATCH(K401,'اکسسوری حذف از لیست اصلی'!T:T,0))</f>
        <v>180cm</v>
      </c>
      <c r="H401" s="110">
        <f>INDEX('اکسسوری حذف از لیست اصلی'!F:F,MATCH(K401,'اکسسوری حذف از لیست اصلی'!T:T,0))</f>
        <v>0</v>
      </c>
      <c r="I401" s="110">
        <f>INDEX('اکسسوری حذف از لیست اصلی'!G:G,MATCH(K401,'اکسسوری حذف از لیست اصلی'!T:T,0))</f>
        <v>0</v>
      </c>
      <c r="J401" s="74">
        <f>INDEX('اکسسوری حذف از لیست اصلی'!J:J,MATCH(K401,'اکسسوری حذف از لیست اصلی'!T:T,0))</f>
        <v>73000000</v>
      </c>
      <c r="K401" s="64">
        <v>169</v>
      </c>
    </row>
    <row r="402" spans="1:11" ht="23.25" customHeight="1">
      <c r="A402" s="60"/>
      <c r="B402" s="61"/>
      <c r="C402" s="78"/>
      <c r="D402" s="79">
        <v>22</v>
      </c>
      <c r="E402" s="109">
        <f>INDEX('اکسسوری حذف از لیست اصلی'!C:C,MATCH(K402,'اکسسوری حذف از لیست اصلی'!T:T,0))</f>
        <v>9901020107</v>
      </c>
      <c r="F402" s="109" t="str">
        <f>INDEX('اکسسوری حذف از لیست اصلی'!D:D,MATCH(K402,'اکسسوری حذف از لیست اصلی'!T:T,0))</f>
        <v>رانر الیاف طبیعی RT-F107</v>
      </c>
      <c r="G402" s="110" t="str">
        <f>INDEX('اکسسوری حذف از لیست اصلی'!E:E,MATCH(K402,'اکسسوری حذف از لیست اصلی'!T:T,0))</f>
        <v>140cm</v>
      </c>
      <c r="H402" s="110">
        <f>INDEX('اکسسوری حذف از لیست اصلی'!F:F,MATCH(K402,'اکسسوری حذف از لیست اصلی'!T:T,0))</f>
        <v>0</v>
      </c>
      <c r="I402" s="110">
        <f>INDEX('اکسسوری حذف از لیست اصلی'!G:G,MATCH(K402,'اکسسوری حذف از لیست اصلی'!T:T,0))</f>
        <v>0</v>
      </c>
      <c r="J402" s="74">
        <f>INDEX('اکسسوری حذف از لیست اصلی'!J:J,MATCH(K402,'اکسسوری حذف از لیست اصلی'!T:T,0))</f>
        <v>130000000</v>
      </c>
      <c r="K402" s="64">
        <v>170</v>
      </c>
    </row>
    <row r="403" spans="1:11" ht="23.25" customHeight="1">
      <c r="A403" s="60"/>
      <c r="B403" s="61"/>
      <c r="D403" s="73">
        <v>23</v>
      </c>
      <c r="E403" s="109">
        <f>INDEX('اکسسوری حذف از لیست اصلی'!C:C,MATCH(K403,'اکسسوری حذف از لیست اصلی'!T:T,0))</f>
        <v>9901020108</v>
      </c>
      <c r="F403" s="109" t="str">
        <f>INDEX('اکسسوری حذف از لیست اصلی'!D:D,MATCH(K403,'اکسسوری حذف از لیست اصلی'!T:T,0))</f>
        <v>رانر الیاف طبیعی  RT-F108</v>
      </c>
      <c r="G403" s="110" t="str">
        <f>INDEX('اکسسوری حذف از لیست اصلی'!E:E,MATCH(K403,'اکسسوری حذف از لیست اصلی'!T:T,0))</f>
        <v>180cm</v>
      </c>
      <c r="H403" s="110">
        <f>INDEX('اکسسوری حذف از لیست اصلی'!F:F,MATCH(K403,'اکسسوری حذف از لیست اصلی'!T:T,0))</f>
        <v>0</v>
      </c>
      <c r="I403" s="110">
        <f>INDEX('اکسسوری حذف از لیست اصلی'!G:G,MATCH(K403,'اکسسوری حذف از لیست اصلی'!T:T,0))</f>
        <v>0</v>
      </c>
      <c r="J403" s="74">
        <f>INDEX('اکسسوری حذف از لیست اصلی'!J:J,MATCH(K403,'اکسسوری حذف از لیست اصلی'!T:T,0))</f>
        <v>168000000</v>
      </c>
      <c r="K403" s="64">
        <v>171</v>
      </c>
    </row>
    <row r="404" spans="1:11" ht="23.25" customHeight="1">
      <c r="A404" s="60"/>
      <c r="B404" s="61"/>
      <c r="D404" s="79">
        <v>24</v>
      </c>
      <c r="E404" s="109">
        <f>INDEX('اکسسوری حذف از لیست اصلی'!C:C,MATCH(K404,'اکسسوری حذف از لیست اصلی'!T:T,0))</f>
        <v>9901020133</v>
      </c>
      <c r="F404" s="109" t="str">
        <f>INDEX('اکسسوری حذف از لیست اصلی'!D:D,MATCH(K404,'اکسسوری حذف از لیست اصلی'!T:T,0))</f>
        <v>رانر لینن قهوه ای(140)RT-F133</v>
      </c>
      <c r="G404" s="110">
        <f>INDEX('اکسسوری حذف از لیست اصلی'!E:E,MATCH(K404,'اکسسوری حذف از لیست اصلی'!T:T,0))</f>
        <v>0</v>
      </c>
      <c r="H404" s="110">
        <f>INDEX('اکسسوری حذف از لیست اصلی'!F:F,MATCH(K404,'اکسسوری حذف از لیست اصلی'!T:T,0))</f>
        <v>0</v>
      </c>
      <c r="I404" s="110">
        <f>INDEX('اکسسوری حذف از لیست اصلی'!G:G,MATCH(K404,'اکسسوری حذف از لیست اصلی'!T:T,0))</f>
        <v>0</v>
      </c>
      <c r="J404" s="74">
        <f>INDEX('اکسسوری حذف از لیست اصلی'!J:J,MATCH(K404,'اکسسوری حذف از لیست اصلی'!T:T,0))</f>
        <v>59000000</v>
      </c>
      <c r="K404" s="64">
        <v>172</v>
      </c>
    </row>
    <row r="405" spans="1:11" ht="23.25" customHeight="1">
      <c r="A405" s="60"/>
      <c r="B405" s="61"/>
      <c r="D405" s="73">
        <v>25</v>
      </c>
      <c r="E405" s="109">
        <f>INDEX('اکسسوری حذف از لیست اصلی'!C:C,MATCH(K405,'اکسسوری حذف از لیست اصلی'!T:T,0))</f>
        <v>9901020134</v>
      </c>
      <c r="F405" s="109" t="str">
        <f>INDEX('اکسسوری حذف از لیست اصلی'!D:D,MATCH(K405,'اکسسوری حذف از لیست اصلی'!T:T,0))</f>
        <v>رانر لینن قهوه ای(180)RT-C134</v>
      </c>
      <c r="G405" s="110">
        <f>INDEX('اکسسوری حذف از لیست اصلی'!E:E,MATCH(K405,'اکسسوری حذف از لیست اصلی'!T:T,0))</f>
        <v>0</v>
      </c>
      <c r="H405" s="110">
        <f>INDEX('اکسسوری حذف از لیست اصلی'!F:F,MATCH(K405,'اکسسوری حذف از لیست اصلی'!T:T,0))</f>
        <v>0</v>
      </c>
      <c r="I405" s="110">
        <f>INDEX('اکسسوری حذف از لیست اصلی'!G:G,MATCH(K405,'اکسسوری حذف از لیست اصلی'!T:T,0))</f>
        <v>0</v>
      </c>
      <c r="J405" s="74">
        <f>INDEX('اکسسوری حذف از لیست اصلی'!J:J,MATCH(K405,'اکسسوری حذف از لیست اصلی'!T:T,0))</f>
        <v>73000000</v>
      </c>
      <c r="K405" s="64">
        <v>173</v>
      </c>
    </row>
    <row r="406" spans="1:11" ht="23.25" customHeight="1">
      <c r="A406" s="60"/>
      <c r="B406" s="61"/>
      <c r="D406" s="79">
        <v>26</v>
      </c>
      <c r="E406" s="109">
        <f>INDEX('اکسسوری حذف از لیست اصلی'!C:C,MATCH(K406,'اکسسوری حذف از لیست اصلی'!T:T,0))</f>
        <v>9901020136</v>
      </c>
      <c r="F406" s="109" t="str">
        <f>INDEX('اکسسوری حذف از لیست اصلی'!D:D,MATCH(K406,'اکسسوری حذف از لیست اصلی'!T:T,0))</f>
        <v>رانر لینن سرمه ای(140)RT-C136</v>
      </c>
      <c r="G406" s="110">
        <f>INDEX('اکسسوری حذف از لیست اصلی'!E:E,MATCH(K406,'اکسسوری حذف از لیست اصلی'!T:T,0))</f>
        <v>0</v>
      </c>
      <c r="H406" s="110">
        <f>INDEX('اکسسوری حذف از لیست اصلی'!F:F,MATCH(K406,'اکسسوری حذف از لیست اصلی'!T:T,0))</f>
        <v>0</v>
      </c>
      <c r="I406" s="110">
        <f>INDEX('اکسسوری حذف از لیست اصلی'!G:G,MATCH(K406,'اکسسوری حذف از لیست اصلی'!T:T,0))</f>
        <v>0</v>
      </c>
      <c r="J406" s="74">
        <f>INDEX('اکسسوری حذف از لیست اصلی'!J:J,MATCH(K406,'اکسسوری حذف از لیست اصلی'!T:T,0))</f>
        <v>59000000</v>
      </c>
      <c r="K406" s="64">
        <v>174</v>
      </c>
    </row>
    <row r="407" spans="1:11" ht="23.25" customHeight="1">
      <c r="A407" s="60"/>
      <c r="B407" s="61"/>
      <c r="D407" s="73">
        <v>27</v>
      </c>
      <c r="E407" s="109">
        <f>INDEX('اکسسوری حذف از لیست اصلی'!C:C,MATCH(K407,'اکسسوری حذف از لیست اصلی'!T:T,0))</f>
        <v>9901020137</v>
      </c>
      <c r="F407" s="109" t="str">
        <f>INDEX('اکسسوری حذف از لیست اصلی'!D:D,MATCH(K407,'اکسسوری حذف از لیست اصلی'!T:T,0))</f>
        <v>رانر لینن سرمه ای(180)RT-C137</v>
      </c>
      <c r="G407" s="110">
        <f>INDEX('اکسسوری حذف از لیست اصلی'!E:E,MATCH(K407,'اکسسوری حذف از لیست اصلی'!T:T,0))</f>
        <v>0</v>
      </c>
      <c r="H407" s="110">
        <f>INDEX('اکسسوری حذف از لیست اصلی'!F:F,MATCH(K407,'اکسسوری حذف از لیست اصلی'!T:T,0))</f>
        <v>0</v>
      </c>
      <c r="I407" s="110">
        <f>INDEX('اکسسوری حذف از لیست اصلی'!G:G,MATCH(K407,'اکسسوری حذف از لیست اصلی'!T:T,0))</f>
        <v>0</v>
      </c>
      <c r="J407" s="74">
        <f>INDEX('اکسسوری حذف از لیست اصلی'!J:J,MATCH(K407,'اکسسوری حذف از لیست اصلی'!T:T,0))</f>
        <v>73000000</v>
      </c>
      <c r="K407" s="64">
        <v>175</v>
      </c>
    </row>
    <row r="408" spans="1:11">
      <c r="A408" s="60"/>
      <c r="B408" s="61"/>
      <c r="D408"/>
      <c r="E408"/>
      <c r="F408"/>
      <c r="G408"/>
      <c r="H408"/>
      <c r="I408"/>
      <c r="J408"/>
    </row>
    <row r="409" spans="1:11">
      <c r="A409" s="60"/>
      <c r="B409" s="61"/>
      <c r="J409" s="74"/>
    </row>
    <row r="410" spans="1:11" ht="18" customHeight="1">
      <c r="A410" s="70"/>
      <c r="B410" s="71"/>
      <c r="C410" s="78"/>
      <c r="D410" s="66"/>
      <c r="E410" s="66"/>
      <c r="F410" s="66"/>
      <c r="G410" s="66"/>
      <c r="H410" s="66"/>
      <c r="I410" s="66"/>
      <c r="J410" s="66"/>
    </row>
    <row r="411" spans="1:11" ht="18" customHeight="1">
      <c r="A411" s="70"/>
      <c r="B411" s="71"/>
      <c r="C411" s="78"/>
      <c r="D411" s="66"/>
      <c r="E411" s="66"/>
      <c r="F411" s="66"/>
      <c r="G411" s="66"/>
      <c r="H411" s="66"/>
      <c r="I411" s="66"/>
      <c r="J411" s="66"/>
    </row>
    <row r="412" spans="1:11" ht="27.75">
      <c r="A412" s="70"/>
      <c r="B412" s="71"/>
      <c r="C412" s="72"/>
      <c r="D412" s="67" t="s">
        <v>1144</v>
      </c>
      <c r="J412" s="68"/>
    </row>
    <row r="413" spans="1:11" ht="36">
      <c r="A413" s="70"/>
      <c r="B413" s="71"/>
      <c r="C413" s="77"/>
      <c r="D413" s="75" t="s">
        <v>0</v>
      </c>
      <c r="E413" s="69" t="s">
        <v>1</v>
      </c>
      <c r="F413" s="107" t="s">
        <v>448</v>
      </c>
      <c r="G413" s="108" t="s">
        <v>1141</v>
      </c>
      <c r="H413" s="108" t="s">
        <v>1142</v>
      </c>
      <c r="I413" s="108" t="s">
        <v>1143</v>
      </c>
      <c r="J413" s="68" t="s">
        <v>251</v>
      </c>
    </row>
    <row r="414" spans="1:11" ht="22.5" customHeight="1">
      <c r="A414" s="60"/>
      <c r="B414" s="61"/>
      <c r="D414" s="73">
        <v>1</v>
      </c>
      <c r="E414" s="109">
        <f>INDEX('اکسسوری حذف از لیست اصلی'!C:C,MATCH(K414,'اکسسوری حذف از لیست اصلی'!T:T,0))</f>
        <v>9901020051</v>
      </c>
      <c r="F414" s="109" t="str">
        <f>INDEX('اکسسوری حذف از لیست اصلی'!D:D,MATCH(K414,'اکسسوری حذف از لیست اصلی'!T:T,0))</f>
        <v>دستمال سفره کتان NT-C051</v>
      </c>
      <c r="G414" s="110" t="str">
        <f>INDEX('اکسسوری حذف از لیست اصلی'!E:E,MATCH(K414,'اکسسوری حذف از لیست اصلی'!T:T,0))</f>
        <v>-</v>
      </c>
      <c r="H414" s="110">
        <f>INDEX('اکسسوری حذف از لیست اصلی'!F:F,MATCH(K414,'اکسسوری حذف از لیست اصلی'!T:T,0))</f>
        <v>0</v>
      </c>
      <c r="I414" s="110">
        <f>INDEX('اکسسوری حذف از لیست اصلی'!G:G,MATCH(K414,'اکسسوری حذف از لیست اصلی'!T:T,0))</f>
        <v>0</v>
      </c>
      <c r="J414" s="74">
        <f>INDEX('اکسسوری حذف از لیست اصلی'!J:J,MATCH(K414,'اکسسوری حذف از لیست اصلی'!T:T,0))</f>
        <v>14000000</v>
      </c>
      <c r="K414" s="64">
        <v>176</v>
      </c>
    </row>
    <row r="415" spans="1:11" ht="22.5" customHeight="1">
      <c r="A415" s="60"/>
      <c r="B415" s="61"/>
      <c r="C415" s="78"/>
      <c r="D415" s="79">
        <v>2</v>
      </c>
      <c r="E415" s="109">
        <f>INDEX('اکسسوری حذف از لیست اصلی'!C:C,MATCH(K415,'اکسسوری حذف از لیست اصلی'!T:T,0))</f>
        <v>9901020052</v>
      </c>
      <c r="F415" s="109" t="str">
        <f>INDEX('اکسسوری حذف از لیست اصلی'!D:D,MATCH(K415,'اکسسوری حذف از لیست اصلی'!T:T,0))</f>
        <v>دستمال سفره کتان NT-C052</v>
      </c>
      <c r="G415" s="110" t="str">
        <f>INDEX('اکسسوری حذف از لیست اصلی'!E:E,MATCH(K415,'اکسسوری حذف از لیست اصلی'!T:T,0))</f>
        <v>-</v>
      </c>
      <c r="H415" s="110">
        <f>INDEX('اکسسوری حذف از لیست اصلی'!F:F,MATCH(K415,'اکسسوری حذف از لیست اصلی'!T:T,0))</f>
        <v>0</v>
      </c>
      <c r="I415" s="110">
        <f>INDEX('اکسسوری حذف از لیست اصلی'!G:G,MATCH(K415,'اکسسوری حذف از لیست اصلی'!T:T,0))</f>
        <v>0</v>
      </c>
      <c r="J415" s="74">
        <f>INDEX('اکسسوری حذف از لیست اصلی'!J:J,MATCH(K415,'اکسسوری حذف از لیست اصلی'!T:T,0))</f>
        <v>14000000</v>
      </c>
      <c r="K415" s="64">
        <v>177</v>
      </c>
    </row>
    <row r="416" spans="1:11" ht="22.5" customHeight="1">
      <c r="A416" s="60"/>
      <c r="B416" s="61"/>
      <c r="D416" s="79">
        <v>3</v>
      </c>
      <c r="E416" s="109">
        <f>INDEX('اکسسوری حذف از لیست اصلی'!C:C,MATCH(K416,'اکسسوری حذف از لیست اصلی'!T:T,0))</f>
        <v>9901020054</v>
      </c>
      <c r="F416" s="109" t="str">
        <f>INDEX('اکسسوری حذف از لیست اصلی'!D:D,MATCH(K416,'اکسسوری حذف از لیست اصلی'!T:T,0))</f>
        <v>دستمال سفره کتان NT-C054</v>
      </c>
      <c r="G416" s="110" t="str">
        <f>INDEX('اکسسوری حذف از لیست اصلی'!E:E,MATCH(K416,'اکسسوری حذف از لیست اصلی'!T:T,0))</f>
        <v>-</v>
      </c>
      <c r="H416" s="110">
        <f>INDEX('اکسسوری حذف از لیست اصلی'!F:F,MATCH(K416,'اکسسوری حذف از لیست اصلی'!T:T,0))</f>
        <v>0</v>
      </c>
      <c r="I416" s="110">
        <f>INDEX('اکسسوری حذف از لیست اصلی'!G:G,MATCH(K416,'اکسسوری حذف از لیست اصلی'!T:T,0))</f>
        <v>0</v>
      </c>
      <c r="J416" s="74">
        <f>INDEX('اکسسوری حذف از لیست اصلی'!J:J,MATCH(K416,'اکسسوری حذف از لیست اصلی'!T:T,0))</f>
        <v>14000000</v>
      </c>
      <c r="K416" s="64">
        <v>178</v>
      </c>
    </row>
    <row r="417" spans="1:11" ht="22.5" customHeight="1">
      <c r="A417" s="60"/>
      <c r="B417" s="61"/>
      <c r="D417" s="73">
        <v>4</v>
      </c>
      <c r="E417" s="109">
        <f>INDEX('اکسسوری حذف از لیست اصلی'!C:C,MATCH(K417,'اکسسوری حذف از لیست اصلی'!T:T,0))</f>
        <v>9901020055</v>
      </c>
      <c r="F417" s="109" t="str">
        <f>INDEX('اکسسوری حذف از لیست اصلی'!D:D,MATCH(K417,'اکسسوری حذف از لیست اصلی'!T:T,0))</f>
        <v>دستمال سفره کتان NT-C055</v>
      </c>
      <c r="G417" s="110" t="str">
        <f>INDEX('اکسسوری حذف از لیست اصلی'!E:E,MATCH(K417,'اکسسوری حذف از لیست اصلی'!T:T,0))</f>
        <v>-</v>
      </c>
      <c r="H417" s="110">
        <f>INDEX('اکسسوری حذف از لیست اصلی'!F:F,MATCH(K417,'اکسسوری حذف از لیست اصلی'!T:T,0))</f>
        <v>0</v>
      </c>
      <c r="I417" s="110">
        <f>INDEX('اکسسوری حذف از لیست اصلی'!G:G,MATCH(K417,'اکسسوری حذف از لیست اصلی'!T:T,0))</f>
        <v>0</v>
      </c>
      <c r="J417" s="74">
        <f>INDEX('اکسسوری حذف از لیست اصلی'!J:J,MATCH(K417,'اکسسوری حذف از لیست اصلی'!T:T,0))</f>
        <v>18000000</v>
      </c>
      <c r="K417" s="64">
        <v>179</v>
      </c>
    </row>
    <row r="418" spans="1:11" ht="22.5" customHeight="1">
      <c r="A418" s="60"/>
      <c r="B418" s="61"/>
      <c r="D418" s="79">
        <v>5</v>
      </c>
      <c r="E418" s="109">
        <f>INDEX('اکسسوری حذف از لیست اصلی'!C:C,MATCH(K418,'اکسسوری حذف از لیست اصلی'!T:T,0))</f>
        <v>9901030057</v>
      </c>
      <c r="F418" s="109" t="str">
        <f>INDEX('اکسسوری حذف از لیست اصلی'!D:D,MATCH(K418,'اکسسوری حذف از لیست اصلی'!T:T,0))</f>
        <v>حلقه دستمال نقره ای DR-M057</v>
      </c>
      <c r="G418" s="110" t="str">
        <f>INDEX('اکسسوری حذف از لیست اصلی'!E:E,MATCH(K418,'اکسسوری حذف از لیست اصلی'!T:T,0))</f>
        <v>-</v>
      </c>
      <c r="H418" s="110">
        <f>INDEX('اکسسوری حذف از لیست اصلی'!F:F,MATCH(K418,'اکسسوری حذف از لیست اصلی'!T:T,0))</f>
        <v>0</v>
      </c>
      <c r="I418" s="110">
        <f>INDEX('اکسسوری حذف از لیست اصلی'!G:G,MATCH(K418,'اکسسوری حذف از لیست اصلی'!T:T,0))</f>
        <v>0</v>
      </c>
      <c r="J418" s="74">
        <f>INDEX('اکسسوری حذف از لیست اصلی'!J:J,MATCH(K418,'اکسسوری حذف از لیست اصلی'!T:T,0))</f>
        <v>14000000</v>
      </c>
      <c r="K418" s="64">
        <v>180</v>
      </c>
    </row>
    <row r="419" spans="1:11" ht="22.5" customHeight="1">
      <c r="A419" s="60"/>
      <c r="B419" s="61"/>
      <c r="D419" s="79">
        <v>6</v>
      </c>
      <c r="E419" s="109">
        <f>INDEX('اکسسوری حذف از لیست اصلی'!C:C,MATCH(K419,'اکسسوری حذف از لیست اصلی'!T:T,0))</f>
        <v>9901020080</v>
      </c>
      <c r="F419" s="109" t="str">
        <f>INDEX('اکسسوری حذف از لیست اصلی'!D:D,MATCH(K419,'اکسسوری حذف از لیست اصلی'!T:T,0))</f>
        <v>دستمال سفره کتان NT-C080</v>
      </c>
      <c r="G419" s="110" t="str">
        <f>INDEX('اکسسوری حذف از لیست اصلی'!E:E,MATCH(K419,'اکسسوری حذف از لیست اصلی'!T:T,0))</f>
        <v>-</v>
      </c>
      <c r="H419" s="110">
        <f>INDEX('اکسسوری حذف از لیست اصلی'!F:F,MATCH(K419,'اکسسوری حذف از لیست اصلی'!T:T,0))</f>
        <v>0</v>
      </c>
      <c r="I419" s="110">
        <f>INDEX('اکسسوری حذف از لیست اصلی'!G:G,MATCH(K419,'اکسسوری حذف از لیست اصلی'!T:T,0))</f>
        <v>0</v>
      </c>
      <c r="J419" s="74">
        <f>INDEX('اکسسوری حذف از لیست اصلی'!J:J,MATCH(K419,'اکسسوری حذف از لیست اصلی'!T:T,0))</f>
        <v>14000000</v>
      </c>
      <c r="K419" s="64">
        <v>181</v>
      </c>
    </row>
    <row r="420" spans="1:11" ht="22.5" customHeight="1">
      <c r="A420" s="60"/>
      <c r="B420" s="61"/>
      <c r="D420" s="73">
        <v>7</v>
      </c>
      <c r="E420" s="109">
        <f>INDEX('اکسسوری حذف از لیست اصلی'!C:C,MATCH(K420,'اکسسوری حذف از لیست اصلی'!T:T,0))</f>
        <v>9901020081</v>
      </c>
      <c r="F420" s="109" t="str">
        <f>INDEX('اکسسوری حذف از لیست اصلی'!D:D,MATCH(K420,'اکسسوری حذف از لیست اصلی'!T:T,0))</f>
        <v>دستمال سفره کتان NT-C081</v>
      </c>
      <c r="G420" s="110" t="str">
        <f>INDEX('اکسسوری حذف از لیست اصلی'!E:E,MATCH(K420,'اکسسوری حذف از لیست اصلی'!T:T,0))</f>
        <v>-</v>
      </c>
      <c r="H420" s="110">
        <f>INDEX('اکسسوری حذف از لیست اصلی'!F:F,MATCH(K420,'اکسسوری حذف از لیست اصلی'!T:T,0))</f>
        <v>0</v>
      </c>
      <c r="I420" s="110">
        <f>INDEX('اکسسوری حذف از لیست اصلی'!G:G,MATCH(K420,'اکسسوری حذف از لیست اصلی'!T:T,0))</f>
        <v>0</v>
      </c>
      <c r="J420" s="74">
        <f>INDEX('اکسسوری حذف از لیست اصلی'!J:J,MATCH(K420,'اکسسوری حذف از لیست اصلی'!T:T,0))</f>
        <v>14000000</v>
      </c>
      <c r="K420" s="64">
        <v>182</v>
      </c>
    </row>
    <row r="421" spans="1:11" ht="22.5" customHeight="1">
      <c r="A421" s="60"/>
      <c r="B421" s="61"/>
      <c r="D421" s="79">
        <v>8</v>
      </c>
      <c r="E421" s="109">
        <f>INDEX('اکسسوری حذف از لیست اصلی'!C:C,MATCH(K421,'اکسسوری حذف از لیست اصلی'!T:T,0))</f>
        <v>9901020082</v>
      </c>
      <c r="F421" s="109" t="str">
        <f>INDEX('اکسسوری حذف از لیست اصلی'!D:D,MATCH(K421,'اکسسوری حذف از لیست اصلی'!T:T,0))</f>
        <v>دستمال سفره کتان NT-C082</v>
      </c>
      <c r="G421" s="110" t="str">
        <f>INDEX('اکسسوری حذف از لیست اصلی'!E:E,MATCH(K421,'اکسسوری حذف از لیست اصلی'!T:T,0))</f>
        <v>-</v>
      </c>
      <c r="H421" s="110">
        <f>INDEX('اکسسوری حذف از لیست اصلی'!F:F,MATCH(K421,'اکسسوری حذف از لیست اصلی'!T:T,0))</f>
        <v>0</v>
      </c>
      <c r="I421" s="110">
        <f>INDEX('اکسسوری حذف از لیست اصلی'!G:G,MATCH(K421,'اکسسوری حذف از لیست اصلی'!T:T,0))</f>
        <v>0</v>
      </c>
      <c r="J421" s="74">
        <f>INDEX('اکسسوری حذف از لیست اصلی'!J:J,MATCH(K421,'اکسسوری حذف از لیست اصلی'!T:T,0))</f>
        <v>14000000</v>
      </c>
      <c r="K421" s="64">
        <v>183</v>
      </c>
    </row>
    <row r="422" spans="1:11" ht="22.5" customHeight="1">
      <c r="A422" s="60"/>
      <c r="B422" s="61"/>
      <c r="D422" s="79">
        <v>9</v>
      </c>
      <c r="E422" s="109">
        <f>INDEX('اکسسوری حذف از لیست اصلی'!C:C,MATCH(K422,'اکسسوری حذف از لیست اصلی'!T:T,0))</f>
        <v>9901020106</v>
      </c>
      <c r="F422" s="109" t="str">
        <f>INDEX('اکسسوری حذف از لیست اصلی'!D:D,MATCH(K422,'اکسسوری حذف از لیست اصلی'!T:T,0))</f>
        <v>دستمال سفره لینن طوسیNT-C106</v>
      </c>
      <c r="G422" s="110" t="str">
        <f>INDEX('اکسسوری حذف از لیست اصلی'!E:E,MATCH(K422,'اکسسوری حذف از لیست اصلی'!T:T,0))</f>
        <v>-</v>
      </c>
      <c r="H422" s="110">
        <f>INDEX('اکسسوری حذف از لیست اصلی'!F:F,MATCH(K422,'اکسسوری حذف از لیست اصلی'!T:T,0))</f>
        <v>0</v>
      </c>
      <c r="I422" s="110">
        <f>INDEX('اکسسوری حذف از لیست اصلی'!G:G,MATCH(K422,'اکسسوری حذف از لیست اصلی'!T:T,0))</f>
        <v>0</v>
      </c>
      <c r="J422" s="74">
        <f>INDEX('اکسسوری حذف از لیست اصلی'!J:J,MATCH(K422,'اکسسوری حذف از لیست اصلی'!T:T,0))</f>
        <v>15000000</v>
      </c>
      <c r="K422" s="64">
        <v>184</v>
      </c>
    </row>
    <row r="423" spans="1:11" ht="22.5" customHeight="1">
      <c r="A423" s="60"/>
      <c r="B423" s="61"/>
      <c r="D423" s="73">
        <v>10</v>
      </c>
      <c r="E423" s="109">
        <f>INDEX('اکسسوری حذف از لیست اصلی'!C:C,MATCH(K423,'اکسسوری حذف از لیست اصلی'!T:T,0))</f>
        <v>9901020109</v>
      </c>
      <c r="F423" s="109" t="str">
        <f>INDEX('اکسسوری حذف از لیست اصلی'!D:D,MATCH(K423,'اکسسوری حذف از لیست اصلی'!T:T,0))</f>
        <v>زیر بشقابی الیاف طبیعی NT-F109</v>
      </c>
      <c r="G423" s="110" t="str">
        <f>INDEX('اکسسوری حذف از لیست اصلی'!E:E,MATCH(K423,'اکسسوری حذف از لیست اصلی'!T:T,0))</f>
        <v>40*30</v>
      </c>
      <c r="H423" s="110">
        <f>INDEX('اکسسوری حذف از لیست اصلی'!F:F,MATCH(K423,'اکسسوری حذف از لیست اصلی'!T:T,0))</f>
        <v>0</v>
      </c>
      <c r="I423" s="110">
        <f>INDEX('اکسسوری حذف از لیست اصلی'!G:G,MATCH(K423,'اکسسوری حذف از لیست اصلی'!T:T,0))</f>
        <v>0</v>
      </c>
      <c r="J423" s="74">
        <f>INDEX('اکسسوری حذف از لیست اصلی'!J:J,MATCH(K423,'اکسسوری حذف از لیست اصلی'!T:T,0))</f>
        <v>42000000</v>
      </c>
      <c r="K423" s="64">
        <v>185</v>
      </c>
    </row>
    <row r="424" spans="1:11" ht="22.5" customHeight="1">
      <c r="A424" s="60"/>
      <c r="B424" s="61"/>
      <c r="D424" s="79">
        <v>11</v>
      </c>
      <c r="E424" s="109">
        <f>INDEX('اکسسوری حذف از لیست اصلی'!C:C,MATCH(K424,'اکسسوری حذف از لیست اصلی'!T:T,0))</f>
        <v>9901020135</v>
      </c>
      <c r="F424" s="109" t="str">
        <f>INDEX('اکسسوری حذف از لیست اصلی'!D:D,MATCH(K424,'اکسسوری حذف از لیست اصلی'!T:T,0))</f>
        <v>دستمال سفره لینن قهوه ایRT-C135</v>
      </c>
      <c r="G424" s="110">
        <f>INDEX('اکسسوری حذف از لیست اصلی'!E:E,MATCH(K424,'اکسسوری حذف از لیست اصلی'!T:T,0))</f>
        <v>0</v>
      </c>
      <c r="H424" s="110">
        <f>INDEX('اکسسوری حذف از لیست اصلی'!F:F,MATCH(K424,'اکسسوری حذف از لیست اصلی'!T:T,0))</f>
        <v>0</v>
      </c>
      <c r="I424" s="110">
        <f>INDEX('اکسسوری حذف از لیست اصلی'!G:G,MATCH(K424,'اکسسوری حذف از لیست اصلی'!T:T,0))</f>
        <v>0</v>
      </c>
      <c r="J424" s="74">
        <f>INDEX('اکسسوری حذف از لیست اصلی'!J:J,MATCH(K424,'اکسسوری حذف از لیست اصلی'!T:T,0))</f>
        <v>15000000</v>
      </c>
      <c r="K424" s="64">
        <v>186</v>
      </c>
    </row>
    <row r="425" spans="1:11" ht="22.5" customHeight="1">
      <c r="A425" s="60"/>
      <c r="B425" s="61"/>
      <c r="D425" s="79">
        <v>12</v>
      </c>
      <c r="E425" s="109">
        <f>INDEX('اکسسوری حذف از لیست اصلی'!C:C,MATCH(K425,'اکسسوری حذف از لیست اصلی'!T:T,0))</f>
        <v>9901030543</v>
      </c>
      <c r="F425" s="109" t="str">
        <f>INDEX('اکسسوری حذف از لیست اصلی'!D:D,MATCH(K425,'اکسسوری حذف از لیست اصلی'!T:T,0))</f>
        <v>حلقه دستمال چرم طبیعیDR-L543</v>
      </c>
      <c r="G425" s="110">
        <f>INDEX('اکسسوری حذف از لیست اصلی'!E:E,MATCH(K425,'اکسسوری حذف از لیست اصلی'!T:T,0))</f>
        <v>0</v>
      </c>
      <c r="H425" s="110">
        <f>INDEX('اکسسوری حذف از لیست اصلی'!F:F,MATCH(K425,'اکسسوری حذف از لیست اصلی'!T:T,0))</f>
        <v>0</v>
      </c>
      <c r="I425" s="110">
        <f>INDEX('اکسسوری حذف از لیست اصلی'!G:G,MATCH(K425,'اکسسوری حذف از لیست اصلی'!T:T,0))</f>
        <v>0</v>
      </c>
      <c r="J425" s="74">
        <f>INDEX('اکسسوری حذف از لیست اصلی'!J:J,MATCH(K425,'اکسسوری حذف از لیست اصلی'!T:T,0))</f>
        <v>14000000</v>
      </c>
      <c r="K425" s="64">
        <v>187</v>
      </c>
    </row>
    <row r="426" spans="1:11" ht="18.75" customHeight="1">
      <c r="A426" s="60"/>
      <c r="B426" s="61"/>
      <c r="D426"/>
      <c r="E426"/>
      <c r="F426"/>
      <c r="G426"/>
      <c r="H426"/>
      <c r="I426"/>
      <c r="J426"/>
    </row>
    <row r="427" spans="1:11">
      <c r="A427" s="60"/>
      <c r="B427" s="61"/>
      <c r="J427" s="74">
        <v>14</v>
      </c>
    </row>
    <row r="428" spans="1:11">
      <c r="A428" s="70"/>
      <c r="B428" s="71"/>
      <c r="C428" s="183"/>
      <c r="D428" s="184"/>
      <c r="E428" s="184"/>
      <c r="F428" s="184"/>
      <c r="G428" s="184"/>
      <c r="H428" s="184"/>
      <c r="I428" s="184"/>
      <c r="J428" s="184"/>
    </row>
    <row r="429" spans="1:11">
      <c r="A429" s="70"/>
      <c r="B429" s="71"/>
      <c r="C429" s="183"/>
      <c r="D429" s="184"/>
      <c r="E429" s="184"/>
      <c r="F429" s="184"/>
      <c r="G429" s="184"/>
      <c r="H429" s="184"/>
      <c r="I429" s="184"/>
      <c r="J429" s="184"/>
    </row>
    <row r="430" spans="1:11" ht="27.75">
      <c r="A430" s="70"/>
      <c r="B430" s="71"/>
      <c r="C430" s="72"/>
      <c r="D430" s="67" t="s">
        <v>905</v>
      </c>
      <c r="J430" s="68" t="str">
        <f>$N$1</f>
        <v>1405/02/23</v>
      </c>
    </row>
    <row r="431" spans="1:11" ht="36">
      <c r="A431" s="70"/>
      <c r="B431" s="71"/>
      <c r="C431" s="77"/>
      <c r="D431" s="75" t="s">
        <v>0</v>
      </c>
      <c r="E431" s="69" t="s">
        <v>1</v>
      </c>
      <c r="F431" s="107" t="s">
        <v>448</v>
      </c>
      <c r="G431" s="108" t="s">
        <v>1141</v>
      </c>
      <c r="H431" s="108" t="s">
        <v>1142</v>
      </c>
      <c r="I431" s="108" t="s">
        <v>1143</v>
      </c>
      <c r="J431" s="68" t="s">
        <v>251</v>
      </c>
    </row>
    <row r="432" spans="1:11" ht="29.25" customHeight="1">
      <c r="A432" s="60"/>
      <c r="B432" s="61"/>
      <c r="D432" s="73">
        <v>1</v>
      </c>
      <c r="E432" s="109">
        <f>INDEX('اکسسوری حذف از لیست اصلی'!C:C,MATCH(K432,'اکسسوری حذف از لیست اصلی'!T:T,0))</f>
        <v>9901020004</v>
      </c>
      <c r="F432" s="109" t="str">
        <f>INDEX('اکسسوری حذف از لیست اصلی'!D:D,MATCH(K432,'اکسسوری حذف از لیست اصلی'!T:T,0))</f>
        <v>کوسن ساتن کرم طلایی اورسایز CT-S004</v>
      </c>
      <c r="G432" s="110" t="str">
        <f>INDEX('اکسسوری حذف از لیست اصلی'!E:E,MATCH(K432,'اکسسوری حذف از لیست اصلی'!T:T,0))</f>
        <v>-</v>
      </c>
      <c r="H432" s="110">
        <f>INDEX('اکسسوری حذف از لیست اصلی'!F:F,MATCH(K432,'اکسسوری حذف از لیست اصلی'!T:T,0))</f>
        <v>0</v>
      </c>
      <c r="I432" s="110">
        <f>INDEX('اکسسوری حذف از لیست اصلی'!G:G,MATCH(K432,'اکسسوری حذف از لیست اصلی'!T:T,0))</f>
        <v>0</v>
      </c>
      <c r="J432" s="74">
        <f>INDEX('اکسسوری حذف از لیست اصلی'!J:J,MATCH(K432,'اکسسوری حذف از لیست اصلی'!T:T,0))</f>
        <v>63000000</v>
      </c>
      <c r="K432" s="64">
        <v>188</v>
      </c>
    </row>
    <row r="433" spans="1:11" ht="29.25" customHeight="1">
      <c r="A433" s="60"/>
      <c r="B433" s="61"/>
      <c r="C433" s="78"/>
      <c r="D433" s="79">
        <v>2</v>
      </c>
      <c r="E433" s="109">
        <f>INDEX('اکسسوری حذف از لیست اصلی'!C:C,MATCH(K433,'اکسسوری حذف از لیست اصلی'!T:T,0))</f>
        <v>9901020005</v>
      </c>
      <c r="F433" s="109" t="str">
        <f>INDEX('اکسسوری حذف از لیست اصلی'!D:D,MATCH(K433,'اکسسوری حذف از لیست اصلی'!T:T,0))</f>
        <v>کوسن ساتن کرم CT-S005</v>
      </c>
      <c r="G433" s="110" t="str">
        <f>INDEX('اکسسوری حذف از لیست اصلی'!E:E,MATCH(K433,'اکسسوری حذف از لیست اصلی'!T:T,0))</f>
        <v>-</v>
      </c>
      <c r="H433" s="110">
        <f>INDEX('اکسسوری حذف از لیست اصلی'!F:F,MATCH(K433,'اکسسوری حذف از لیست اصلی'!T:T,0))</f>
        <v>0</v>
      </c>
      <c r="I433" s="110">
        <f>INDEX('اکسسوری حذف از لیست اصلی'!G:G,MATCH(K433,'اکسسوری حذف از لیست اصلی'!T:T,0))</f>
        <v>0</v>
      </c>
      <c r="J433" s="74">
        <f>INDEX('اکسسوری حذف از لیست اصلی'!J:J,MATCH(K433,'اکسسوری حذف از لیست اصلی'!T:T,0))</f>
        <v>35000000</v>
      </c>
      <c r="K433" s="64">
        <v>189</v>
      </c>
    </row>
    <row r="434" spans="1:11" ht="29.25" customHeight="1">
      <c r="A434" s="60"/>
      <c r="B434" s="61"/>
      <c r="D434" s="79">
        <v>3</v>
      </c>
      <c r="E434" s="109">
        <f>INDEX('اکسسوری حذف از لیست اصلی'!C:C,MATCH(K434,'اکسسوری حذف از لیست اصلی'!T:T,0))</f>
        <v>9901020007</v>
      </c>
      <c r="F434" s="109" t="str">
        <f>INDEX('اکسسوری حذف از لیست اصلی'!D:D,MATCH(K434,'اکسسوری حذف از لیست اصلی'!T:T,0))</f>
        <v>کوسن ساتن اورسایز ST-S007</v>
      </c>
      <c r="G434" s="110" t="str">
        <f>INDEX('اکسسوری حذف از لیست اصلی'!E:E,MATCH(K434,'اکسسوری حذف از لیست اصلی'!T:T,0))</f>
        <v>-</v>
      </c>
      <c r="H434" s="110">
        <f>INDEX('اکسسوری حذف از لیست اصلی'!F:F,MATCH(K434,'اکسسوری حذف از لیست اصلی'!T:T,0))</f>
        <v>0</v>
      </c>
      <c r="I434" s="110">
        <f>INDEX('اکسسوری حذف از لیست اصلی'!G:G,MATCH(K434,'اکسسوری حذف از لیست اصلی'!T:T,0))</f>
        <v>0</v>
      </c>
      <c r="J434" s="74">
        <f>INDEX('اکسسوری حذف از لیست اصلی'!J:J,MATCH(K434,'اکسسوری حذف از لیست اصلی'!T:T,0))</f>
        <v>63000000</v>
      </c>
      <c r="K434" s="64">
        <v>190</v>
      </c>
    </row>
    <row r="435" spans="1:11" ht="29.25" customHeight="1">
      <c r="A435" s="60"/>
      <c r="B435" s="61"/>
      <c r="D435" s="73">
        <v>4</v>
      </c>
      <c r="E435" s="109">
        <f>INDEX('اکسسوری حذف از لیست اصلی'!C:C,MATCH(K435,'اکسسوری حذف از لیست اصلی'!T:T,0))</f>
        <v>9901020008</v>
      </c>
      <c r="F435" s="109" t="str">
        <f>INDEX('اکسسوری حذف از لیست اصلی'!D:D,MATCH(K435,'اکسسوری حذف از لیست اصلی'!T:T,0))</f>
        <v>کوسن ساتن آجری کرم CT-S008</v>
      </c>
      <c r="G435" s="110" t="str">
        <f>INDEX('اکسسوری حذف از لیست اصلی'!E:E,MATCH(K435,'اکسسوری حذف از لیست اصلی'!T:T,0))</f>
        <v>-</v>
      </c>
      <c r="H435" s="110">
        <f>INDEX('اکسسوری حذف از لیست اصلی'!F:F,MATCH(K435,'اکسسوری حذف از لیست اصلی'!T:T,0))</f>
        <v>0</v>
      </c>
      <c r="I435" s="110">
        <f>INDEX('اکسسوری حذف از لیست اصلی'!G:G,MATCH(K435,'اکسسوری حذف از لیست اصلی'!T:T,0))</f>
        <v>0</v>
      </c>
      <c r="J435" s="74">
        <f>INDEX('اکسسوری حذف از لیست اصلی'!J:J,MATCH(K435,'اکسسوری حذف از لیست اصلی'!T:T,0))</f>
        <v>35000000</v>
      </c>
      <c r="K435" s="64">
        <v>191</v>
      </c>
    </row>
    <row r="436" spans="1:11" ht="29.25" customHeight="1">
      <c r="A436" s="60"/>
      <c r="B436" s="61"/>
      <c r="D436" s="79">
        <v>5</v>
      </c>
      <c r="E436" s="109">
        <f>INDEX('اکسسوری حذف از لیست اصلی'!C:C,MATCH(K436,'اکسسوری حذف از لیست اصلی'!T:T,0))</f>
        <v>9901020010</v>
      </c>
      <c r="F436" s="109" t="str">
        <f>INDEX('اکسسوری حذف از لیست اصلی'!D:D,MATCH(K436,'اکسسوری حذف از لیست اصلی'!T:T,0))</f>
        <v>کوسن ساتن اورسایز CT-S010</v>
      </c>
      <c r="G436" s="110" t="str">
        <f>INDEX('اکسسوری حذف از لیست اصلی'!E:E,MATCH(K436,'اکسسوری حذف از لیست اصلی'!T:T,0))</f>
        <v>-</v>
      </c>
      <c r="H436" s="110">
        <f>INDEX('اکسسوری حذف از لیست اصلی'!F:F,MATCH(K436,'اکسسوری حذف از لیست اصلی'!T:T,0))</f>
        <v>0</v>
      </c>
      <c r="I436" s="110">
        <f>INDEX('اکسسوری حذف از لیست اصلی'!G:G,MATCH(K436,'اکسسوری حذف از لیست اصلی'!T:T,0))</f>
        <v>0</v>
      </c>
      <c r="J436" s="74">
        <f>INDEX('اکسسوری حذف از لیست اصلی'!J:J,MATCH(K436,'اکسسوری حذف از لیست اصلی'!T:T,0))</f>
        <v>63000000</v>
      </c>
      <c r="K436" s="64">
        <v>192</v>
      </c>
    </row>
    <row r="437" spans="1:11" ht="29.25" customHeight="1">
      <c r="A437" s="60"/>
      <c r="B437" s="61"/>
      <c r="D437" s="79">
        <v>6</v>
      </c>
      <c r="E437" s="109">
        <f>INDEX('اکسسوری حذف از لیست اصلی'!C:C,MATCH(K437,'اکسسوری حذف از لیست اصلی'!T:T,0))</f>
        <v>9901020011</v>
      </c>
      <c r="F437" s="109" t="str">
        <f>INDEX('اکسسوری حذف از لیست اصلی'!D:D,MATCH(K437,'اکسسوری حذف از لیست اصلی'!T:T,0))</f>
        <v>کوسن ساتن آجری کرم CT-S011</v>
      </c>
      <c r="G437" s="110" t="str">
        <f>INDEX('اکسسوری حذف از لیست اصلی'!E:E,MATCH(K437,'اکسسوری حذف از لیست اصلی'!T:T,0))</f>
        <v>-</v>
      </c>
      <c r="H437" s="110">
        <f>INDEX('اکسسوری حذف از لیست اصلی'!F:F,MATCH(K437,'اکسسوری حذف از لیست اصلی'!T:T,0))</f>
        <v>0</v>
      </c>
      <c r="I437" s="110">
        <f>INDEX('اکسسوری حذف از لیست اصلی'!G:G,MATCH(K437,'اکسسوری حذف از لیست اصلی'!T:T,0))</f>
        <v>0</v>
      </c>
      <c r="J437" s="74">
        <f>INDEX('اکسسوری حذف از لیست اصلی'!J:J,MATCH(K437,'اکسسوری حذف از لیست اصلی'!T:T,0))</f>
        <v>35000000</v>
      </c>
      <c r="K437" s="64">
        <v>193</v>
      </c>
    </row>
    <row r="438" spans="1:11" ht="29.25" customHeight="1">
      <c r="A438" s="60"/>
      <c r="B438" s="61"/>
      <c r="D438" s="73">
        <v>7</v>
      </c>
      <c r="E438" s="109">
        <f>INDEX('اکسسوری حذف از لیست اصلی'!C:C,MATCH(K438,'اکسسوری حذف از لیست اصلی'!T:T,0))</f>
        <v>9901020013</v>
      </c>
      <c r="F438" s="109" t="str">
        <f>INDEX('اکسسوری حذف از لیست اصلی'!D:D,MATCH(K438,'اکسسوری حذف از لیست اصلی'!T:T,0))</f>
        <v>کوسن ساتن اور سایز CT-S013</v>
      </c>
      <c r="G438" s="110" t="str">
        <f>INDEX('اکسسوری حذف از لیست اصلی'!E:E,MATCH(K438,'اکسسوری حذف از لیست اصلی'!T:T,0))</f>
        <v>-</v>
      </c>
      <c r="H438" s="110">
        <f>INDEX('اکسسوری حذف از لیست اصلی'!F:F,MATCH(K438,'اکسسوری حذف از لیست اصلی'!T:T,0))</f>
        <v>0</v>
      </c>
      <c r="I438" s="110">
        <f>INDEX('اکسسوری حذف از لیست اصلی'!G:G,MATCH(K438,'اکسسوری حذف از لیست اصلی'!T:T,0))</f>
        <v>0</v>
      </c>
      <c r="J438" s="74">
        <f>INDEX('اکسسوری حذف از لیست اصلی'!J:J,MATCH(K438,'اکسسوری حذف از لیست اصلی'!T:T,0))</f>
        <v>63000000</v>
      </c>
      <c r="K438" s="64">
        <v>194</v>
      </c>
    </row>
    <row r="439" spans="1:11" ht="29.25" customHeight="1">
      <c r="A439" s="60"/>
      <c r="B439" s="61"/>
      <c r="D439" s="79">
        <v>8</v>
      </c>
      <c r="E439" s="109">
        <f>INDEX('اکسسوری حذف از لیست اصلی'!C:C,MATCH(K439,'اکسسوری حذف از لیست اصلی'!T:T,0))</f>
        <v>9901020014</v>
      </c>
      <c r="F439" s="109" t="str">
        <f>INDEX('اکسسوری حذف از لیست اصلی'!D:D,MATCH(K439,'اکسسوری حذف از لیست اصلی'!T:T,0))</f>
        <v>کوسن ساتن کرم CT-S014</v>
      </c>
      <c r="G439" s="110" t="str">
        <f>INDEX('اکسسوری حذف از لیست اصلی'!E:E,MATCH(K439,'اکسسوری حذف از لیست اصلی'!T:T,0))</f>
        <v>-</v>
      </c>
      <c r="H439" s="110">
        <f>INDEX('اکسسوری حذف از لیست اصلی'!F:F,MATCH(K439,'اکسسوری حذف از لیست اصلی'!T:T,0))</f>
        <v>0</v>
      </c>
      <c r="I439" s="110">
        <f>INDEX('اکسسوری حذف از لیست اصلی'!G:G,MATCH(K439,'اکسسوری حذف از لیست اصلی'!T:T,0))</f>
        <v>0</v>
      </c>
      <c r="J439" s="74">
        <f>INDEX('اکسسوری حذف از لیست اصلی'!J:J,MATCH(K439,'اکسسوری حذف از لیست اصلی'!T:T,0))</f>
        <v>35000000</v>
      </c>
      <c r="K439" s="64">
        <v>195</v>
      </c>
    </row>
    <row r="440" spans="1:11" ht="29.25" customHeight="1">
      <c r="A440" s="60"/>
      <c r="B440" s="61"/>
      <c r="D440" s="79">
        <v>9</v>
      </c>
      <c r="E440" s="109">
        <f>INDEX('اکسسوری حذف از لیست اصلی'!C:C,MATCH(K440,'اکسسوری حذف از لیست اصلی'!T:T,0))</f>
        <v>9901020015</v>
      </c>
      <c r="F440" s="109" t="str">
        <f>INDEX('اکسسوری حذف از لیست اصلی'!D:D,MATCH(K440,'اکسسوری حذف از لیست اصلی'!T:T,0))</f>
        <v>کوسن مخمل گلدوزی بنفش ارغوانی CT-V015</v>
      </c>
      <c r="G440" s="110" t="str">
        <f>INDEX('اکسسوری حذف از لیست اصلی'!E:E,MATCH(K440,'اکسسوری حذف از لیست اصلی'!T:T,0))</f>
        <v>-</v>
      </c>
      <c r="H440" s="110">
        <f>INDEX('اکسسوری حذف از لیست اصلی'!F:F,MATCH(K440,'اکسسوری حذف از لیست اصلی'!T:T,0))</f>
        <v>0</v>
      </c>
      <c r="I440" s="110">
        <f>INDEX('اکسسوری حذف از لیست اصلی'!G:G,MATCH(K440,'اکسسوری حذف از لیست اصلی'!T:T,0))</f>
        <v>0</v>
      </c>
      <c r="J440" s="74">
        <f>INDEX('اکسسوری حذف از لیست اصلی'!J:J,MATCH(K440,'اکسسوری حذف از لیست اصلی'!T:T,0))</f>
        <v>41000000</v>
      </c>
      <c r="K440" s="64">
        <v>196</v>
      </c>
    </row>
    <row r="441" spans="1:11" ht="29.25" customHeight="1">
      <c r="A441" s="60"/>
      <c r="B441" s="61"/>
      <c r="D441" s="73">
        <v>10</v>
      </c>
      <c r="E441" s="109">
        <f>INDEX('اکسسوری حذف از لیست اصلی'!C:C,MATCH(K441,'اکسسوری حذف از لیست اصلی'!T:T,0))</f>
        <v>9901020016</v>
      </c>
      <c r="F441" s="109" t="str">
        <f>INDEX('اکسسوری حذف از لیست اصلی'!D:D,MATCH(K441,'اکسسوری حذف از لیست اصلی'!T:T,0))</f>
        <v>کوسن مخمل گلدوزی کرم CT-V016</v>
      </c>
      <c r="G441" s="110" t="str">
        <f>INDEX('اکسسوری حذف از لیست اصلی'!E:E,MATCH(K441,'اکسسوری حذف از لیست اصلی'!T:T,0))</f>
        <v>-</v>
      </c>
      <c r="H441" s="110">
        <f>INDEX('اکسسوری حذف از لیست اصلی'!F:F,MATCH(K441,'اکسسوری حذف از لیست اصلی'!T:T,0))</f>
        <v>0</v>
      </c>
      <c r="I441" s="110">
        <f>INDEX('اکسسوری حذف از لیست اصلی'!G:G,MATCH(K441,'اکسسوری حذف از لیست اصلی'!T:T,0))</f>
        <v>0</v>
      </c>
      <c r="J441" s="74">
        <f>INDEX('اکسسوری حذف از لیست اصلی'!J:J,MATCH(K441,'اکسسوری حذف از لیست اصلی'!T:T,0))</f>
        <v>41000000</v>
      </c>
      <c r="K441" s="64">
        <v>197</v>
      </c>
    </row>
    <row r="442" spans="1:11" ht="29.25" customHeight="1">
      <c r="A442" s="60"/>
      <c r="B442" s="61"/>
      <c r="D442" s="79">
        <v>11</v>
      </c>
      <c r="E442" s="109">
        <f>INDEX('اکسسوری حذف از لیست اصلی'!C:C,MATCH(K442,'اکسسوری حذف از لیست اصلی'!T:T,0))</f>
        <v>9901020017</v>
      </c>
      <c r="F442" s="109" t="str">
        <f>INDEX('اکسسوری حذف از لیست اصلی'!D:D,MATCH(K442,'اکسسوری حذف از لیست اصلی'!T:T,0))</f>
        <v>کوسن مخمل گلدوزی آبی CT-V017</v>
      </c>
      <c r="G442" s="110" t="str">
        <f>INDEX('اکسسوری حذف از لیست اصلی'!E:E,MATCH(K442,'اکسسوری حذف از لیست اصلی'!T:T,0))</f>
        <v>-</v>
      </c>
      <c r="H442" s="110">
        <f>INDEX('اکسسوری حذف از لیست اصلی'!F:F,MATCH(K442,'اکسسوری حذف از لیست اصلی'!T:T,0))</f>
        <v>0</v>
      </c>
      <c r="I442" s="110">
        <f>INDEX('اکسسوری حذف از لیست اصلی'!G:G,MATCH(K442,'اکسسوری حذف از لیست اصلی'!T:T,0))</f>
        <v>0</v>
      </c>
      <c r="J442" s="74">
        <f>INDEX('اکسسوری حذف از لیست اصلی'!J:J,MATCH(K442,'اکسسوری حذف از لیست اصلی'!T:T,0))</f>
        <v>41000000</v>
      </c>
      <c r="K442" s="64">
        <v>198</v>
      </c>
    </row>
    <row r="443" spans="1:11" ht="29.25" customHeight="1">
      <c r="A443" s="60"/>
      <c r="B443" s="61"/>
      <c r="D443" s="79">
        <v>12</v>
      </c>
      <c r="E443" s="109">
        <f>INDEX('اکسسوری حذف از لیست اصلی'!C:C,MATCH(K443,'اکسسوری حذف از لیست اصلی'!T:T,0))</f>
        <v>9901020018</v>
      </c>
      <c r="F443" s="109" t="str">
        <f>INDEX('اکسسوری حذف از لیست اصلی'!D:D,MATCH(K443,'اکسسوری حذف از لیست اصلی'!T:T,0))</f>
        <v>کوسن ساتن سفید CT-S018</v>
      </c>
      <c r="G443" s="110" t="str">
        <f>INDEX('اکسسوری حذف از لیست اصلی'!E:E,MATCH(K443,'اکسسوری حذف از لیست اصلی'!T:T,0))</f>
        <v>-</v>
      </c>
      <c r="H443" s="110">
        <f>INDEX('اکسسوری حذف از لیست اصلی'!F:F,MATCH(K443,'اکسسوری حذف از لیست اصلی'!T:T,0))</f>
        <v>0</v>
      </c>
      <c r="I443" s="110">
        <f>INDEX('اکسسوری حذف از لیست اصلی'!G:G,MATCH(K443,'اکسسوری حذف از لیست اصلی'!T:T,0))</f>
        <v>0</v>
      </c>
      <c r="J443" s="74">
        <f>INDEX('اکسسوری حذف از لیست اصلی'!J:J,MATCH(K443,'اکسسوری حذف از لیست اصلی'!T:T,0))</f>
        <v>45000000</v>
      </c>
      <c r="K443" s="64">
        <v>199</v>
      </c>
    </row>
    <row r="444" spans="1:11" ht="29.25" customHeight="1">
      <c r="A444" s="60"/>
      <c r="B444" s="61"/>
      <c r="D444" s="73">
        <v>13</v>
      </c>
      <c r="E444" s="109">
        <f>INDEX('اکسسوری حذف از لیست اصلی'!C:C,MATCH(K444,'اکسسوری حذف از لیست اصلی'!T:T,0))</f>
        <v>9901020019</v>
      </c>
      <c r="F444" s="109" t="str">
        <f>INDEX('اکسسوری حذف از لیست اصلی'!D:D,MATCH(K444,'اکسسوری حذف از لیست اصلی'!T:T,0))</f>
        <v>کوسن مخمل گلدوزی یاسی CT-V019</v>
      </c>
      <c r="G444" s="110" t="str">
        <f>INDEX('اکسسوری حذف از لیست اصلی'!E:E,MATCH(K444,'اکسسوری حذف از لیست اصلی'!T:T,0))</f>
        <v>-</v>
      </c>
      <c r="H444" s="110">
        <f>INDEX('اکسسوری حذف از لیست اصلی'!F:F,MATCH(K444,'اکسسوری حذف از لیست اصلی'!T:T,0))</f>
        <v>0</v>
      </c>
      <c r="I444" s="110">
        <f>INDEX('اکسسوری حذف از لیست اصلی'!G:G,MATCH(K444,'اکسسوری حذف از لیست اصلی'!T:T,0))</f>
        <v>0</v>
      </c>
      <c r="J444" s="74">
        <f>INDEX('اکسسوری حذف از لیست اصلی'!J:J,MATCH(K444,'اکسسوری حذف از لیست اصلی'!T:T,0))</f>
        <v>41000000</v>
      </c>
      <c r="K444" s="64">
        <v>200</v>
      </c>
    </row>
    <row r="445" spans="1:11" ht="29.25" customHeight="1">
      <c r="A445" s="60"/>
      <c r="B445" s="61"/>
      <c r="D445" s="79">
        <v>14</v>
      </c>
      <c r="E445" s="109">
        <f>INDEX('اکسسوری حذف از لیست اصلی'!C:C,MATCH(K445,'اکسسوری حذف از لیست اصلی'!T:T,0))</f>
        <v>9901020020</v>
      </c>
      <c r="F445" s="109" t="str">
        <f>INDEX('اکسسوری حذف از لیست اصلی'!D:D,MATCH(K445,'اکسسوری حذف از لیست اصلی'!T:T,0))</f>
        <v>کوسن مخمل گلدوزی سبز آبی CT-V020</v>
      </c>
      <c r="G445" s="110" t="str">
        <f>INDEX('اکسسوری حذف از لیست اصلی'!E:E,MATCH(K445,'اکسسوری حذف از لیست اصلی'!T:T,0))</f>
        <v>-</v>
      </c>
      <c r="H445" s="110">
        <f>INDEX('اکسسوری حذف از لیست اصلی'!F:F,MATCH(K445,'اکسسوری حذف از لیست اصلی'!T:T,0))</f>
        <v>0</v>
      </c>
      <c r="I445" s="110">
        <f>INDEX('اکسسوری حذف از لیست اصلی'!G:G,MATCH(K445,'اکسسوری حذف از لیست اصلی'!T:T,0))</f>
        <v>0</v>
      </c>
      <c r="J445" s="74">
        <f>INDEX('اکسسوری حذف از لیست اصلی'!J:J,MATCH(K445,'اکسسوری حذف از لیست اصلی'!T:T,0))</f>
        <v>54000000</v>
      </c>
      <c r="K445" s="64">
        <v>201</v>
      </c>
    </row>
    <row r="446" spans="1:11" ht="29.25" customHeight="1">
      <c r="A446" s="60"/>
      <c r="B446" s="61"/>
      <c r="D446" s="79">
        <v>15</v>
      </c>
      <c r="E446" s="109">
        <f>INDEX('اکسسوری حذف از لیست اصلی'!C:C,MATCH(K446,'اکسسوری حذف از لیست اصلی'!T:T,0))</f>
        <v>9901020021</v>
      </c>
      <c r="F446" s="109" t="str">
        <f>INDEX('اکسسوری حذف از لیست اصلی'!D:D,MATCH(K446,'اکسسوری حذف از لیست اصلی'!T:T,0))</f>
        <v>کوسن ساتن طوسی کرم CT-S021</v>
      </c>
      <c r="G446" s="110" t="str">
        <f>INDEX('اکسسوری حذف از لیست اصلی'!E:E,MATCH(K446,'اکسسوری حذف از لیست اصلی'!T:T,0))</f>
        <v>-</v>
      </c>
      <c r="H446" s="110">
        <f>INDEX('اکسسوری حذف از لیست اصلی'!F:F,MATCH(K446,'اکسسوری حذف از لیست اصلی'!T:T,0))</f>
        <v>0</v>
      </c>
      <c r="I446" s="110">
        <f>INDEX('اکسسوری حذف از لیست اصلی'!G:G,MATCH(K446,'اکسسوری حذف از لیست اصلی'!T:T,0))</f>
        <v>0</v>
      </c>
      <c r="J446" s="74">
        <f>INDEX('اکسسوری حذف از لیست اصلی'!J:J,MATCH(K446,'اکسسوری حذف از لیست اصلی'!T:T,0))</f>
        <v>35000000</v>
      </c>
      <c r="K446" s="64">
        <v>202</v>
      </c>
    </row>
    <row r="447" spans="1:11" ht="29.25" customHeight="1">
      <c r="A447" s="60"/>
      <c r="B447" s="61"/>
      <c r="D447" s="73">
        <v>16</v>
      </c>
      <c r="E447" s="109">
        <f>INDEX('اکسسوری حذف از لیست اصلی'!C:C,MATCH(K447,'اکسسوری حذف از لیست اصلی'!T:T,0))</f>
        <v>9901020022</v>
      </c>
      <c r="F447" s="109" t="str">
        <f>INDEX('اکسسوری حذف از لیست اصلی'!D:D,MATCH(K447,'اکسسوری حذف از لیست اصلی'!T:T,0))</f>
        <v>کوسن ساتن طوسی کرم اور سایز CT-S022</v>
      </c>
      <c r="G447" s="110" t="str">
        <f>INDEX('اکسسوری حذف از لیست اصلی'!E:E,MATCH(K447,'اکسسوری حذف از لیست اصلی'!T:T,0))</f>
        <v>-</v>
      </c>
      <c r="H447" s="110">
        <f>INDEX('اکسسوری حذف از لیست اصلی'!F:F,MATCH(K447,'اکسسوری حذف از لیست اصلی'!T:T,0))</f>
        <v>0</v>
      </c>
      <c r="I447" s="110">
        <f>INDEX('اکسسوری حذف از لیست اصلی'!G:G,MATCH(K447,'اکسسوری حذف از لیست اصلی'!T:T,0))</f>
        <v>0</v>
      </c>
      <c r="J447" s="74">
        <f>INDEX('اکسسوری حذف از لیست اصلی'!J:J,MATCH(K447,'اکسسوری حذف از لیست اصلی'!T:T,0))</f>
        <v>63000000</v>
      </c>
      <c r="K447" s="64">
        <v>203</v>
      </c>
    </row>
    <row r="448" spans="1:11" ht="29.25" customHeight="1">
      <c r="A448" s="60"/>
      <c r="B448" s="61"/>
      <c r="C448"/>
      <c r="D448" s="79">
        <v>17</v>
      </c>
      <c r="E448" s="109">
        <f>INDEX('اکسسوری حذف از لیست اصلی'!C:C,MATCH(K448,'اکسسوری حذف از لیست اصلی'!T:T,0))</f>
        <v>9901020024</v>
      </c>
      <c r="F448" s="109" t="str">
        <f>INDEX('اکسسوری حذف از لیست اصلی'!D:D,MATCH(K448,'اکسسوری حذف از لیست اصلی'!T:T,0))</f>
        <v>کوسن خز گرگی کرم CT-F024</v>
      </c>
      <c r="G448" s="110" t="str">
        <f>INDEX('اکسسوری حذف از لیست اصلی'!E:E,MATCH(K448,'اکسسوری حذف از لیست اصلی'!T:T,0))</f>
        <v>-</v>
      </c>
      <c r="H448" s="110">
        <f>INDEX('اکسسوری حذف از لیست اصلی'!F:F,MATCH(K448,'اکسسوری حذف از لیست اصلی'!T:T,0))</f>
        <v>0</v>
      </c>
      <c r="I448" s="110">
        <f>INDEX('اکسسوری حذف از لیست اصلی'!G:G,MATCH(K448,'اکسسوری حذف از لیست اصلی'!T:T,0))</f>
        <v>0</v>
      </c>
      <c r="J448" s="74">
        <f>INDEX('اکسسوری حذف از لیست اصلی'!J:J,MATCH(K448,'اکسسوری حذف از لیست اصلی'!T:T,0))</f>
        <v>117000000</v>
      </c>
      <c r="K448" s="64">
        <v>204</v>
      </c>
    </row>
    <row r="449" spans="1:11" ht="29.25" customHeight="1">
      <c r="A449" s="60"/>
      <c r="B449" s="61"/>
      <c r="C449"/>
      <c r="D449" s="79">
        <v>18</v>
      </c>
      <c r="E449" s="109">
        <f>INDEX('اکسسوری حذف از لیست اصلی'!C:C,MATCH(K449,'اکسسوری حذف از لیست اصلی'!T:T,0))</f>
        <v>9901020025</v>
      </c>
      <c r="F449" s="109" t="str">
        <f>INDEX('اکسسوری حذف از لیست اصلی'!D:D,MATCH(K449,'اکسسوری حذف از لیست اصلی'!T:T,0))</f>
        <v>کوسن مخمل گلدوزی مشکی CT-V025</v>
      </c>
      <c r="G449" s="110" t="str">
        <f>INDEX('اکسسوری حذف از لیست اصلی'!E:E,MATCH(K449,'اکسسوری حذف از لیست اصلی'!T:T,0))</f>
        <v>-</v>
      </c>
      <c r="H449" s="110">
        <f>INDEX('اکسسوری حذف از لیست اصلی'!F:F,MATCH(K449,'اکسسوری حذف از لیست اصلی'!T:T,0))</f>
        <v>0</v>
      </c>
      <c r="I449" s="110">
        <f>INDEX('اکسسوری حذف از لیست اصلی'!G:G,MATCH(K449,'اکسسوری حذف از لیست اصلی'!T:T,0))</f>
        <v>0</v>
      </c>
      <c r="J449" s="74">
        <f>INDEX('اکسسوری حذف از لیست اصلی'!J:J,MATCH(K449,'اکسسوری حذف از لیست اصلی'!T:T,0))</f>
        <v>54000000</v>
      </c>
      <c r="K449" s="64">
        <v>205</v>
      </c>
    </row>
    <row r="450" spans="1:11" ht="29.25" customHeight="1">
      <c r="A450" s="60"/>
      <c r="B450" s="61"/>
      <c r="C450"/>
      <c r="D450" s="73">
        <v>19</v>
      </c>
      <c r="E450" s="109">
        <f>INDEX('اکسسوری حذف از لیست اصلی'!C:C,MATCH(K450,'اکسسوری حذف از لیست اصلی'!T:T,0))</f>
        <v>9901020026</v>
      </c>
      <c r="F450" s="109" t="str">
        <f>INDEX('اکسسوری حذف از لیست اصلی'!D:D,MATCH(K450,'اکسسوری حذف از لیست اصلی'!T:T,0))</f>
        <v>کوسن ساتن کرم CT-S026</v>
      </c>
      <c r="G450" s="110" t="str">
        <f>INDEX('اکسسوری حذف از لیست اصلی'!E:E,MATCH(K450,'اکسسوری حذف از لیست اصلی'!T:T,0))</f>
        <v>-</v>
      </c>
      <c r="H450" s="110">
        <f>INDEX('اکسسوری حذف از لیست اصلی'!F:F,MATCH(K450,'اکسسوری حذف از لیست اصلی'!T:T,0))</f>
        <v>0</v>
      </c>
      <c r="I450" s="110">
        <f>INDEX('اکسسوری حذف از لیست اصلی'!G:G,MATCH(K450,'اکسسوری حذف از لیست اصلی'!T:T,0))</f>
        <v>0</v>
      </c>
      <c r="J450" s="74">
        <f>INDEX('اکسسوری حذف از لیست اصلی'!J:J,MATCH(K450,'اکسسوری حذف از لیست اصلی'!T:T,0))</f>
        <v>35000000</v>
      </c>
      <c r="K450" s="64">
        <v>206</v>
      </c>
    </row>
    <row r="451" spans="1:11" ht="29.25" customHeight="1">
      <c r="A451" s="60"/>
      <c r="B451" s="61"/>
      <c r="D451" s="79">
        <v>20</v>
      </c>
      <c r="E451" s="109">
        <f>INDEX('اکسسوری حذف از لیست اصلی'!C:C,MATCH(K451,'اکسسوری حذف از لیست اصلی'!T:T,0))</f>
        <v>9901020028</v>
      </c>
      <c r="F451" s="109" t="str">
        <f>INDEX('اکسسوری حذف از لیست اصلی'!D:D,MATCH(K451,'اکسسوری حذف از لیست اصلی'!T:T,0))</f>
        <v>کوسن مخمل گلدوزی ارغوانی CT-V028</v>
      </c>
      <c r="G451" s="110" t="str">
        <f>INDEX('اکسسوری حذف از لیست اصلی'!E:E,MATCH(K451,'اکسسوری حذف از لیست اصلی'!T:T,0))</f>
        <v>-</v>
      </c>
      <c r="H451" s="110">
        <f>INDEX('اکسسوری حذف از لیست اصلی'!F:F,MATCH(K451,'اکسسوری حذف از لیست اصلی'!T:T,0))</f>
        <v>0</v>
      </c>
      <c r="I451" s="110">
        <f>INDEX('اکسسوری حذف از لیست اصلی'!G:G,MATCH(K451,'اکسسوری حذف از لیست اصلی'!T:T,0))</f>
        <v>0</v>
      </c>
      <c r="J451" s="74">
        <f>INDEX('اکسسوری حذف از لیست اصلی'!J:J,MATCH(K451,'اکسسوری حذف از لیست اصلی'!T:T,0))</f>
        <v>41000000</v>
      </c>
      <c r="K451" s="64">
        <v>207</v>
      </c>
    </row>
    <row r="452" spans="1:11">
      <c r="A452" s="60"/>
      <c r="B452" s="61"/>
      <c r="D452" s="28"/>
      <c r="E452" s="65"/>
      <c r="G452" s="28"/>
      <c r="H452" s="28"/>
      <c r="I452" s="28"/>
      <c r="J452" s="74">
        <v>15</v>
      </c>
    </row>
    <row r="453" spans="1:11">
      <c r="A453" s="70"/>
      <c r="B453" s="71"/>
      <c r="C453" s="183"/>
      <c r="D453" s="184"/>
      <c r="E453" s="184"/>
      <c r="F453" s="184"/>
      <c r="G453" s="184"/>
      <c r="H453" s="184"/>
      <c r="I453" s="184"/>
      <c r="J453" s="184"/>
    </row>
    <row r="454" spans="1:11">
      <c r="A454" s="70"/>
      <c r="B454" s="71"/>
      <c r="C454" s="183"/>
      <c r="D454" s="184"/>
      <c r="E454" s="184"/>
      <c r="F454" s="184"/>
      <c r="G454" s="184"/>
      <c r="H454" s="184"/>
      <c r="I454" s="184"/>
      <c r="J454" s="184"/>
    </row>
    <row r="455" spans="1:11" ht="27.75">
      <c r="A455" s="70"/>
      <c r="B455" s="71"/>
      <c r="C455" s="72"/>
      <c r="D455" s="67" t="s">
        <v>905</v>
      </c>
      <c r="J455" s="68" t="str">
        <f>$N$1</f>
        <v>1405/02/23</v>
      </c>
    </row>
    <row r="456" spans="1:11" ht="36">
      <c r="A456" s="70"/>
      <c r="B456" s="71"/>
      <c r="C456" s="77"/>
      <c r="D456" s="75" t="s">
        <v>0</v>
      </c>
      <c r="E456" s="69" t="s">
        <v>1</v>
      </c>
      <c r="F456" s="107" t="s">
        <v>448</v>
      </c>
      <c r="G456" s="108" t="s">
        <v>1141</v>
      </c>
      <c r="H456" s="108" t="s">
        <v>1142</v>
      </c>
      <c r="I456" s="108" t="s">
        <v>1143</v>
      </c>
      <c r="J456" s="68" t="s">
        <v>251</v>
      </c>
    </row>
    <row r="457" spans="1:11" ht="28.5" customHeight="1">
      <c r="A457" s="60"/>
      <c r="B457" s="61"/>
      <c r="D457" s="73">
        <v>21</v>
      </c>
      <c r="E457" s="109">
        <f>INDEX('اکسسوری حذف از لیست اصلی'!C:C,MATCH(K457,'اکسسوری حذف از لیست اصلی'!T:T,0))</f>
        <v>9901020029</v>
      </c>
      <c r="F457" s="109" t="str">
        <f>INDEX('اکسسوری حذف از لیست اصلی'!D:D,MATCH(K457,'اکسسوری حذف از لیست اصلی'!T:T,0))</f>
        <v>کوسن مخمل گلدوزی مشکی CT-V029</v>
      </c>
      <c r="G457" s="110" t="str">
        <f>INDEX('اکسسوری حذف از لیست اصلی'!E:E,MATCH(K457,'اکسسوری حذف از لیست اصلی'!T:T,0))</f>
        <v>-</v>
      </c>
      <c r="H457" s="110">
        <f>INDEX('اکسسوری حذف از لیست اصلی'!F:F,MATCH(K457,'اکسسوری حذف از لیست اصلی'!T:T,0))</f>
        <v>0</v>
      </c>
      <c r="I457" s="110">
        <f>INDEX('اکسسوری حذف از لیست اصلی'!G:G,MATCH(K457,'اکسسوری حذف از لیست اصلی'!T:T,0))</f>
        <v>0</v>
      </c>
      <c r="J457" s="74">
        <f>INDEX('اکسسوری حذف از لیست اصلی'!J:J,MATCH(K457,'اکسسوری حذف از لیست اصلی'!T:T,0))</f>
        <v>41000000</v>
      </c>
      <c r="K457" s="64">
        <v>208</v>
      </c>
    </row>
    <row r="458" spans="1:11" ht="28.5" customHeight="1">
      <c r="A458" s="60"/>
      <c r="B458" s="61"/>
      <c r="C458" s="78"/>
      <c r="D458" s="79">
        <v>22</v>
      </c>
      <c r="E458" s="109">
        <f>INDEX('اکسسوری حذف از لیست اصلی'!C:C,MATCH(K458,'اکسسوری حذف از لیست اصلی'!T:T,0))</f>
        <v>9901020030</v>
      </c>
      <c r="F458" s="109" t="str">
        <f>INDEX('اکسسوری حذف از لیست اصلی'!D:D,MATCH(K458,'اکسسوری حذف از لیست اصلی'!T:T,0))</f>
        <v>کوسن مخمل گلدوزی سرخابی CT-V030</v>
      </c>
      <c r="G458" s="110" t="str">
        <f>INDEX('اکسسوری حذف از لیست اصلی'!E:E,MATCH(K458,'اکسسوری حذف از لیست اصلی'!T:T,0))</f>
        <v>-</v>
      </c>
      <c r="H458" s="110">
        <f>INDEX('اکسسوری حذف از لیست اصلی'!F:F,MATCH(K458,'اکسسوری حذف از لیست اصلی'!T:T,0))</f>
        <v>0</v>
      </c>
      <c r="I458" s="110">
        <f>INDEX('اکسسوری حذف از لیست اصلی'!G:G,MATCH(K458,'اکسسوری حذف از لیست اصلی'!T:T,0))</f>
        <v>0</v>
      </c>
      <c r="J458" s="74">
        <f>INDEX('اکسسوری حذف از لیست اصلی'!J:J,MATCH(K458,'اکسسوری حذف از لیست اصلی'!T:T,0))</f>
        <v>41000000</v>
      </c>
      <c r="K458" s="64">
        <v>209</v>
      </c>
    </row>
    <row r="459" spans="1:11" ht="28.5" customHeight="1">
      <c r="A459" s="60"/>
      <c r="B459" s="61"/>
      <c r="D459" s="73">
        <v>23</v>
      </c>
      <c r="E459" s="109">
        <f>INDEX('اکسسوری حذف از لیست اصلی'!C:C,MATCH(K459,'اکسسوری حذف از لیست اصلی'!T:T,0))</f>
        <v>9901020031</v>
      </c>
      <c r="F459" s="109" t="str">
        <f>INDEX('اکسسوری حذف از لیست اصلی'!D:D,MATCH(K459,'اکسسوری حذف از لیست اصلی'!T:T,0))</f>
        <v>کوسن مخمل گلدوزی مشکی CT-V031</v>
      </c>
      <c r="G459" s="110" t="str">
        <f>INDEX('اکسسوری حذف از لیست اصلی'!E:E,MATCH(K459,'اکسسوری حذف از لیست اصلی'!T:T,0))</f>
        <v>-</v>
      </c>
      <c r="H459" s="110">
        <f>INDEX('اکسسوری حذف از لیست اصلی'!F:F,MATCH(K459,'اکسسوری حذف از لیست اصلی'!T:T,0))</f>
        <v>0</v>
      </c>
      <c r="I459" s="110">
        <f>INDEX('اکسسوری حذف از لیست اصلی'!G:G,MATCH(K459,'اکسسوری حذف از لیست اصلی'!T:T,0))</f>
        <v>0</v>
      </c>
      <c r="J459" s="74">
        <f>INDEX('اکسسوری حذف از لیست اصلی'!J:J,MATCH(K459,'اکسسوری حذف از لیست اصلی'!T:T,0))</f>
        <v>41000000</v>
      </c>
      <c r="K459" s="64">
        <v>210</v>
      </c>
    </row>
    <row r="460" spans="1:11" ht="28.5" customHeight="1">
      <c r="A460" s="60"/>
      <c r="B460" s="61"/>
      <c r="D460" s="79">
        <v>24</v>
      </c>
      <c r="E460" s="109">
        <f>INDEX('اکسسوری حذف از لیست اصلی'!C:C,MATCH(K460,'اکسسوری حذف از لیست اصلی'!T:T,0))</f>
        <v>9901020032</v>
      </c>
      <c r="F460" s="109" t="str">
        <f>INDEX('اکسسوری حذف از لیست اصلی'!D:D,MATCH(K460,'اکسسوری حذف از لیست اصلی'!T:T,0))</f>
        <v>کوسن مخمل گلدوزی کرم طلایی</v>
      </c>
      <c r="G460" s="110" t="str">
        <f>INDEX('اکسسوری حذف از لیست اصلی'!E:E,MATCH(K460,'اکسسوری حذف از لیست اصلی'!T:T,0))</f>
        <v>-</v>
      </c>
      <c r="H460" s="110">
        <f>INDEX('اکسسوری حذف از لیست اصلی'!F:F,MATCH(K460,'اکسسوری حذف از لیست اصلی'!T:T,0))</f>
        <v>0</v>
      </c>
      <c r="I460" s="110">
        <f>INDEX('اکسسوری حذف از لیست اصلی'!G:G,MATCH(K460,'اکسسوری حذف از لیست اصلی'!T:T,0))</f>
        <v>0</v>
      </c>
      <c r="J460" s="74">
        <f>INDEX('اکسسوری حذف از لیست اصلی'!J:J,MATCH(K460,'اکسسوری حذف از لیست اصلی'!T:T,0))</f>
        <v>41000000</v>
      </c>
      <c r="K460" s="64">
        <v>211</v>
      </c>
    </row>
    <row r="461" spans="1:11" ht="28.5" customHeight="1">
      <c r="A461" s="60"/>
      <c r="B461" s="61"/>
      <c r="D461" s="73">
        <v>25</v>
      </c>
      <c r="E461" s="109">
        <f>INDEX('اکسسوری حذف از لیست اصلی'!C:C,MATCH(K461,'اکسسوری حذف از لیست اصلی'!T:T,0))</f>
        <v>9901020033</v>
      </c>
      <c r="F461" s="109" t="str">
        <f>INDEX('اکسسوری حذف از لیست اصلی'!D:D,MATCH(K461,'اکسسوری حذف از لیست اصلی'!T:T,0))</f>
        <v>کوسن مخمل گلدوزی قهوه ای روشن CT-V033</v>
      </c>
      <c r="G461" s="110" t="str">
        <f>INDEX('اکسسوری حذف از لیست اصلی'!E:E,MATCH(K461,'اکسسوری حذف از لیست اصلی'!T:T,0))</f>
        <v>-</v>
      </c>
      <c r="H461" s="110">
        <f>INDEX('اکسسوری حذف از لیست اصلی'!F:F,MATCH(K461,'اکسسوری حذف از لیست اصلی'!T:T,0))</f>
        <v>0</v>
      </c>
      <c r="I461" s="110">
        <f>INDEX('اکسسوری حذف از لیست اصلی'!G:G,MATCH(K461,'اکسسوری حذف از لیست اصلی'!T:T,0))</f>
        <v>0</v>
      </c>
      <c r="J461" s="74">
        <f>INDEX('اکسسوری حذف از لیست اصلی'!J:J,MATCH(K461,'اکسسوری حذف از لیست اصلی'!T:T,0))</f>
        <v>41000000</v>
      </c>
      <c r="K461" s="64">
        <v>212</v>
      </c>
    </row>
    <row r="462" spans="1:11" ht="28.5" customHeight="1">
      <c r="A462" s="60"/>
      <c r="B462" s="61"/>
      <c r="D462" s="79">
        <v>26</v>
      </c>
      <c r="E462" s="109">
        <f>INDEX('اکسسوری حذف از لیست اصلی'!C:C,MATCH(K462,'اکسسوری حذف از لیست اصلی'!T:T,0))</f>
        <v>9901020059</v>
      </c>
      <c r="F462" s="109" t="str">
        <f>INDEX('اکسسوری حذف از لیست اصلی'!D:D,MATCH(K462,'اکسسوری حذف از لیست اصلی'!T:T,0))</f>
        <v>کوسن مخمل گلدوزی کرم طلایی CT-V059</v>
      </c>
      <c r="G462" s="110" t="str">
        <f>INDEX('اکسسوری حذف از لیست اصلی'!E:E,MATCH(K462,'اکسسوری حذف از لیست اصلی'!T:T,0))</f>
        <v>-</v>
      </c>
      <c r="H462" s="110">
        <f>INDEX('اکسسوری حذف از لیست اصلی'!F:F,MATCH(K462,'اکسسوری حذف از لیست اصلی'!T:T,0))</f>
        <v>0</v>
      </c>
      <c r="I462" s="110">
        <f>INDEX('اکسسوری حذف از لیست اصلی'!G:G,MATCH(K462,'اکسسوری حذف از لیست اصلی'!T:T,0))</f>
        <v>0</v>
      </c>
      <c r="J462" s="74">
        <f>INDEX('اکسسوری حذف از لیست اصلی'!J:J,MATCH(K462,'اکسسوری حذف از لیست اصلی'!T:T,0))</f>
        <v>41000000</v>
      </c>
      <c r="K462" s="64">
        <v>213</v>
      </c>
    </row>
    <row r="463" spans="1:11" ht="28.5" customHeight="1">
      <c r="A463" s="60"/>
      <c r="B463" s="61"/>
      <c r="D463" s="73">
        <v>27</v>
      </c>
      <c r="E463" s="109">
        <f>INDEX('اکسسوری حذف از لیست اصلی'!C:C,MATCH(K463,'اکسسوری حذف از لیست اصلی'!T:T,0))</f>
        <v>9901020060</v>
      </c>
      <c r="F463" s="109" t="str">
        <f>INDEX('اکسسوری حذف از لیست اصلی'!D:D,MATCH(K463,'اکسسوری حذف از لیست اصلی'!T:T,0))</f>
        <v>کوسن خز قهوه ای CT-F060</v>
      </c>
      <c r="G463" s="110" t="str">
        <f>INDEX('اکسسوری حذف از لیست اصلی'!E:E,MATCH(K463,'اکسسوری حذف از لیست اصلی'!T:T,0))</f>
        <v>-</v>
      </c>
      <c r="H463" s="110">
        <f>INDEX('اکسسوری حذف از لیست اصلی'!F:F,MATCH(K463,'اکسسوری حذف از لیست اصلی'!T:T,0))</f>
        <v>0</v>
      </c>
      <c r="I463" s="110">
        <f>INDEX('اکسسوری حذف از لیست اصلی'!G:G,MATCH(K463,'اکسسوری حذف از لیست اصلی'!T:T,0))</f>
        <v>0</v>
      </c>
      <c r="J463" s="74">
        <f>INDEX('اکسسوری حذف از لیست اصلی'!J:J,MATCH(K463,'اکسسوری حذف از لیست اصلی'!T:T,0))</f>
        <v>99000000</v>
      </c>
      <c r="K463" s="64">
        <v>214</v>
      </c>
    </row>
    <row r="464" spans="1:11" ht="28.5" customHeight="1">
      <c r="A464" s="60"/>
      <c r="B464" s="61"/>
      <c r="D464" s="79">
        <v>28</v>
      </c>
      <c r="E464" s="109">
        <f>INDEX('اکسسوری حذف از لیست اصلی'!C:C,MATCH(K464,'اکسسوری حذف از لیست اصلی'!T:T,0))</f>
        <v>9901020061</v>
      </c>
      <c r="F464" s="109" t="str">
        <f>INDEX('اکسسوری حذف از لیست اصلی'!D:D,MATCH(K464,'اکسسوری حذف از لیست اصلی'!T:T,0))</f>
        <v>کوسن خز روباهی CT-F061</v>
      </c>
      <c r="G464" s="110" t="str">
        <f>INDEX('اکسسوری حذف از لیست اصلی'!E:E,MATCH(K464,'اکسسوری حذف از لیست اصلی'!T:T,0))</f>
        <v>-</v>
      </c>
      <c r="H464" s="110">
        <f>INDEX('اکسسوری حذف از لیست اصلی'!F:F,MATCH(K464,'اکسسوری حذف از لیست اصلی'!T:T,0))</f>
        <v>0</v>
      </c>
      <c r="I464" s="110">
        <f>INDEX('اکسسوری حذف از لیست اصلی'!G:G,MATCH(K464,'اکسسوری حذف از لیست اصلی'!T:T,0))</f>
        <v>0</v>
      </c>
      <c r="J464" s="74">
        <f>INDEX('اکسسوری حذف از لیست اصلی'!J:J,MATCH(K464,'اکسسوری حذف از لیست اصلی'!T:T,0))</f>
        <v>130000000</v>
      </c>
      <c r="K464" s="64">
        <v>215</v>
      </c>
    </row>
    <row r="465" spans="1:11" ht="28.5" customHeight="1">
      <c r="A465" s="60"/>
      <c r="B465" s="61"/>
      <c r="D465" s="73">
        <v>29</v>
      </c>
      <c r="E465" s="109">
        <f>INDEX('اکسسوری حذف از لیست اصلی'!C:C,MATCH(K465,'اکسسوری حذف از لیست اصلی'!T:T,0))</f>
        <v>9901020062</v>
      </c>
      <c r="F465" s="109" t="str">
        <f>INDEX('اکسسوری حذف از لیست اصلی'!D:D,MATCH(K465,'اکسسوری حذف از لیست اصلی'!T:T,0))</f>
        <v>کوسن مخمل گلدوزی کرم طلایی CT-V062</v>
      </c>
      <c r="G465" s="110" t="str">
        <f>INDEX('اکسسوری حذف از لیست اصلی'!E:E,MATCH(K465,'اکسسوری حذف از لیست اصلی'!T:T,0))</f>
        <v>-</v>
      </c>
      <c r="H465" s="110">
        <f>INDEX('اکسسوری حذف از لیست اصلی'!F:F,MATCH(K465,'اکسسوری حذف از لیست اصلی'!T:T,0))</f>
        <v>0</v>
      </c>
      <c r="I465" s="110">
        <f>INDEX('اکسسوری حذف از لیست اصلی'!G:G,MATCH(K465,'اکسسوری حذف از لیست اصلی'!T:T,0))</f>
        <v>0</v>
      </c>
      <c r="J465" s="74">
        <f>INDEX('اکسسوری حذف از لیست اصلی'!J:J,MATCH(K465,'اکسسوری حذف از لیست اصلی'!T:T,0))</f>
        <v>41000000</v>
      </c>
      <c r="K465" s="64">
        <v>216</v>
      </c>
    </row>
    <row r="466" spans="1:11" ht="28.5" customHeight="1">
      <c r="A466" s="60"/>
      <c r="B466" s="61"/>
      <c r="D466" s="79">
        <v>30</v>
      </c>
      <c r="E466" s="109">
        <f>INDEX('اکسسوری حذف از لیست اصلی'!C:C,MATCH(K466,'اکسسوری حذف از لیست اصلی'!T:T,0))</f>
        <v>9901020063</v>
      </c>
      <c r="F466" s="109" t="str">
        <f>INDEX('اکسسوری حذف از لیست اصلی'!D:D,MATCH(K466,'اکسسوری حذف از لیست اصلی'!T:T,0))</f>
        <v>کوسن مخمل گلدوزی سفید CT-V063</v>
      </c>
      <c r="G466" s="110" t="str">
        <f>INDEX('اکسسوری حذف از لیست اصلی'!E:E,MATCH(K466,'اکسسوری حذف از لیست اصلی'!T:T,0))</f>
        <v>-</v>
      </c>
      <c r="H466" s="110">
        <f>INDEX('اکسسوری حذف از لیست اصلی'!F:F,MATCH(K466,'اکسسوری حذف از لیست اصلی'!T:T,0))</f>
        <v>0</v>
      </c>
      <c r="I466" s="110">
        <f>INDEX('اکسسوری حذف از لیست اصلی'!G:G,MATCH(K466,'اکسسوری حذف از لیست اصلی'!T:T,0))</f>
        <v>0</v>
      </c>
      <c r="J466" s="74">
        <f>INDEX('اکسسوری حذف از لیست اصلی'!J:J,MATCH(K466,'اکسسوری حذف از لیست اصلی'!T:T,0))</f>
        <v>41000000</v>
      </c>
      <c r="K466" s="64">
        <v>217</v>
      </c>
    </row>
    <row r="467" spans="1:11" ht="28.5" customHeight="1">
      <c r="A467" s="60"/>
      <c r="B467" s="61"/>
      <c r="D467" s="73">
        <v>31</v>
      </c>
      <c r="E467" s="109">
        <f>INDEX('اکسسوری حذف از لیست اصلی'!C:C,MATCH(K467,'اکسسوری حذف از لیست اصلی'!T:T,0))</f>
        <v>9901020064</v>
      </c>
      <c r="F467" s="109" t="str">
        <f>INDEX('اکسسوری حذف از لیست اصلی'!D:D,MATCH(K467,'اکسسوری حذف از لیست اصلی'!T:T,0))</f>
        <v>کوسن مخمل گلدوزی سرخ آبی CT-V064</v>
      </c>
      <c r="G467" s="110" t="str">
        <f>INDEX('اکسسوری حذف از لیست اصلی'!E:E,MATCH(K467,'اکسسوری حذف از لیست اصلی'!T:T,0))</f>
        <v>-</v>
      </c>
      <c r="H467" s="110">
        <f>INDEX('اکسسوری حذف از لیست اصلی'!F:F,MATCH(K467,'اکسسوری حذف از لیست اصلی'!T:T,0))</f>
        <v>0</v>
      </c>
      <c r="I467" s="110">
        <f>INDEX('اکسسوری حذف از لیست اصلی'!G:G,MATCH(K467,'اکسسوری حذف از لیست اصلی'!T:T,0))</f>
        <v>0</v>
      </c>
      <c r="J467" s="74">
        <f>INDEX('اکسسوری حذف از لیست اصلی'!J:J,MATCH(K467,'اکسسوری حذف از لیست اصلی'!T:T,0))</f>
        <v>41000000</v>
      </c>
      <c r="K467" s="64">
        <v>218</v>
      </c>
    </row>
    <row r="468" spans="1:11" ht="28.5" customHeight="1">
      <c r="A468" s="60"/>
      <c r="B468" s="61"/>
      <c r="D468" s="73">
        <v>32</v>
      </c>
      <c r="E468" s="109">
        <f>INDEX('اکسسوری حذف از لیست اصلی'!C:C,MATCH(K468,'اکسسوری حذف از لیست اصلی'!T:T,0))</f>
        <v>9901020065</v>
      </c>
      <c r="F468" s="109" t="str">
        <f>INDEX('اکسسوری حذف از لیست اصلی'!D:D,MATCH(K468,'اکسسوری حذف از لیست اصلی'!T:T,0))</f>
        <v>کوسن مخمل گلدوزی کالباسی CT-V065</v>
      </c>
      <c r="G468" s="110" t="str">
        <f>INDEX('اکسسوری حذف از لیست اصلی'!E:E,MATCH(K468,'اکسسوری حذف از لیست اصلی'!T:T,0))</f>
        <v>-</v>
      </c>
      <c r="H468" s="110">
        <f>INDEX('اکسسوری حذف از لیست اصلی'!F:F,MATCH(K468,'اکسسوری حذف از لیست اصلی'!T:T,0))</f>
        <v>0</v>
      </c>
      <c r="I468" s="110">
        <f>INDEX('اکسسوری حذف از لیست اصلی'!G:G,MATCH(K468,'اکسسوری حذف از لیست اصلی'!T:T,0))</f>
        <v>0</v>
      </c>
      <c r="J468" s="74">
        <f>INDEX('اکسسوری حذف از لیست اصلی'!J:J,MATCH(K468,'اکسسوری حذف از لیست اصلی'!T:T,0))</f>
        <v>41000000</v>
      </c>
      <c r="K468" s="64">
        <v>219</v>
      </c>
    </row>
    <row r="469" spans="1:11" ht="28.5" customHeight="1">
      <c r="A469" s="60"/>
      <c r="B469" s="61"/>
      <c r="D469" s="79">
        <v>33</v>
      </c>
      <c r="E469" s="109">
        <f>INDEX('اکسسوری حذف از لیست اصلی'!C:C,MATCH(K469,'اکسسوری حذف از لیست اصلی'!T:T,0))</f>
        <v>9901020066</v>
      </c>
      <c r="F469" s="109" t="str">
        <f>INDEX('اکسسوری حذف از لیست اصلی'!D:D,MATCH(K469,'اکسسوری حذف از لیست اصلی'!T:T,0))</f>
        <v>کوسن مخمل گلدوزی سبز CT-V066</v>
      </c>
      <c r="G469" s="110" t="str">
        <f>INDEX('اکسسوری حذف از لیست اصلی'!E:E,MATCH(K469,'اکسسوری حذف از لیست اصلی'!T:T,0))</f>
        <v>-</v>
      </c>
      <c r="H469" s="110">
        <f>INDEX('اکسسوری حذف از لیست اصلی'!F:F,MATCH(K469,'اکسسوری حذف از لیست اصلی'!T:T,0))</f>
        <v>0</v>
      </c>
      <c r="I469" s="110">
        <f>INDEX('اکسسوری حذف از لیست اصلی'!G:G,MATCH(K469,'اکسسوری حذف از لیست اصلی'!T:T,0))</f>
        <v>0</v>
      </c>
      <c r="J469" s="74">
        <f>INDEX('اکسسوری حذف از لیست اصلی'!J:J,MATCH(K469,'اکسسوری حذف از لیست اصلی'!T:T,0))</f>
        <v>54000000</v>
      </c>
      <c r="K469" s="64">
        <v>220</v>
      </c>
    </row>
    <row r="470" spans="1:11" ht="28.5" customHeight="1">
      <c r="A470" s="60"/>
      <c r="B470" s="61"/>
      <c r="D470" s="73">
        <v>34</v>
      </c>
      <c r="E470" s="109">
        <f>INDEX('اکسسوری حذف از لیست اصلی'!C:C,MATCH(K470,'اکسسوری حذف از لیست اصلی'!T:T,0))</f>
        <v>9901020067</v>
      </c>
      <c r="F470" s="109" t="str">
        <f>INDEX('اکسسوری حذف از لیست اصلی'!D:D,MATCH(K470,'اکسسوری حذف از لیست اصلی'!T:T,0))</f>
        <v>کوسن مخمل گلدوزی سبز CT-V067</v>
      </c>
      <c r="G470" s="110" t="str">
        <f>INDEX('اکسسوری حذف از لیست اصلی'!E:E,MATCH(K470,'اکسسوری حذف از لیست اصلی'!T:T,0))</f>
        <v>-</v>
      </c>
      <c r="H470" s="110">
        <f>INDEX('اکسسوری حذف از لیست اصلی'!F:F,MATCH(K470,'اکسسوری حذف از لیست اصلی'!T:T,0))</f>
        <v>0</v>
      </c>
      <c r="I470" s="110">
        <f>INDEX('اکسسوری حذف از لیست اصلی'!G:G,MATCH(K470,'اکسسوری حذف از لیست اصلی'!T:T,0))</f>
        <v>0</v>
      </c>
      <c r="J470" s="74">
        <f>INDEX('اکسسوری حذف از لیست اصلی'!J:J,MATCH(K470,'اکسسوری حذف از لیست اصلی'!T:T,0))</f>
        <v>41000000</v>
      </c>
      <c r="K470" s="64">
        <v>221</v>
      </c>
    </row>
    <row r="471" spans="1:11" ht="28.5" customHeight="1">
      <c r="A471" s="60"/>
      <c r="B471" s="61"/>
      <c r="D471" s="73">
        <v>35</v>
      </c>
      <c r="E471" s="109">
        <f>INDEX('اکسسوری حذف از لیست اصلی'!C:C,MATCH(K471,'اکسسوری حذف از لیست اصلی'!T:T,0))</f>
        <v>9901020083</v>
      </c>
      <c r="F471" s="109" t="str">
        <f>INDEX('اکسسوری حذف از لیست اصلی'!D:D,MATCH(K471,'اکسسوری حذف از لیست اصلی'!T:T,0))</f>
        <v>کوسن مخمل گلدوزی مشکی CT-V083</v>
      </c>
      <c r="G471" s="110" t="str">
        <f>INDEX('اکسسوری حذف از لیست اصلی'!E:E,MATCH(K471,'اکسسوری حذف از لیست اصلی'!T:T,0))</f>
        <v>-</v>
      </c>
      <c r="H471" s="110">
        <f>INDEX('اکسسوری حذف از لیست اصلی'!F:F,MATCH(K471,'اکسسوری حذف از لیست اصلی'!T:T,0))</f>
        <v>0</v>
      </c>
      <c r="I471" s="110">
        <f>INDEX('اکسسوری حذف از لیست اصلی'!G:G,MATCH(K471,'اکسسوری حذف از لیست اصلی'!T:T,0))</f>
        <v>0</v>
      </c>
      <c r="J471" s="74">
        <f>INDEX('اکسسوری حذف از لیست اصلی'!J:J,MATCH(K471,'اکسسوری حذف از لیست اصلی'!T:T,0))</f>
        <v>41000000</v>
      </c>
      <c r="K471" s="64">
        <v>222</v>
      </c>
    </row>
    <row r="472" spans="1:11" ht="28.5" customHeight="1">
      <c r="A472" s="60"/>
      <c r="B472" s="61"/>
      <c r="D472" s="79">
        <v>36</v>
      </c>
      <c r="E472" s="109">
        <f>INDEX('اکسسوری حذف از لیست اصلی'!C:C,MATCH(K472,'اکسسوری حذف از لیست اصلی'!T:T,0))</f>
        <v>9901020084</v>
      </c>
      <c r="F472" s="109" t="str">
        <f>INDEX('اکسسوری حذف از لیست اصلی'!D:D,MATCH(K472,'اکسسوری حذف از لیست اصلی'!T:T,0))</f>
        <v>کوسن خز گرگی نسکافه ای CT-F084</v>
      </c>
      <c r="G472" s="110" t="str">
        <f>INDEX('اکسسوری حذف از لیست اصلی'!E:E,MATCH(K472,'اکسسوری حذف از لیست اصلی'!T:T,0))</f>
        <v>-</v>
      </c>
      <c r="H472" s="110">
        <f>INDEX('اکسسوری حذف از لیست اصلی'!F:F,MATCH(K472,'اکسسوری حذف از لیست اصلی'!T:T,0))</f>
        <v>0</v>
      </c>
      <c r="I472" s="110">
        <f>INDEX('اکسسوری حذف از لیست اصلی'!G:G,MATCH(K472,'اکسسوری حذف از لیست اصلی'!T:T,0))</f>
        <v>0</v>
      </c>
      <c r="J472" s="74">
        <f>INDEX('اکسسوری حذف از لیست اصلی'!J:J,MATCH(K472,'اکسسوری حذف از لیست اصلی'!T:T,0))</f>
        <v>153000000</v>
      </c>
      <c r="K472" s="64">
        <v>223</v>
      </c>
    </row>
    <row r="473" spans="1:11" ht="28.5" customHeight="1">
      <c r="A473" s="60"/>
      <c r="B473" s="61"/>
      <c r="D473" s="73">
        <v>37</v>
      </c>
      <c r="E473" s="109">
        <f>INDEX('اکسسوری حذف از لیست اصلی'!C:C,MATCH(K473,'اکسسوری حذف از لیست اصلی'!T:T,0))</f>
        <v>9901020086</v>
      </c>
      <c r="F473" s="109" t="str">
        <f>INDEX('اکسسوری حذف از لیست اصلی'!D:D,MATCH(K473,'اکسسوری حذف از لیست اصلی'!T:T,0))</f>
        <v>کوسن پارچه و چرم کرم CT-T086</v>
      </c>
      <c r="G473" s="110" t="str">
        <f>INDEX('اکسسوری حذف از لیست اصلی'!E:E,MATCH(K473,'اکسسوری حذف از لیست اصلی'!T:T,0))</f>
        <v>-</v>
      </c>
      <c r="H473" s="110">
        <f>INDEX('اکسسوری حذف از لیست اصلی'!F:F,MATCH(K473,'اکسسوری حذف از لیست اصلی'!T:T,0))</f>
        <v>0</v>
      </c>
      <c r="I473" s="110">
        <f>INDEX('اکسسوری حذف از لیست اصلی'!G:G,MATCH(K473,'اکسسوری حذف از لیست اصلی'!T:T,0))</f>
        <v>0</v>
      </c>
      <c r="J473" s="74">
        <f>INDEX('اکسسوری حذف از لیست اصلی'!J:J,MATCH(K473,'اکسسوری حذف از لیست اصلی'!T:T,0))</f>
        <v>73000000</v>
      </c>
      <c r="K473" s="64">
        <v>224</v>
      </c>
    </row>
    <row r="474" spans="1:11" ht="28.5" customHeight="1">
      <c r="A474" s="60"/>
      <c r="B474" s="61"/>
      <c r="D474" s="73">
        <v>38</v>
      </c>
      <c r="E474" s="109">
        <f>INDEX('اکسسوری حذف از لیست اصلی'!C:C,MATCH(K474,'اکسسوری حذف از لیست اصلی'!T:T,0))</f>
        <v>9901020087</v>
      </c>
      <c r="F474" s="109" t="str">
        <f>INDEX('اکسسوری حذف از لیست اصلی'!D:D,MATCH(K474,'اکسسوری حذف از لیست اصلی'!T:T,0))</f>
        <v>کوسن پرز کوتاه سفید بند چرمی CT-F087</v>
      </c>
      <c r="G474" s="110" t="str">
        <f>INDEX('اکسسوری حذف از لیست اصلی'!E:E,MATCH(K474,'اکسسوری حذف از لیست اصلی'!T:T,0))</f>
        <v>-</v>
      </c>
      <c r="H474" s="110">
        <f>INDEX('اکسسوری حذف از لیست اصلی'!F:F,MATCH(K474,'اکسسوری حذف از لیست اصلی'!T:T,0))</f>
        <v>0</v>
      </c>
      <c r="I474" s="110">
        <f>INDEX('اکسسوری حذف از لیست اصلی'!G:G,MATCH(K474,'اکسسوری حذف از لیست اصلی'!T:T,0))</f>
        <v>0</v>
      </c>
      <c r="J474" s="74">
        <f>INDEX('اکسسوری حذف از لیست اصلی'!J:J,MATCH(K474,'اکسسوری حذف از لیست اصلی'!T:T,0))</f>
        <v>63000000</v>
      </c>
      <c r="K474" s="64">
        <v>225</v>
      </c>
    </row>
    <row r="475" spans="1:11" ht="28.5" customHeight="1">
      <c r="A475" s="60"/>
      <c r="B475" s="61"/>
      <c r="D475" s="79">
        <v>39</v>
      </c>
      <c r="E475" s="109">
        <f>INDEX('اکسسوری حذف از لیست اصلی'!C:C,MATCH(K475,'اکسسوری حذف از لیست اصلی'!T:T,0))</f>
        <v>9901020088</v>
      </c>
      <c r="F475" s="109" t="str">
        <f>INDEX('اکسسوری حذف از لیست اصلی'!D:D,MATCH(K475,'اکسسوری حذف از لیست اصلی'!T:T,0))</f>
        <v>کوسن چرم و خز قهوه ای CT-LF088</v>
      </c>
      <c r="G475" s="110" t="str">
        <f>INDEX('اکسسوری حذف از لیست اصلی'!E:E,MATCH(K475,'اکسسوری حذف از لیست اصلی'!T:T,0))</f>
        <v>-</v>
      </c>
      <c r="H475" s="110">
        <f>INDEX('اکسسوری حذف از لیست اصلی'!F:F,MATCH(K475,'اکسسوری حذف از لیست اصلی'!T:T,0))</f>
        <v>0</v>
      </c>
      <c r="I475" s="110">
        <f>INDEX('اکسسوری حذف از لیست اصلی'!G:G,MATCH(K475,'اکسسوری حذف از لیست اصلی'!T:T,0))</f>
        <v>0</v>
      </c>
      <c r="J475" s="74">
        <f>INDEX('اکسسوری حذف از لیست اصلی'!J:J,MATCH(K475,'اکسسوری حذف از لیست اصلی'!T:T,0))</f>
        <v>118000000</v>
      </c>
      <c r="K475" s="64">
        <v>226</v>
      </c>
    </row>
    <row r="476" spans="1:11" ht="23.25" customHeight="1">
      <c r="A476" s="60"/>
      <c r="B476" s="61"/>
      <c r="D476" s="65"/>
      <c r="E476" s="65"/>
      <c r="G476" s="28"/>
      <c r="H476" s="28"/>
      <c r="I476" s="28"/>
      <c r="J476" s="74"/>
    </row>
    <row r="477" spans="1:11" ht="23.25" customHeight="1">
      <c r="A477" s="60"/>
      <c r="B477" s="61"/>
      <c r="D477"/>
      <c r="E477"/>
      <c r="F477"/>
      <c r="G477"/>
      <c r="H477"/>
      <c r="I477"/>
      <c r="J477"/>
    </row>
    <row r="478" spans="1:11">
      <c r="A478" s="60"/>
      <c r="B478" s="61"/>
      <c r="J478" s="74">
        <v>16</v>
      </c>
    </row>
    <row r="479" spans="1:11">
      <c r="A479" s="70"/>
      <c r="B479" s="71"/>
      <c r="C479" s="183"/>
      <c r="D479" s="184"/>
      <c r="E479" s="184"/>
      <c r="F479" s="184"/>
      <c r="G479" s="184"/>
      <c r="H479" s="184"/>
      <c r="I479" s="184"/>
      <c r="J479" s="184"/>
    </row>
    <row r="480" spans="1:11">
      <c r="A480" s="70"/>
      <c r="B480" s="71"/>
      <c r="C480" s="183"/>
      <c r="D480" s="184"/>
      <c r="E480" s="184"/>
      <c r="F480" s="184"/>
      <c r="G480" s="184"/>
      <c r="H480" s="184"/>
      <c r="I480" s="184"/>
      <c r="J480" s="184"/>
    </row>
    <row r="481" spans="1:11" ht="27.75">
      <c r="A481" s="70"/>
      <c r="B481" s="71"/>
      <c r="C481" s="72"/>
      <c r="D481" s="67" t="s">
        <v>937</v>
      </c>
      <c r="J481" s="68" t="str">
        <f>$N$1</f>
        <v>1405/02/23</v>
      </c>
    </row>
    <row r="482" spans="1:11" ht="36">
      <c r="A482" s="70"/>
      <c r="B482" s="71"/>
      <c r="C482" s="77"/>
      <c r="D482" s="75" t="s">
        <v>0</v>
      </c>
      <c r="E482" s="69" t="s">
        <v>1</v>
      </c>
      <c r="F482" s="107" t="s">
        <v>448</v>
      </c>
      <c r="G482" s="108" t="s">
        <v>1141</v>
      </c>
      <c r="H482" s="108" t="s">
        <v>1142</v>
      </c>
      <c r="I482" s="108" t="s">
        <v>1143</v>
      </c>
      <c r="J482" s="68" t="s">
        <v>251</v>
      </c>
    </row>
    <row r="483" spans="1:11" ht="29.25" customHeight="1">
      <c r="A483" s="60"/>
      <c r="B483" s="61"/>
      <c r="D483" s="73">
        <v>1</v>
      </c>
      <c r="E483" s="109">
        <f>INDEX('اکسسوری حذف از لیست اصلی'!C:C,MATCH(K483,'اکسسوری حذف از لیست اصلی'!T:T,0))</f>
        <v>9901030002</v>
      </c>
      <c r="F483" s="109" t="str">
        <f>INDEX('اکسسوری حذف از لیست اصلی'!D:D,MATCH(K483,'اکسسوری حذف از لیست اصلی'!T:T,0))</f>
        <v>ظرف پذيرايي آلومنیومی نقره ای DP-A002</v>
      </c>
      <c r="G483" s="110" t="str">
        <f>INDEX('اکسسوری حذف از لیست اصلی'!E:E,MATCH(K483,'اکسسوری حذف از لیست اصلی'!T:T,0))</f>
        <v>-</v>
      </c>
      <c r="H483" s="110">
        <f>INDEX('اکسسوری حذف از لیست اصلی'!F:F,MATCH(K483,'اکسسوری حذف از لیست اصلی'!T:T,0))</f>
        <v>0</v>
      </c>
      <c r="I483" s="110">
        <f>INDEX('اکسسوری حذف از لیست اصلی'!G:G,MATCH(K483,'اکسسوری حذف از لیست اصلی'!T:T,0))</f>
        <v>0</v>
      </c>
      <c r="J483" s="74">
        <f>INDEX('اکسسوری حذف از لیست اصلی'!J:J,MATCH(K483,'اکسسوری حذف از لیست اصلی'!T:T,0))</f>
        <v>119000000</v>
      </c>
      <c r="K483" s="64">
        <v>227</v>
      </c>
    </row>
    <row r="484" spans="1:11" ht="29.25" customHeight="1">
      <c r="A484" s="60"/>
      <c r="B484" s="61"/>
      <c r="C484" s="78"/>
      <c r="D484" s="79">
        <v>2</v>
      </c>
      <c r="E484" s="109">
        <f>INDEX('اکسسوری حذف از لیست اصلی'!C:C,MATCH(K484,'اکسسوری حذف از لیست اصلی'!T:T,0))</f>
        <v>9901030013</v>
      </c>
      <c r="F484" s="109" t="str">
        <f>INDEX('اکسسوری حذف از لیست اصلی'!D:D,MATCH(K484,'اکسسوری حذف از لیست اصلی'!T:T,0))</f>
        <v>کندی آلومنیومی دو سایز نقره ای DP-A013</v>
      </c>
      <c r="G484" s="110" t="str">
        <f>INDEX('اکسسوری حذف از لیست اصلی'!E:E,MATCH(K484,'اکسسوری حذف از لیست اصلی'!T:T,0))</f>
        <v>-</v>
      </c>
      <c r="H484" s="110">
        <f>INDEX('اکسسوری حذف از لیست اصلی'!F:F,MATCH(K484,'اکسسوری حذف از لیست اصلی'!T:T,0))</f>
        <v>0</v>
      </c>
      <c r="I484" s="110">
        <f>INDEX('اکسسوری حذف از لیست اصلی'!G:G,MATCH(K484,'اکسسوری حذف از لیست اصلی'!T:T,0))</f>
        <v>0</v>
      </c>
      <c r="J484" s="74">
        <f>INDEX('اکسسوری حذف از لیست اصلی'!J:J,MATCH(K484,'اکسسوری حذف از لیست اصلی'!T:T,0))</f>
        <v>243000000</v>
      </c>
      <c r="K484" s="64">
        <v>228</v>
      </c>
    </row>
    <row r="485" spans="1:11" ht="29.25" customHeight="1">
      <c r="A485" s="60"/>
      <c r="B485" s="61"/>
      <c r="D485" s="73">
        <v>3</v>
      </c>
      <c r="E485" s="109">
        <f>INDEX('اکسسوری حذف از لیست اصلی'!C:C,MATCH(K485,'اکسسوری حذف از لیست اصلی'!T:T,0))</f>
        <v>9901030020</v>
      </c>
      <c r="F485" s="109" t="str">
        <f>INDEX('اکسسوری حذف از لیست اصلی'!D:D,MATCH(K485,'اکسسوری حذف از لیست اصلی'!T:T,0))</f>
        <v>ظرف پذيرايي آلومنیومی نقره ای DP-A020</v>
      </c>
      <c r="G485" s="110" t="str">
        <f>INDEX('اکسسوری حذف از لیست اصلی'!E:E,MATCH(K485,'اکسسوری حذف از لیست اصلی'!T:T,0))</f>
        <v>-</v>
      </c>
      <c r="H485" s="110">
        <f>INDEX('اکسسوری حذف از لیست اصلی'!F:F,MATCH(K485,'اکسسوری حذف از لیست اصلی'!T:T,0))</f>
        <v>0</v>
      </c>
      <c r="I485" s="110">
        <f>INDEX('اکسسوری حذف از لیست اصلی'!G:G,MATCH(K485,'اکسسوری حذف از لیست اصلی'!T:T,0))</f>
        <v>0</v>
      </c>
      <c r="J485" s="74">
        <f>INDEX('اکسسوری حذف از لیست اصلی'!J:J,MATCH(K485,'اکسسوری حذف از لیست اصلی'!T:T,0))</f>
        <v>121000000</v>
      </c>
      <c r="K485" s="64">
        <v>229</v>
      </c>
    </row>
    <row r="486" spans="1:11" ht="29.25" customHeight="1">
      <c r="A486" s="60"/>
      <c r="B486" s="61"/>
      <c r="D486" s="79">
        <v>4</v>
      </c>
      <c r="E486" s="109">
        <f>INDEX('اکسسوری حذف از لیست اصلی'!C:C,MATCH(K486,'اکسسوری حذف از لیست اصلی'!T:T,0))</f>
        <v>9901030023</v>
      </c>
      <c r="F486" s="109" t="str">
        <f>INDEX('اکسسوری حذف از لیست اصلی'!D:D,MATCH(K486,'اکسسوری حذف از لیست اصلی'!T:T,0))</f>
        <v>ظرف پذيرايي آلومنیومی نقره ای DP-A023</v>
      </c>
      <c r="G486" s="110" t="str">
        <f>INDEX('اکسسوری حذف از لیست اصلی'!E:E,MATCH(K486,'اکسسوری حذف از لیست اصلی'!T:T,0))</f>
        <v>-</v>
      </c>
      <c r="H486" s="110">
        <f>INDEX('اکسسوری حذف از لیست اصلی'!F:F,MATCH(K486,'اکسسوری حذف از لیست اصلی'!T:T,0))</f>
        <v>0</v>
      </c>
      <c r="I486" s="110">
        <f>INDEX('اکسسوری حذف از لیست اصلی'!G:G,MATCH(K486,'اکسسوری حذف از لیست اصلی'!T:T,0))</f>
        <v>0</v>
      </c>
      <c r="J486" s="74">
        <f>INDEX('اکسسوری حذف از لیست اصلی'!J:J,MATCH(K486,'اکسسوری حذف از لیست اصلی'!T:T,0))</f>
        <v>128000000</v>
      </c>
      <c r="K486" s="64">
        <v>230</v>
      </c>
    </row>
    <row r="487" spans="1:11" ht="29.25" customHeight="1">
      <c r="A487" s="60"/>
      <c r="B487" s="61"/>
      <c r="D487" s="73">
        <v>5</v>
      </c>
      <c r="E487" s="109">
        <f>INDEX('اکسسوری حذف از لیست اصلی'!C:C,MATCH(K487,'اکسسوری حذف از لیست اصلی'!T:T,0))</f>
        <v>9901030025</v>
      </c>
      <c r="F487" s="109" t="str">
        <f>INDEX('اکسسوری حذف از لیست اصلی'!D:D,MATCH(K487,'اکسسوری حذف از لیست اصلی'!T:T,0))</f>
        <v>ظرف پذيرايي آلومنیومی نقره ای DP-A025</v>
      </c>
      <c r="G487" s="110" t="str">
        <f>INDEX('اکسسوری حذف از لیست اصلی'!E:E,MATCH(K487,'اکسسوری حذف از لیست اصلی'!T:T,0))</f>
        <v>-</v>
      </c>
      <c r="H487" s="110">
        <f>INDEX('اکسسوری حذف از لیست اصلی'!F:F,MATCH(K487,'اکسسوری حذف از لیست اصلی'!T:T,0))</f>
        <v>0</v>
      </c>
      <c r="I487" s="110">
        <f>INDEX('اکسسوری حذف از لیست اصلی'!G:G,MATCH(K487,'اکسسوری حذف از لیست اصلی'!T:T,0))</f>
        <v>0</v>
      </c>
      <c r="J487" s="74">
        <f>INDEX('اکسسوری حذف از لیست اصلی'!J:J,MATCH(K487,'اکسسوری حذف از لیست اصلی'!T:T,0))</f>
        <v>193000000</v>
      </c>
      <c r="K487" s="64">
        <v>231</v>
      </c>
    </row>
    <row r="488" spans="1:11" ht="31.5" customHeight="1">
      <c r="A488" s="60"/>
      <c r="B488" s="61"/>
      <c r="D488" s="79">
        <v>6</v>
      </c>
      <c r="E488" s="109">
        <f>INDEX('اکسسوری حذف از لیست اصلی'!C:C,MATCH(K488,'اکسسوری حذف از لیست اصلی'!T:T,0))</f>
        <v>9901030028</v>
      </c>
      <c r="F488" s="109" t="str">
        <f>INDEX('اکسسوری حذف از لیست اصلی'!D:D,MATCH(K488,'اکسسوری حذف از لیست اصلی'!T:T,0))</f>
        <v>پیش دستی سرامیکی لعاب طلا DP-CR028</v>
      </c>
      <c r="G488" s="110" t="str">
        <f>INDEX('اکسسوری حذف از لیست اصلی'!E:E,MATCH(K488,'اکسسوری حذف از لیست اصلی'!T:T,0))</f>
        <v>-</v>
      </c>
      <c r="H488" s="110">
        <f>INDEX('اکسسوری حذف از لیست اصلی'!F:F,MATCH(K488,'اکسسوری حذف از لیست اصلی'!T:T,0))</f>
        <v>0</v>
      </c>
      <c r="I488" s="110">
        <f>INDEX('اکسسوری حذف از لیست اصلی'!G:G,MATCH(K488,'اکسسوری حذف از لیست اصلی'!T:T,0))</f>
        <v>0</v>
      </c>
      <c r="J488" s="74">
        <f>INDEX('اکسسوری حذف از لیست اصلی'!J:J,MATCH(K488,'اکسسوری حذف از لیست اصلی'!T:T,0))</f>
        <v>15000000</v>
      </c>
      <c r="K488" s="64">
        <v>232</v>
      </c>
    </row>
    <row r="489" spans="1:11" ht="29.25" customHeight="1">
      <c r="A489" s="60"/>
      <c r="B489" s="61"/>
      <c r="D489" s="73">
        <v>7</v>
      </c>
      <c r="E489" s="109">
        <f>INDEX('اکسسوری حذف از لیست اصلی'!C:C,MATCH(K489,'اکسسوری حذف از لیست اصلی'!T:T,0))</f>
        <v>9901030029</v>
      </c>
      <c r="F489" s="109" t="str">
        <f>INDEX('اکسسوری حذف از لیست اصلی'!D:D,MATCH(K489,'اکسسوری حذف از لیست اصلی'!T:T,0))</f>
        <v>بشقاب سرامیکی لعاب طلا DP-CR029</v>
      </c>
      <c r="G489" s="110" t="str">
        <f>INDEX('اکسسوری حذف از لیست اصلی'!E:E,MATCH(K489,'اکسسوری حذف از لیست اصلی'!T:T,0))</f>
        <v>-</v>
      </c>
      <c r="H489" s="110">
        <f>INDEX('اکسسوری حذف از لیست اصلی'!F:F,MATCH(K489,'اکسسوری حذف از لیست اصلی'!T:T,0))</f>
        <v>0</v>
      </c>
      <c r="I489" s="110">
        <f>INDEX('اکسسوری حذف از لیست اصلی'!G:G,MATCH(K489,'اکسسوری حذف از لیست اصلی'!T:T,0))</f>
        <v>0</v>
      </c>
      <c r="J489" s="74">
        <f>INDEX('اکسسوری حذف از لیست اصلی'!J:J,MATCH(K489,'اکسسوری حذف از لیست اصلی'!T:T,0))</f>
        <v>21000000</v>
      </c>
      <c r="K489" s="64">
        <v>233</v>
      </c>
    </row>
    <row r="490" spans="1:11" ht="29.25" customHeight="1">
      <c r="A490" s="60"/>
      <c r="B490" s="61"/>
      <c r="D490" s="79">
        <v>8</v>
      </c>
      <c r="E490" s="109">
        <f>INDEX('اکسسوری حذف از لیست اصلی'!C:C,MATCH(K490,'اکسسوری حذف از لیست اصلی'!T:T,0))</f>
        <v>9901030030</v>
      </c>
      <c r="F490" s="109" t="str">
        <f>INDEX('اکسسوری حذف از لیست اصلی'!D:D,MATCH(K490,'اکسسوری حذف از لیست اصلی'!T:T,0))</f>
        <v>کاسه سرامیکی کوچک لعاب طلا DP-CR030</v>
      </c>
      <c r="G490" s="110" t="str">
        <f>INDEX('اکسسوری حذف از لیست اصلی'!E:E,MATCH(K490,'اکسسوری حذف از لیست اصلی'!T:T,0))</f>
        <v>-</v>
      </c>
      <c r="H490" s="110">
        <f>INDEX('اکسسوری حذف از لیست اصلی'!F:F,MATCH(K490,'اکسسوری حذف از لیست اصلی'!T:T,0))</f>
        <v>0</v>
      </c>
      <c r="I490" s="110">
        <f>INDEX('اکسسوری حذف از لیست اصلی'!G:G,MATCH(K490,'اکسسوری حذف از لیست اصلی'!T:T,0))</f>
        <v>0</v>
      </c>
      <c r="J490" s="74">
        <f>INDEX('اکسسوری حذف از لیست اصلی'!J:J,MATCH(K490,'اکسسوری حذف از لیست اصلی'!T:T,0))</f>
        <v>15000000</v>
      </c>
      <c r="K490" s="64">
        <v>234</v>
      </c>
    </row>
    <row r="491" spans="1:11" ht="29.25" customHeight="1">
      <c r="A491" s="60"/>
      <c r="B491" s="61"/>
      <c r="D491" s="73">
        <v>9</v>
      </c>
      <c r="E491" s="109">
        <f>INDEX('اکسسوری حذف از لیست اصلی'!C:C,MATCH(K491,'اکسسوری حذف از لیست اصلی'!T:T,0))</f>
        <v>9901030031</v>
      </c>
      <c r="F491" s="109" t="str">
        <f>INDEX('اکسسوری حذف از لیست اصلی'!D:D,MATCH(K491,'اکسسوری حذف از لیست اصلی'!T:T,0))</f>
        <v>لیوان سرامیکی لعاب طلا DP-CR031</v>
      </c>
      <c r="G491" s="110" t="str">
        <f>INDEX('اکسسوری حذف از لیست اصلی'!E:E,MATCH(K491,'اکسسوری حذف از لیست اصلی'!T:T,0))</f>
        <v>-</v>
      </c>
      <c r="H491" s="110">
        <f>INDEX('اکسسوری حذف از لیست اصلی'!F:F,MATCH(K491,'اکسسوری حذف از لیست اصلی'!T:T,0))</f>
        <v>0</v>
      </c>
      <c r="I491" s="110">
        <f>INDEX('اکسسوری حذف از لیست اصلی'!G:G,MATCH(K491,'اکسسوری حذف از لیست اصلی'!T:T,0))</f>
        <v>0</v>
      </c>
      <c r="J491" s="74">
        <f>INDEX('اکسسوری حذف از لیست اصلی'!J:J,MATCH(K491,'اکسسوری حذف از لیست اصلی'!T:T,0))</f>
        <v>14000000</v>
      </c>
      <c r="K491" s="64">
        <v>235</v>
      </c>
    </row>
    <row r="492" spans="1:11" ht="29.25" customHeight="1">
      <c r="A492" s="60"/>
      <c r="B492" s="61"/>
      <c r="D492" s="79">
        <v>10</v>
      </c>
      <c r="E492" s="109">
        <f>INDEX('اکسسوری حذف از لیست اصلی'!C:C,MATCH(K492,'اکسسوری حذف از لیست اصلی'!T:T,0))</f>
        <v>9901030032</v>
      </c>
      <c r="F492" s="109" t="str">
        <f>INDEX('اکسسوری حذف از لیست اصلی'!D:D,MATCH(K492,'اکسسوری حذف از لیست اصلی'!T:T,0))</f>
        <v>کاسه سرامیکی بزرگ لعاب طلا DP-CR032</v>
      </c>
      <c r="G492" s="110" t="str">
        <f>INDEX('اکسسوری حذف از لیست اصلی'!E:E,MATCH(K492,'اکسسوری حذف از لیست اصلی'!T:T,0))</f>
        <v>-</v>
      </c>
      <c r="H492" s="110">
        <f>INDEX('اکسسوری حذف از لیست اصلی'!F:F,MATCH(K492,'اکسسوری حذف از لیست اصلی'!T:T,0))</f>
        <v>0</v>
      </c>
      <c r="I492" s="110">
        <f>INDEX('اکسسوری حذف از لیست اصلی'!G:G,MATCH(K492,'اکسسوری حذف از لیست اصلی'!T:T,0))</f>
        <v>0</v>
      </c>
      <c r="J492" s="74">
        <f>INDEX('اکسسوری حذف از لیست اصلی'!J:J,MATCH(K492,'اکسسوری حذف از لیست اصلی'!T:T,0))</f>
        <v>29000000</v>
      </c>
      <c r="K492" s="64">
        <v>236</v>
      </c>
    </row>
    <row r="493" spans="1:11" ht="31.5" customHeight="1">
      <c r="A493" s="60"/>
      <c r="B493" s="61"/>
      <c r="D493" s="73">
        <v>11</v>
      </c>
      <c r="E493" s="109">
        <f>INDEX('اکسسوری حذف از لیست اصلی'!C:C,MATCH(K493,'اکسسوری حذف از لیست اصلی'!T:T,0))</f>
        <v>9901030033</v>
      </c>
      <c r="F493" s="109" t="str">
        <f>INDEX('اکسسوری حذف از لیست اصلی'!D:D,MATCH(K493,'اکسسوری حذف از لیست اصلی'!T:T,0))</f>
        <v>پیش دستی سرامیکی لعاب طلا DP-CR033</v>
      </c>
      <c r="G493" s="110" t="str">
        <f>INDEX('اکسسوری حذف از لیست اصلی'!E:E,MATCH(K493,'اکسسوری حذف از لیست اصلی'!T:T,0))</f>
        <v>-</v>
      </c>
      <c r="H493" s="110">
        <f>INDEX('اکسسوری حذف از لیست اصلی'!F:F,MATCH(K493,'اکسسوری حذف از لیست اصلی'!T:T,0))</f>
        <v>0</v>
      </c>
      <c r="I493" s="110">
        <f>INDEX('اکسسوری حذف از لیست اصلی'!G:G,MATCH(K493,'اکسسوری حذف از لیست اصلی'!T:T,0))</f>
        <v>0</v>
      </c>
      <c r="J493" s="74">
        <f>INDEX('اکسسوری حذف از لیست اصلی'!J:J,MATCH(K493,'اکسسوری حذف از لیست اصلی'!T:T,0))</f>
        <v>15000000</v>
      </c>
      <c r="K493" s="64">
        <v>237</v>
      </c>
    </row>
    <row r="494" spans="1:11" ht="31.5" customHeight="1">
      <c r="A494" s="60"/>
      <c r="B494" s="61"/>
      <c r="D494" s="79">
        <v>12</v>
      </c>
      <c r="E494" s="109">
        <f>INDEX('اکسسوری حذف از لیست اصلی'!C:C,MATCH(K494,'اکسسوری حذف از لیست اصلی'!T:T,0))</f>
        <v>9901030034</v>
      </c>
      <c r="F494" s="109" t="str">
        <f>INDEX('اکسسوری حذف از لیست اصلی'!D:D,MATCH(K494,'اکسسوری حذف از لیست اصلی'!T:T,0))</f>
        <v>بشقاب سرامیکی لعاب طلا DP-CR034</v>
      </c>
      <c r="G494" s="110" t="str">
        <f>INDEX('اکسسوری حذف از لیست اصلی'!E:E,MATCH(K494,'اکسسوری حذف از لیست اصلی'!T:T,0))</f>
        <v>-</v>
      </c>
      <c r="H494" s="110">
        <f>INDEX('اکسسوری حذف از لیست اصلی'!F:F,MATCH(K494,'اکسسوری حذف از لیست اصلی'!T:T,0))</f>
        <v>0</v>
      </c>
      <c r="I494" s="110">
        <f>INDEX('اکسسوری حذف از لیست اصلی'!G:G,MATCH(K494,'اکسسوری حذف از لیست اصلی'!T:T,0))</f>
        <v>0</v>
      </c>
      <c r="J494" s="74">
        <f>INDEX('اکسسوری حذف از لیست اصلی'!J:J,MATCH(K494,'اکسسوری حذف از لیست اصلی'!T:T,0))</f>
        <v>21000000</v>
      </c>
      <c r="K494" s="64">
        <v>238</v>
      </c>
    </row>
    <row r="495" spans="1:11" ht="31.5" customHeight="1">
      <c r="A495" s="60"/>
      <c r="B495" s="61"/>
      <c r="D495" s="73">
        <v>13</v>
      </c>
      <c r="E495" s="109">
        <f>INDEX('اکسسوری حذف از لیست اصلی'!C:C,MATCH(K495,'اکسسوری حذف از لیست اصلی'!T:T,0))</f>
        <v>9901030035</v>
      </c>
      <c r="F495" s="109" t="str">
        <f>INDEX('اکسسوری حذف از لیست اصلی'!D:D,MATCH(K495,'اکسسوری حذف از لیست اصلی'!T:T,0))</f>
        <v>کاسه سرامیکی کوچک لعاب طلا DP-CR035</v>
      </c>
      <c r="G495" s="110" t="str">
        <f>INDEX('اکسسوری حذف از لیست اصلی'!E:E,MATCH(K495,'اکسسوری حذف از لیست اصلی'!T:T,0))</f>
        <v>-</v>
      </c>
      <c r="H495" s="110">
        <f>INDEX('اکسسوری حذف از لیست اصلی'!F:F,MATCH(K495,'اکسسوری حذف از لیست اصلی'!T:T,0))</f>
        <v>0</v>
      </c>
      <c r="I495" s="110">
        <f>INDEX('اکسسوری حذف از لیست اصلی'!G:G,MATCH(K495,'اکسسوری حذف از لیست اصلی'!T:T,0))</f>
        <v>0</v>
      </c>
      <c r="J495" s="74">
        <f>INDEX('اکسسوری حذف از لیست اصلی'!J:J,MATCH(K495,'اکسسوری حذف از لیست اصلی'!T:T,0))</f>
        <v>15000000</v>
      </c>
      <c r="K495" s="64">
        <v>239</v>
      </c>
    </row>
    <row r="496" spans="1:11" ht="31.5" customHeight="1">
      <c r="A496" s="60"/>
      <c r="B496" s="61"/>
      <c r="D496" s="79">
        <v>14</v>
      </c>
      <c r="E496" s="109">
        <f>INDEX('اکسسوری حذف از لیست اصلی'!C:C,MATCH(K496,'اکسسوری حذف از لیست اصلی'!T:T,0))</f>
        <v>9901030036</v>
      </c>
      <c r="F496" s="109" t="str">
        <f>INDEX('اکسسوری حذف از لیست اصلی'!D:D,MATCH(K496,'اکسسوری حذف از لیست اصلی'!T:T,0))</f>
        <v>لیوان سرامیکی لعاب طلا DP-CR036</v>
      </c>
      <c r="G496" s="110" t="str">
        <f>INDEX('اکسسوری حذف از لیست اصلی'!E:E,MATCH(K496,'اکسسوری حذف از لیست اصلی'!T:T,0))</f>
        <v>-</v>
      </c>
      <c r="H496" s="110">
        <f>INDEX('اکسسوری حذف از لیست اصلی'!F:F,MATCH(K496,'اکسسوری حذف از لیست اصلی'!T:T,0))</f>
        <v>0</v>
      </c>
      <c r="I496" s="110">
        <f>INDEX('اکسسوری حذف از لیست اصلی'!G:G,MATCH(K496,'اکسسوری حذف از لیست اصلی'!T:T,0))</f>
        <v>0</v>
      </c>
      <c r="J496" s="74">
        <f>INDEX('اکسسوری حذف از لیست اصلی'!J:J,MATCH(K496,'اکسسوری حذف از لیست اصلی'!T:T,0))</f>
        <v>17000000</v>
      </c>
      <c r="K496" s="64">
        <v>240</v>
      </c>
    </row>
    <row r="497" spans="1:11" ht="28.5" customHeight="1">
      <c r="A497" s="60"/>
      <c r="B497" s="61"/>
      <c r="D497" s="73">
        <v>15</v>
      </c>
      <c r="E497" s="109">
        <f>INDEX('اکسسوری حذف از لیست اصلی'!C:C,MATCH(K497,'اکسسوری حذف از لیست اصلی'!T:T,0))</f>
        <v>9901030037</v>
      </c>
      <c r="F497" s="109" t="str">
        <f>INDEX('اکسسوری حذف از لیست اصلی'!D:D,MATCH(K497,'اکسسوری حذف از لیست اصلی'!T:T,0))</f>
        <v>کاسه سرامیکی بزرگ لعاب طلا DP-CR037</v>
      </c>
      <c r="G497" s="110" t="str">
        <f>INDEX('اکسسوری حذف از لیست اصلی'!E:E,MATCH(K497,'اکسسوری حذف از لیست اصلی'!T:T,0))</f>
        <v>-</v>
      </c>
      <c r="H497" s="110">
        <f>INDEX('اکسسوری حذف از لیست اصلی'!F:F,MATCH(K497,'اکسسوری حذف از لیست اصلی'!T:T,0))</f>
        <v>0</v>
      </c>
      <c r="I497" s="110">
        <f>INDEX('اکسسوری حذف از لیست اصلی'!G:G,MATCH(K497,'اکسسوری حذف از لیست اصلی'!T:T,0))</f>
        <v>0</v>
      </c>
      <c r="J497" s="74">
        <f>INDEX('اکسسوری حذف از لیست اصلی'!J:J,MATCH(K497,'اکسسوری حذف از لیست اصلی'!T:T,0))</f>
        <v>29000000</v>
      </c>
      <c r="K497" s="64">
        <v>241</v>
      </c>
    </row>
    <row r="498" spans="1:11" ht="28.5" customHeight="1">
      <c r="A498" s="60"/>
      <c r="B498" s="61"/>
      <c r="D498" s="79">
        <v>16</v>
      </c>
      <c r="E498" s="109">
        <f>INDEX('اکسسوری حذف از لیست اصلی'!C:C,MATCH(K498,'اکسسوری حذف از لیست اصلی'!T:T,0))</f>
        <v>9901030038</v>
      </c>
      <c r="F498" s="109" t="str">
        <f>INDEX('اکسسوری حذف از لیست اصلی'!D:D,MATCH(K498,'اکسسوری حذف از لیست اصلی'!T:T,0))</f>
        <v>پیش دستی سرامیکی لعاب طلا DP-CR038</v>
      </c>
      <c r="G498" s="110" t="str">
        <f>INDEX('اکسسوری حذف از لیست اصلی'!E:E,MATCH(K498,'اکسسوری حذف از لیست اصلی'!T:T,0))</f>
        <v>-</v>
      </c>
      <c r="H498" s="110">
        <f>INDEX('اکسسوری حذف از لیست اصلی'!F:F,MATCH(K498,'اکسسوری حذف از لیست اصلی'!T:T,0))</f>
        <v>0</v>
      </c>
      <c r="I498" s="110">
        <f>INDEX('اکسسوری حذف از لیست اصلی'!G:G,MATCH(K498,'اکسسوری حذف از لیست اصلی'!T:T,0))</f>
        <v>0</v>
      </c>
      <c r="J498" s="74">
        <f>INDEX('اکسسوری حذف از لیست اصلی'!J:J,MATCH(K498,'اکسسوری حذف از لیست اصلی'!T:T,0))</f>
        <v>16000000</v>
      </c>
      <c r="K498" s="64">
        <v>242</v>
      </c>
    </row>
    <row r="499" spans="1:11" ht="28.5" customHeight="1">
      <c r="A499" s="60"/>
      <c r="B499" s="61"/>
      <c r="D499" s="73">
        <v>17</v>
      </c>
      <c r="E499" s="109">
        <f>INDEX('اکسسوری حذف از لیست اصلی'!C:C,MATCH(K499,'اکسسوری حذف از لیست اصلی'!T:T,0))</f>
        <v>9901030039</v>
      </c>
      <c r="F499" s="109" t="str">
        <f>INDEX('اکسسوری حذف از لیست اصلی'!D:D,MATCH(K499,'اکسسوری حذف از لیست اصلی'!T:T,0))</f>
        <v>بشقاب سرامیکی لعاب طلا DP-CR039</v>
      </c>
      <c r="G499" s="110" t="str">
        <f>INDEX('اکسسوری حذف از لیست اصلی'!E:E,MATCH(K499,'اکسسوری حذف از لیست اصلی'!T:T,0))</f>
        <v>-</v>
      </c>
      <c r="H499" s="110">
        <f>INDEX('اکسسوری حذف از لیست اصلی'!F:F,MATCH(K499,'اکسسوری حذف از لیست اصلی'!T:T,0))</f>
        <v>0</v>
      </c>
      <c r="I499" s="110">
        <f>INDEX('اکسسوری حذف از لیست اصلی'!G:G,MATCH(K499,'اکسسوری حذف از لیست اصلی'!T:T,0))</f>
        <v>0</v>
      </c>
      <c r="J499" s="74">
        <f>INDEX('اکسسوری حذف از لیست اصلی'!J:J,MATCH(K499,'اکسسوری حذف از لیست اصلی'!T:T,0))</f>
        <v>21000000</v>
      </c>
      <c r="K499" s="64">
        <v>243</v>
      </c>
    </row>
    <row r="500" spans="1:11" ht="28.5" customHeight="1">
      <c r="A500" s="60"/>
      <c r="B500" s="61"/>
      <c r="D500" s="79">
        <v>18</v>
      </c>
      <c r="E500" s="109">
        <f>INDEX('اکسسوری حذف از لیست اصلی'!C:C,MATCH(K500,'اکسسوری حذف از لیست اصلی'!T:T,0))</f>
        <v>9901030040</v>
      </c>
      <c r="F500" s="109" t="str">
        <f>INDEX('اکسسوری حذف از لیست اصلی'!D:D,MATCH(K500,'اکسسوری حذف از لیست اصلی'!T:T,0))</f>
        <v>کاسه سرامیکی کوچک لعاب طلا DP-CR040</v>
      </c>
      <c r="G500" s="110" t="str">
        <f>INDEX('اکسسوری حذف از لیست اصلی'!E:E,MATCH(K500,'اکسسوری حذف از لیست اصلی'!T:T,0))</f>
        <v>-</v>
      </c>
      <c r="H500" s="110">
        <f>INDEX('اکسسوری حذف از لیست اصلی'!F:F,MATCH(K500,'اکسسوری حذف از لیست اصلی'!T:T,0))</f>
        <v>0</v>
      </c>
      <c r="I500" s="110">
        <f>INDEX('اکسسوری حذف از لیست اصلی'!G:G,MATCH(K500,'اکسسوری حذف از لیست اصلی'!T:T,0))</f>
        <v>0</v>
      </c>
      <c r="J500" s="74">
        <f>INDEX('اکسسوری حذف از لیست اصلی'!J:J,MATCH(K500,'اکسسوری حذف از لیست اصلی'!T:T,0))</f>
        <v>16000000</v>
      </c>
      <c r="K500" s="64">
        <v>244</v>
      </c>
    </row>
    <row r="501" spans="1:11" ht="28.5" customHeight="1">
      <c r="A501" s="60"/>
      <c r="B501" s="61"/>
      <c r="D501" s="73">
        <v>19</v>
      </c>
      <c r="E501" s="109">
        <f>INDEX('اکسسوری حذف از لیست اصلی'!C:C,MATCH(K501,'اکسسوری حذف از لیست اصلی'!T:T,0))</f>
        <v>9901030041</v>
      </c>
      <c r="F501" s="109" t="str">
        <f>INDEX('اکسسوری حذف از لیست اصلی'!D:D,MATCH(K501,'اکسسوری حذف از لیست اصلی'!T:T,0))</f>
        <v>لیوان سرامیکی لعاب طلا DP-CR041</v>
      </c>
      <c r="G501" s="110" t="str">
        <f>INDEX('اکسسوری حذف از لیست اصلی'!E:E,MATCH(K501,'اکسسوری حذف از لیست اصلی'!T:T,0))</f>
        <v>-</v>
      </c>
      <c r="H501" s="110">
        <f>INDEX('اکسسوری حذف از لیست اصلی'!F:F,MATCH(K501,'اکسسوری حذف از لیست اصلی'!T:T,0))</f>
        <v>0</v>
      </c>
      <c r="I501" s="110">
        <f>INDEX('اکسسوری حذف از لیست اصلی'!G:G,MATCH(K501,'اکسسوری حذف از لیست اصلی'!T:T,0))</f>
        <v>0</v>
      </c>
      <c r="J501" s="74">
        <f>INDEX('اکسسوری حذف از لیست اصلی'!J:J,MATCH(K501,'اکسسوری حذف از لیست اصلی'!T:T,0))</f>
        <v>17000000</v>
      </c>
      <c r="K501" s="64">
        <v>245</v>
      </c>
    </row>
    <row r="502" spans="1:11" ht="30.75" customHeight="1">
      <c r="A502" s="60"/>
      <c r="B502" s="61"/>
      <c r="D502" s="79">
        <v>20</v>
      </c>
      <c r="E502" s="109">
        <f>INDEX('اکسسوری حذف از لیست اصلی'!C:C,MATCH(K502,'اکسسوری حذف از لیست اصلی'!T:T,0))</f>
        <v>9901030042</v>
      </c>
      <c r="F502" s="109" t="str">
        <f>INDEX('اکسسوری حذف از لیست اصلی'!D:D,MATCH(K502,'اکسسوری حذف از لیست اصلی'!T:T,0))</f>
        <v>کاسه سرامیکی بزرگ لعاب طلا DP-CR042</v>
      </c>
      <c r="G502" s="110" t="str">
        <f>INDEX('اکسسوری حذف از لیست اصلی'!E:E,MATCH(K502,'اکسسوری حذف از لیست اصلی'!T:T,0))</f>
        <v>-</v>
      </c>
      <c r="H502" s="110">
        <f>INDEX('اکسسوری حذف از لیست اصلی'!F:F,MATCH(K502,'اکسسوری حذف از لیست اصلی'!T:T,0))</f>
        <v>0</v>
      </c>
      <c r="I502" s="110">
        <f>INDEX('اکسسوری حذف از لیست اصلی'!G:G,MATCH(K502,'اکسسوری حذف از لیست اصلی'!T:T,0))</f>
        <v>0</v>
      </c>
      <c r="J502" s="74">
        <f>INDEX('اکسسوری حذف از لیست اصلی'!J:J,MATCH(K502,'اکسسوری حذف از لیست اصلی'!T:T,0))</f>
        <v>29000000</v>
      </c>
      <c r="K502" s="64">
        <v>246</v>
      </c>
    </row>
    <row r="503" spans="1:11">
      <c r="A503" s="60"/>
      <c r="B503" s="61"/>
      <c r="D503" s="28"/>
      <c r="E503" s="65"/>
      <c r="G503" s="28"/>
      <c r="H503" s="28"/>
      <c r="I503" s="28"/>
      <c r="J503" s="74">
        <v>17</v>
      </c>
    </row>
    <row r="504" spans="1:11">
      <c r="A504" s="70"/>
      <c r="B504" s="71"/>
      <c r="C504" s="183"/>
      <c r="D504" s="184"/>
      <c r="E504" s="184"/>
      <c r="F504" s="184"/>
      <c r="G504" s="184"/>
      <c r="H504" s="184"/>
      <c r="I504" s="184"/>
      <c r="J504" s="184"/>
    </row>
    <row r="505" spans="1:11">
      <c r="A505" s="70"/>
      <c r="B505" s="71"/>
      <c r="C505" s="183"/>
      <c r="D505" s="184"/>
      <c r="E505" s="184"/>
      <c r="F505" s="184"/>
      <c r="G505" s="184"/>
      <c r="H505" s="184"/>
      <c r="I505" s="184"/>
      <c r="J505" s="184"/>
    </row>
    <row r="506" spans="1:11" ht="27.75">
      <c r="A506" s="70"/>
      <c r="B506" s="71"/>
      <c r="C506" s="72"/>
      <c r="D506" s="67" t="s">
        <v>937</v>
      </c>
      <c r="J506" s="68" t="str">
        <f>$N$1</f>
        <v>1405/02/23</v>
      </c>
    </row>
    <row r="507" spans="1:11" ht="36">
      <c r="A507" s="70"/>
      <c r="B507" s="71"/>
      <c r="C507" s="77"/>
      <c r="D507" s="75" t="s">
        <v>0</v>
      </c>
      <c r="E507" s="69" t="s">
        <v>1</v>
      </c>
      <c r="F507" s="107" t="s">
        <v>448</v>
      </c>
      <c r="G507" s="108" t="s">
        <v>1141</v>
      </c>
      <c r="H507" s="108" t="s">
        <v>1142</v>
      </c>
      <c r="I507" s="108" t="s">
        <v>1143</v>
      </c>
      <c r="J507" s="68" t="s">
        <v>251</v>
      </c>
    </row>
    <row r="508" spans="1:11" ht="29.25" customHeight="1">
      <c r="A508" s="60"/>
      <c r="B508" s="61"/>
      <c r="D508" s="73">
        <v>21</v>
      </c>
      <c r="E508" s="109">
        <f>INDEX('اکسسوری حذف از لیست اصلی'!C:C,MATCH(K508,'اکسسوری حذف از لیست اصلی'!T:T,0))</f>
        <v>9901030060</v>
      </c>
      <c r="F508" s="109" t="str">
        <f>INDEX('اکسسوری حذف از لیست اصلی'!D:D,MATCH(K508,'اکسسوری حذف از لیست اصلی'!T:T,0))</f>
        <v>ظرف پذيرايي سنگی مشکی DP-S060</v>
      </c>
      <c r="G508" s="110" t="str">
        <f>INDEX('اکسسوری حذف از لیست اصلی'!E:E,MATCH(K508,'اکسسوری حذف از لیست اصلی'!T:T,0))</f>
        <v>-</v>
      </c>
      <c r="H508" s="110">
        <f>INDEX('اکسسوری حذف از لیست اصلی'!F:F,MATCH(K508,'اکسسوری حذف از لیست اصلی'!T:T,0))</f>
        <v>0</v>
      </c>
      <c r="I508" s="110">
        <f>INDEX('اکسسوری حذف از لیست اصلی'!G:G,MATCH(K508,'اکسسوری حذف از لیست اصلی'!T:T,0))</f>
        <v>0</v>
      </c>
      <c r="J508" s="74">
        <f>INDEX('اکسسوری حذف از لیست اصلی'!J:J,MATCH(K508,'اکسسوری حذف از لیست اصلی'!T:T,0))</f>
        <v>93000000</v>
      </c>
      <c r="K508" s="64">
        <v>247</v>
      </c>
    </row>
    <row r="509" spans="1:11" ht="29.25" customHeight="1">
      <c r="A509" s="60"/>
      <c r="B509" s="61"/>
      <c r="C509" s="78"/>
      <c r="D509" s="79">
        <v>22</v>
      </c>
      <c r="E509" s="109">
        <f>INDEX('اکسسوری حذف از لیست اصلی'!C:C,MATCH(K509,'اکسسوری حذف از لیست اصلی'!T:T,0))</f>
        <v>9901030061</v>
      </c>
      <c r="F509" s="109" t="str">
        <f>INDEX('اکسسوری حذف از لیست اصلی'!D:D,MATCH(K509,'اکسسوری حذف از لیست اصلی'!T:T,0))</f>
        <v>ظرف پذيرايي سنگی مشکی DP-S061</v>
      </c>
      <c r="G509" s="110" t="str">
        <f>INDEX('اکسسوری حذف از لیست اصلی'!E:E,MATCH(K509,'اکسسوری حذف از لیست اصلی'!T:T,0))</f>
        <v>-</v>
      </c>
      <c r="H509" s="110">
        <f>INDEX('اکسسوری حذف از لیست اصلی'!F:F,MATCH(K509,'اکسسوری حذف از لیست اصلی'!T:T,0))</f>
        <v>0</v>
      </c>
      <c r="I509" s="110">
        <f>INDEX('اکسسوری حذف از لیست اصلی'!G:G,MATCH(K509,'اکسسوری حذف از لیست اصلی'!T:T,0))</f>
        <v>0</v>
      </c>
      <c r="J509" s="74">
        <f>INDEX('اکسسوری حذف از لیست اصلی'!J:J,MATCH(K509,'اکسسوری حذف از لیست اصلی'!T:T,0))</f>
        <v>68000000</v>
      </c>
      <c r="K509" s="64">
        <v>248</v>
      </c>
    </row>
    <row r="510" spans="1:11" ht="29.25" customHeight="1">
      <c r="A510" s="60"/>
      <c r="B510" s="61"/>
      <c r="D510" s="73">
        <v>23</v>
      </c>
      <c r="E510" s="109">
        <f>INDEX('اکسسوری حذف از لیست اصلی'!C:C,MATCH(K510,'اکسسوری حذف از لیست اصلی'!T:T,0))</f>
        <v>9901030062</v>
      </c>
      <c r="F510" s="109" t="str">
        <f>INDEX('اکسسوری حذف از لیست اصلی'!D:D,MATCH(K510,'اکسسوری حذف از لیست اصلی'!T:T,0))</f>
        <v>کاسه سنگی مشکی DP-S062</v>
      </c>
      <c r="G510" s="110" t="str">
        <f>INDEX('اکسسوری حذف از لیست اصلی'!E:E,MATCH(K510,'اکسسوری حذف از لیست اصلی'!T:T,0))</f>
        <v>-</v>
      </c>
      <c r="H510" s="110">
        <f>INDEX('اکسسوری حذف از لیست اصلی'!F:F,MATCH(K510,'اکسسوری حذف از لیست اصلی'!T:T,0))</f>
        <v>0</v>
      </c>
      <c r="I510" s="110">
        <f>INDEX('اکسسوری حذف از لیست اصلی'!G:G,MATCH(K510,'اکسسوری حذف از لیست اصلی'!T:T,0))</f>
        <v>0</v>
      </c>
      <c r="J510" s="74">
        <f>INDEX('اکسسوری حذف از لیست اصلی'!J:J,MATCH(K510,'اکسسوری حذف از لیست اصلی'!T:T,0))</f>
        <v>33000000</v>
      </c>
      <c r="K510" s="64">
        <v>249</v>
      </c>
    </row>
    <row r="511" spans="1:11" ht="29.25" customHeight="1">
      <c r="A511" s="60"/>
      <c r="B511" s="61"/>
      <c r="D511" s="79">
        <v>24</v>
      </c>
      <c r="E511" s="109">
        <f>INDEX('اکسسوری حذف از لیست اصلی'!C:C,MATCH(K511,'اکسسوری حذف از لیست اصلی'!T:T,0))</f>
        <v>9901030063</v>
      </c>
      <c r="F511" s="109" t="str">
        <f>INDEX('اکسسوری حذف از لیست اصلی'!D:D,MATCH(K511,'اکسسوری حذف از لیست اصلی'!T:T,0))</f>
        <v>پیش دستی سنگی مشکی DP-S063</v>
      </c>
      <c r="G511" s="110" t="str">
        <f>INDEX('اکسسوری حذف از لیست اصلی'!E:E,MATCH(K511,'اکسسوری حذف از لیست اصلی'!T:T,0))</f>
        <v>-</v>
      </c>
      <c r="H511" s="110">
        <f>INDEX('اکسسوری حذف از لیست اصلی'!F:F,MATCH(K511,'اکسسوری حذف از لیست اصلی'!T:T,0))</f>
        <v>0</v>
      </c>
      <c r="I511" s="110">
        <f>INDEX('اکسسوری حذف از لیست اصلی'!G:G,MATCH(K511,'اکسسوری حذف از لیست اصلی'!T:T,0))</f>
        <v>0</v>
      </c>
      <c r="J511" s="74">
        <f>INDEX('اکسسوری حذف از لیست اصلی'!J:J,MATCH(K511,'اکسسوری حذف از لیست اصلی'!T:T,0))</f>
        <v>36000000</v>
      </c>
      <c r="K511" s="64">
        <v>250</v>
      </c>
    </row>
    <row r="512" spans="1:11" ht="29.25" customHeight="1">
      <c r="A512" s="60"/>
      <c r="B512" s="61"/>
      <c r="D512" s="73">
        <v>25</v>
      </c>
      <c r="E512" s="109">
        <f>INDEX('اکسسوری حذف از لیست اصلی'!C:C,MATCH(K512,'اکسسوری حذف از لیست اصلی'!T:T,0))</f>
        <v>9901030128</v>
      </c>
      <c r="F512" s="109" t="str">
        <f>INDEX('اکسسوری حذف از لیست اصلی'!D:D,MATCH(K512,'اکسسوری حذف از لیست اصلی'!T:T,0))</f>
        <v>ظرف پذيرايي چوبی آکاژو DP-W128 قطر35</v>
      </c>
      <c r="G512" s="110" t="str">
        <f>INDEX('اکسسوری حذف از لیست اصلی'!E:E,MATCH(K512,'اکسسوری حذف از لیست اصلی'!T:T,0))</f>
        <v>35*35*10</v>
      </c>
      <c r="H512" s="110">
        <f>INDEX('اکسسوری حذف از لیست اصلی'!F:F,MATCH(K512,'اکسسوری حذف از لیست اصلی'!T:T,0))</f>
        <v>0</v>
      </c>
      <c r="I512" s="110">
        <f>INDEX('اکسسوری حذف از لیست اصلی'!G:G,MATCH(K512,'اکسسوری حذف از لیست اصلی'!T:T,0))</f>
        <v>0</v>
      </c>
      <c r="J512" s="74">
        <f>INDEX('اکسسوری حذف از لیست اصلی'!J:J,MATCH(K512,'اکسسوری حذف از لیست اصلی'!T:T,0))</f>
        <v>271000000</v>
      </c>
      <c r="K512" s="64">
        <v>251</v>
      </c>
    </row>
    <row r="513" spans="1:11" ht="29.25" customHeight="1">
      <c r="A513" s="60"/>
      <c r="B513" s="61"/>
      <c r="D513" s="79">
        <v>26</v>
      </c>
      <c r="E513" s="109">
        <f>INDEX('اکسسوری حذف از لیست اصلی'!C:C,MATCH(K513,'اکسسوری حذف از لیست اصلی'!T:T,0))</f>
        <v>9901030129</v>
      </c>
      <c r="F513" s="109" t="str">
        <f>INDEX('اکسسوری حذف از لیست اصلی'!D:D,MATCH(K513,'اکسسوری حذف از لیست اصلی'!T:T,0))</f>
        <v>ظرف پذيرايي چوبی آکاژو DP-W129 قطر25</v>
      </c>
      <c r="G513" s="110" t="str">
        <f>INDEX('اکسسوری حذف از لیست اصلی'!E:E,MATCH(K513,'اکسسوری حذف از لیست اصلی'!T:T,0))</f>
        <v>25*25*10</v>
      </c>
      <c r="H513" s="110">
        <f>INDEX('اکسسوری حذف از لیست اصلی'!F:F,MATCH(K513,'اکسسوری حذف از لیست اصلی'!T:T,0))</f>
        <v>0</v>
      </c>
      <c r="I513" s="110">
        <f>INDEX('اکسسوری حذف از لیست اصلی'!G:G,MATCH(K513,'اکسسوری حذف از لیست اصلی'!T:T,0))</f>
        <v>0</v>
      </c>
      <c r="J513" s="74">
        <f>INDEX('اکسسوری حذف از لیست اصلی'!J:J,MATCH(K513,'اکسسوری حذف از لیست اصلی'!T:T,0))</f>
        <v>158000000</v>
      </c>
      <c r="K513" s="64">
        <v>252</v>
      </c>
    </row>
    <row r="514" spans="1:11" ht="29.25" customHeight="1">
      <c r="A514" s="60"/>
      <c r="B514" s="61"/>
      <c r="D514" s="73">
        <v>27</v>
      </c>
      <c r="E514" s="109">
        <f>INDEX('اکسسوری حذف از لیست اصلی'!C:C,MATCH(K514,'اکسسوری حذف از لیست اصلی'!T:T,0))</f>
        <v>9901030132</v>
      </c>
      <c r="F514" s="109" t="str">
        <f>INDEX('اکسسوری حذف از لیست اصلی'!D:D,MATCH(K514,'اکسسوری حذف از لیست اصلی'!T:T,0))</f>
        <v>ظرف پذيرايي چوبی آکاژو DP-W132 قطر12</v>
      </c>
      <c r="G514" s="110" t="str">
        <f>INDEX('اکسسوری حذف از لیست اصلی'!E:E,MATCH(K514,'اکسسوری حذف از لیست اصلی'!T:T,0))</f>
        <v>12*12*10</v>
      </c>
      <c r="H514" s="110">
        <f>INDEX('اکسسوری حذف از لیست اصلی'!F:F,MATCH(K514,'اکسسوری حذف از لیست اصلی'!T:T,0))</f>
        <v>0</v>
      </c>
      <c r="I514" s="110">
        <f>INDEX('اکسسوری حذف از لیست اصلی'!G:G,MATCH(K514,'اکسسوری حذف از لیست اصلی'!T:T,0))</f>
        <v>0</v>
      </c>
      <c r="J514" s="74">
        <f>INDEX('اکسسوری حذف از لیست اصلی'!J:J,MATCH(K514,'اکسسوری حذف از لیست اصلی'!T:T,0))</f>
        <v>82000000</v>
      </c>
      <c r="K514" s="64">
        <v>253</v>
      </c>
    </row>
    <row r="515" spans="1:11" ht="29.25" customHeight="1">
      <c r="A515" s="60"/>
      <c r="B515" s="61"/>
      <c r="D515" s="79">
        <v>28</v>
      </c>
      <c r="E515" s="109">
        <f>INDEX('اکسسوری حذف از لیست اصلی'!C:C,MATCH(K515,'اکسسوری حذف از لیست اصلی'!T:T,0))</f>
        <v>9901030160</v>
      </c>
      <c r="F515" s="109" t="str">
        <f>INDEX('اکسسوری حذف از لیست اصلی'!D:D,MATCH(K515,'اکسسوری حذف از لیست اصلی'!T:T,0))</f>
        <v>کاسه بزرگ سرامیکی طوسی DP-CR160</v>
      </c>
      <c r="G515" s="110" t="str">
        <f>INDEX('اکسسوری حذف از لیست اصلی'!E:E,MATCH(K515,'اکسسوری حذف از لیست اصلی'!T:T,0))</f>
        <v>15*15*5/5</v>
      </c>
      <c r="H515" s="110">
        <f>INDEX('اکسسوری حذف از لیست اصلی'!F:F,MATCH(K515,'اکسسوری حذف از لیست اصلی'!T:T,0))</f>
        <v>0</v>
      </c>
      <c r="I515" s="110">
        <f>INDEX('اکسسوری حذف از لیست اصلی'!G:G,MATCH(K515,'اکسسوری حذف از لیست اصلی'!T:T,0))</f>
        <v>0</v>
      </c>
      <c r="J515" s="74">
        <f>INDEX('اکسسوری حذف از لیست اصلی'!J:J,MATCH(K515,'اکسسوری حذف از لیست اصلی'!T:T,0))</f>
        <v>9000000</v>
      </c>
      <c r="K515" s="64">
        <v>254</v>
      </c>
    </row>
    <row r="516" spans="1:11" ht="29.25" customHeight="1">
      <c r="A516" s="60"/>
      <c r="B516" s="61"/>
      <c r="D516" s="73">
        <v>29</v>
      </c>
      <c r="E516" s="109">
        <f>INDEX('اکسسوری حذف از لیست اصلی'!C:C,MATCH(K516,'اکسسوری حذف از لیست اصلی'!T:T,0))</f>
        <v>9901030164</v>
      </c>
      <c r="F516" s="109" t="str">
        <f>INDEX('اکسسوری حذف از لیست اصلی'!D:D,MATCH(K516,'اکسسوری حذف از لیست اصلی'!T:T,0))</f>
        <v>بشقاب سرامیکی طوسی DP-CR164</v>
      </c>
      <c r="G516" s="110" t="str">
        <f>INDEX('اکسسوری حذف از لیست اصلی'!E:E,MATCH(K516,'اکسسوری حذف از لیست اصلی'!T:T,0))</f>
        <v>26*26</v>
      </c>
      <c r="H516" s="110">
        <f>INDEX('اکسسوری حذف از لیست اصلی'!F:F,MATCH(K516,'اکسسوری حذف از لیست اصلی'!T:T,0))</f>
        <v>0</v>
      </c>
      <c r="I516" s="110">
        <f>INDEX('اکسسوری حذف از لیست اصلی'!G:G,MATCH(K516,'اکسسوری حذف از لیست اصلی'!T:T,0))</f>
        <v>0</v>
      </c>
      <c r="J516" s="74">
        <f>INDEX('اکسسوری حذف از لیست اصلی'!J:J,MATCH(K516,'اکسسوری حذف از لیست اصلی'!T:T,0))</f>
        <v>14000000</v>
      </c>
      <c r="K516" s="64">
        <v>255</v>
      </c>
    </row>
    <row r="517" spans="1:11" ht="29.25" customHeight="1">
      <c r="A517" s="60"/>
      <c r="B517" s="61"/>
      <c r="D517" s="79">
        <v>30</v>
      </c>
      <c r="E517" s="109">
        <f>INDEX('اکسسوری حذف از لیست اصلی'!C:C,MATCH(K517,'اکسسوری حذف از لیست اصلی'!T:T,0))</f>
        <v>9901030165</v>
      </c>
      <c r="F517" s="109" t="str">
        <f>INDEX('اکسسوری حذف از لیست اصلی'!D:D,MATCH(K517,'اکسسوری حذف از لیست اصلی'!T:T,0))</f>
        <v>پیش دستی سرامیکی کرم DP-CR165</v>
      </c>
      <c r="G517" s="110" t="str">
        <f>INDEX('اکسسوری حذف از لیست اصلی'!E:E,MATCH(K517,'اکسسوری حذف از لیست اصلی'!T:T,0))</f>
        <v>21*21</v>
      </c>
      <c r="H517" s="110">
        <f>INDEX('اکسسوری حذف از لیست اصلی'!F:F,MATCH(K517,'اکسسوری حذف از لیست اصلی'!T:T,0))</f>
        <v>0</v>
      </c>
      <c r="I517" s="110">
        <f>INDEX('اکسسوری حذف از لیست اصلی'!G:G,MATCH(K517,'اکسسوری حذف از لیست اصلی'!T:T,0))</f>
        <v>0</v>
      </c>
      <c r="J517" s="74">
        <f>INDEX('اکسسوری حذف از لیست اصلی'!J:J,MATCH(K517,'اکسسوری حذف از لیست اصلی'!T:T,0))</f>
        <v>11000000</v>
      </c>
      <c r="K517" s="64">
        <v>256</v>
      </c>
    </row>
    <row r="518" spans="1:11" ht="29.25" customHeight="1">
      <c r="A518" s="60"/>
      <c r="B518" s="61"/>
      <c r="D518" s="73">
        <v>31</v>
      </c>
      <c r="E518" s="109">
        <f>INDEX('اکسسوری حذف از لیست اصلی'!C:C,MATCH(K518,'اکسسوری حذف از لیست اصلی'!T:T,0))</f>
        <v>9901030166</v>
      </c>
      <c r="F518" s="109" t="str">
        <f>INDEX('اکسسوری حذف از لیست اصلی'!D:D,MATCH(K518,'اکسسوری حذف از لیست اصلی'!T:T,0))</f>
        <v>پیش دستی سرامیکی سبز DP-CR166</v>
      </c>
      <c r="G518" s="110" t="str">
        <f>INDEX('اکسسوری حذف از لیست اصلی'!E:E,MATCH(K518,'اکسسوری حذف از لیست اصلی'!T:T,0))</f>
        <v>21*21</v>
      </c>
      <c r="H518" s="110">
        <f>INDEX('اکسسوری حذف از لیست اصلی'!F:F,MATCH(K518,'اکسسوری حذف از لیست اصلی'!T:T,0))</f>
        <v>0</v>
      </c>
      <c r="I518" s="110">
        <f>INDEX('اکسسوری حذف از لیست اصلی'!G:G,MATCH(K518,'اکسسوری حذف از لیست اصلی'!T:T,0))</f>
        <v>0</v>
      </c>
      <c r="J518" s="74">
        <f>INDEX('اکسسوری حذف از لیست اصلی'!J:J,MATCH(K518,'اکسسوری حذف از لیست اصلی'!T:T,0))</f>
        <v>11000000</v>
      </c>
      <c r="K518" s="64">
        <v>257</v>
      </c>
    </row>
    <row r="519" spans="1:11" ht="29.25" customHeight="1">
      <c r="A519" s="60"/>
      <c r="B519" s="61"/>
      <c r="D519" s="79">
        <v>32</v>
      </c>
      <c r="E519" s="109">
        <f>INDEX('اکسسوری حذف از لیست اصلی'!C:C,MATCH(K519,'اکسسوری حذف از لیست اصلی'!T:T,0))</f>
        <v>9901030167</v>
      </c>
      <c r="F519" s="109" t="str">
        <f>INDEX('اکسسوری حذف از لیست اصلی'!D:D,MATCH(K519,'اکسسوری حذف از لیست اصلی'!T:T,0))</f>
        <v>پیش دستی سرامیکی طوسی DP-CR167</v>
      </c>
      <c r="G519" s="110" t="str">
        <f>INDEX('اکسسوری حذف از لیست اصلی'!E:E,MATCH(K519,'اکسسوری حذف از لیست اصلی'!T:T,0))</f>
        <v>21*21</v>
      </c>
      <c r="H519" s="110">
        <f>INDEX('اکسسوری حذف از لیست اصلی'!F:F,MATCH(K519,'اکسسوری حذف از لیست اصلی'!T:T,0))</f>
        <v>0</v>
      </c>
      <c r="I519" s="110">
        <f>INDEX('اکسسوری حذف از لیست اصلی'!G:G,MATCH(K519,'اکسسوری حذف از لیست اصلی'!T:T,0))</f>
        <v>0</v>
      </c>
      <c r="J519" s="74">
        <f>INDEX('اکسسوری حذف از لیست اصلی'!J:J,MATCH(K519,'اکسسوری حذف از لیست اصلی'!T:T,0))</f>
        <v>11000000</v>
      </c>
      <c r="K519" s="64">
        <v>258</v>
      </c>
    </row>
    <row r="520" spans="1:11" ht="29.25" customHeight="1">
      <c r="A520" s="60"/>
      <c r="B520" s="61"/>
      <c r="D520" s="73">
        <v>33</v>
      </c>
      <c r="E520" s="109">
        <f>INDEX('اکسسوری حذف از لیست اصلی'!C:C,MATCH(K520,'اکسسوری حذف از لیست اصلی'!T:T,0))</f>
        <v>9901030171</v>
      </c>
      <c r="F520" s="109" t="str">
        <f>INDEX('اکسسوری حذف از لیست اصلی'!D:D,MATCH(K520,'اکسسوری حذف از لیست اصلی'!T:T,0))</f>
        <v>کاسه کوچک سرامیکی طوسی DP-CR171</v>
      </c>
      <c r="G520" s="110" t="str">
        <f>INDEX('اکسسوری حذف از لیست اصلی'!E:E,MATCH(K520,'اکسسوری حذف از لیست اصلی'!T:T,0))</f>
        <v>10*10*5/5</v>
      </c>
      <c r="H520" s="110">
        <f>INDEX('اکسسوری حذف از لیست اصلی'!F:F,MATCH(K520,'اکسسوری حذف از لیست اصلی'!T:T,0))</f>
        <v>0</v>
      </c>
      <c r="I520" s="110">
        <f>INDEX('اکسسوری حذف از لیست اصلی'!G:G,MATCH(K520,'اکسسوری حذف از لیست اصلی'!T:T,0))</f>
        <v>0</v>
      </c>
      <c r="J520" s="74">
        <f>INDEX('اکسسوری حذف از لیست اصلی'!J:J,MATCH(K520,'اکسسوری حذف از لیست اصلی'!T:T,0))</f>
        <v>6000000</v>
      </c>
      <c r="K520" s="64">
        <v>259</v>
      </c>
    </row>
    <row r="521" spans="1:11" ht="29.25" customHeight="1">
      <c r="A521" s="60"/>
      <c r="B521" s="61"/>
      <c r="D521" s="79">
        <v>34</v>
      </c>
      <c r="E521" s="109">
        <f>INDEX('اکسسوری حذف از لیست اصلی'!C:C,MATCH(K521,'اکسسوری حذف از لیست اصلی'!T:T,0))</f>
        <v>9901030203</v>
      </c>
      <c r="F521" s="109" t="str">
        <f>INDEX('اکسسوری حذف از لیست اصلی'!D:D,MATCH(K521,'اکسسوری حذف از لیست اصلی'!T:T,0))</f>
        <v>ماگ سرامیکی نسکافه ای DP-CR203</v>
      </c>
      <c r="G521" s="110" t="str">
        <f>INDEX('اکسسوری حذف از لیست اصلی'!E:E,MATCH(K521,'اکسسوری حذف از لیست اصلی'!T:T,0))</f>
        <v>-</v>
      </c>
      <c r="H521" s="110">
        <f>INDEX('اکسسوری حذف از لیست اصلی'!F:F,MATCH(K521,'اکسسوری حذف از لیست اصلی'!T:T,0))</f>
        <v>0</v>
      </c>
      <c r="I521" s="110">
        <f>INDEX('اکسسوری حذف از لیست اصلی'!G:G,MATCH(K521,'اکسسوری حذف از لیست اصلی'!T:T,0))</f>
        <v>0</v>
      </c>
      <c r="J521" s="74">
        <f>INDEX('اکسسوری حذف از لیست اصلی'!J:J,MATCH(K521,'اکسسوری حذف از لیست اصلی'!T:T,0))</f>
        <v>10000000</v>
      </c>
      <c r="K521" s="64">
        <v>260</v>
      </c>
    </row>
    <row r="522" spans="1:11" ht="29.25" customHeight="1">
      <c r="A522" s="60"/>
      <c r="B522" s="61"/>
      <c r="D522" s="73">
        <v>35</v>
      </c>
      <c r="E522" s="109">
        <f>INDEX('اکسسوری حذف از لیست اصلی'!C:C,MATCH(K522,'اکسسوری حذف از لیست اصلی'!T:T,0))</f>
        <v>9901030207</v>
      </c>
      <c r="F522" s="109" t="str">
        <f>INDEX('اکسسوری حذف از لیست اصلی'!D:D,MATCH(K522,'اکسسوری حذف از لیست اصلی'!T:T,0))</f>
        <v>پیش دستی مثلثی سرامیکی نسکافه ای DP-CR207</v>
      </c>
      <c r="G522" s="110" t="str">
        <f>INDEX('اکسسوری حذف از لیست اصلی'!E:E,MATCH(K522,'اکسسوری حذف از لیست اصلی'!T:T,0))</f>
        <v>-</v>
      </c>
      <c r="H522" s="110">
        <f>INDEX('اکسسوری حذف از لیست اصلی'!F:F,MATCH(K522,'اکسسوری حذف از لیست اصلی'!T:T,0))</f>
        <v>0</v>
      </c>
      <c r="I522" s="110">
        <f>INDEX('اکسسوری حذف از لیست اصلی'!G:G,MATCH(K522,'اکسسوری حذف از لیست اصلی'!T:T,0))</f>
        <v>0</v>
      </c>
      <c r="J522" s="74">
        <f>INDEX('اکسسوری حذف از لیست اصلی'!J:J,MATCH(K522,'اکسسوری حذف از لیست اصلی'!T:T,0))</f>
        <v>7000000</v>
      </c>
      <c r="K522" s="64">
        <v>261</v>
      </c>
    </row>
    <row r="523" spans="1:11" ht="29.25" customHeight="1">
      <c r="A523" s="60"/>
      <c r="B523" s="61"/>
      <c r="D523" s="79">
        <v>36</v>
      </c>
      <c r="E523" s="109">
        <f>INDEX('اکسسوری حذف از لیست اصلی'!C:C,MATCH(K523,'اکسسوری حذف از لیست اصلی'!T:T,0))</f>
        <v>9901030212</v>
      </c>
      <c r="F523" s="109" t="str">
        <f>INDEX('اکسسوری حذف از لیست اصلی'!D:D,MATCH(K523,'اکسسوری حذف از لیست اصلی'!T:T,0))</f>
        <v>پیش دستی مثلثی سرامیکی کرم DP-CR212</v>
      </c>
      <c r="G523" s="110" t="str">
        <f>INDEX('اکسسوری حذف از لیست اصلی'!E:E,MATCH(K523,'اکسسوری حذف از لیست اصلی'!T:T,0))</f>
        <v>-</v>
      </c>
      <c r="H523" s="110">
        <f>INDEX('اکسسوری حذف از لیست اصلی'!F:F,MATCH(K523,'اکسسوری حذف از لیست اصلی'!T:T,0))</f>
        <v>0</v>
      </c>
      <c r="I523" s="110">
        <f>INDEX('اکسسوری حذف از لیست اصلی'!G:G,MATCH(K523,'اکسسوری حذف از لیست اصلی'!T:T,0))</f>
        <v>0</v>
      </c>
      <c r="J523" s="74">
        <f>INDEX('اکسسوری حذف از لیست اصلی'!J:J,MATCH(K523,'اکسسوری حذف از لیست اصلی'!T:T,0))</f>
        <v>7000000</v>
      </c>
      <c r="K523" s="64">
        <v>262</v>
      </c>
    </row>
    <row r="524" spans="1:11" ht="29.25" customHeight="1">
      <c r="A524" s="60"/>
      <c r="B524" s="61"/>
      <c r="D524" s="73">
        <v>37</v>
      </c>
      <c r="E524" s="109">
        <f>INDEX('اکسسوری حذف از لیست اصلی'!C:C,MATCH(K524,'اکسسوری حذف از لیست اصلی'!T:T,0))</f>
        <v>9901030213</v>
      </c>
      <c r="F524" s="109" t="str">
        <f>INDEX('اکسسوری حذف از لیست اصلی'!D:D,MATCH(K524,'اکسسوری حذف از لیست اصلی'!T:T,0))</f>
        <v>پیش دستی بیضی سرامیکی کرم DP-CR213</v>
      </c>
      <c r="G524" s="110" t="str">
        <f>INDEX('اکسسوری حذف از لیست اصلی'!E:E,MATCH(K524,'اکسسوری حذف از لیست اصلی'!T:T,0))</f>
        <v>-</v>
      </c>
      <c r="H524" s="110">
        <f>INDEX('اکسسوری حذف از لیست اصلی'!F:F,MATCH(K524,'اکسسوری حذف از لیست اصلی'!T:T,0))</f>
        <v>0</v>
      </c>
      <c r="I524" s="110">
        <f>INDEX('اکسسوری حذف از لیست اصلی'!G:G,MATCH(K524,'اکسسوری حذف از لیست اصلی'!T:T,0))</f>
        <v>0</v>
      </c>
      <c r="J524" s="74">
        <f>INDEX('اکسسوری حذف از لیست اصلی'!J:J,MATCH(K524,'اکسسوری حذف از لیست اصلی'!T:T,0))</f>
        <v>7000000</v>
      </c>
      <c r="K524" s="64">
        <v>263</v>
      </c>
    </row>
    <row r="525" spans="1:11" ht="29.25" customHeight="1">
      <c r="A525" s="60"/>
      <c r="B525" s="61"/>
      <c r="D525" s="79">
        <v>38</v>
      </c>
      <c r="E525" s="109">
        <f>INDEX('اکسسوری حذف از لیست اصلی'!C:C,MATCH(K525,'اکسسوری حذف از لیست اصلی'!T:T,0))</f>
        <v>9901030216</v>
      </c>
      <c r="F525" s="109" t="str">
        <f>INDEX('اکسسوری حذف از لیست اصلی'!D:D,MATCH(K525,'اکسسوری حذف از لیست اصلی'!T:T,0))</f>
        <v>ماگ سرامیکی کرمDP-CR216</v>
      </c>
      <c r="G525" s="110" t="str">
        <f>INDEX('اکسسوری حذف از لیست اصلی'!E:E,MATCH(K525,'اکسسوری حذف از لیست اصلی'!T:T,0))</f>
        <v>-</v>
      </c>
      <c r="H525" s="110">
        <f>INDEX('اکسسوری حذف از لیست اصلی'!F:F,MATCH(K525,'اکسسوری حذف از لیست اصلی'!T:T,0))</f>
        <v>0</v>
      </c>
      <c r="I525" s="110">
        <f>INDEX('اکسسوری حذف از لیست اصلی'!G:G,MATCH(K525,'اکسسوری حذف از لیست اصلی'!T:T,0))</f>
        <v>0</v>
      </c>
      <c r="J525" s="74">
        <f>INDEX('اکسسوری حذف از لیست اصلی'!J:J,MATCH(K525,'اکسسوری حذف از لیست اصلی'!T:T,0))</f>
        <v>10000000</v>
      </c>
      <c r="K525" s="64">
        <v>264</v>
      </c>
    </row>
    <row r="526" spans="1:11" ht="29.25" customHeight="1">
      <c r="A526" s="60"/>
      <c r="B526" s="61"/>
      <c r="D526" s="73">
        <v>39</v>
      </c>
      <c r="E526" s="109">
        <f>INDEX('اکسسوری حذف از لیست اصلی'!C:C,MATCH(K526,'اکسسوری حذف از لیست اصلی'!T:T,0))</f>
        <v>9901030241</v>
      </c>
      <c r="F526" s="109" t="str">
        <f>INDEX('اکسسوری حذف از لیست اصلی'!D:D,MATCH(K526,'اکسسوری حذف از لیست اصلی'!T:T,0))</f>
        <v>فنجان نعلبکی سرامیکی نسکافه ای DP-CR241</v>
      </c>
      <c r="G526" s="110" t="str">
        <f>INDEX('اکسسوری حذف از لیست اصلی'!E:E,MATCH(K526,'اکسسوری حذف از لیست اصلی'!T:T,0))</f>
        <v>-</v>
      </c>
      <c r="H526" s="110">
        <f>INDEX('اکسسوری حذف از لیست اصلی'!F:F,MATCH(K526,'اکسسوری حذف از لیست اصلی'!T:T,0))</f>
        <v>0</v>
      </c>
      <c r="I526" s="110">
        <f>INDEX('اکسسوری حذف از لیست اصلی'!G:G,MATCH(K526,'اکسسوری حذف از لیست اصلی'!T:T,0))</f>
        <v>0</v>
      </c>
      <c r="J526" s="74">
        <f>INDEX('اکسسوری حذف از لیست اصلی'!J:J,MATCH(K526,'اکسسوری حذف از لیست اصلی'!T:T,0))</f>
        <v>10000000</v>
      </c>
      <c r="K526" s="64">
        <v>265</v>
      </c>
    </row>
    <row r="527" spans="1:11" ht="29.25" customHeight="1">
      <c r="A527" s="60"/>
      <c r="B527" s="61"/>
      <c r="D527" s="79">
        <v>40</v>
      </c>
      <c r="E527" s="109">
        <f>INDEX('اکسسوری حذف از لیست اصلی'!C:C,MATCH(K527,'اکسسوری حذف از لیست اصلی'!T:T,0))</f>
        <v>9901030244</v>
      </c>
      <c r="F527" s="109" t="str">
        <f>INDEX('اکسسوری حذف از لیست اصلی'!D:D,MATCH(K527,'اکسسوری حذف از لیست اصلی'!T:T,0))</f>
        <v>ماگ سرامیکی کرم DP-CR244</v>
      </c>
      <c r="G527" s="110" t="str">
        <f>INDEX('اکسسوری حذف از لیست اصلی'!E:E,MATCH(K527,'اکسسوری حذف از لیست اصلی'!T:T,0))</f>
        <v>-</v>
      </c>
      <c r="H527" s="110">
        <f>INDEX('اکسسوری حذف از لیست اصلی'!F:F,MATCH(K527,'اکسسوری حذف از لیست اصلی'!T:T,0))</f>
        <v>0</v>
      </c>
      <c r="I527" s="110">
        <f>INDEX('اکسسوری حذف از لیست اصلی'!G:G,MATCH(K527,'اکسسوری حذف از لیست اصلی'!T:T,0))</f>
        <v>0</v>
      </c>
      <c r="J527" s="74">
        <f>INDEX('اکسسوری حذف از لیست اصلی'!J:J,MATCH(K527,'اکسسوری حذف از لیست اصلی'!T:T,0))</f>
        <v>10000000</v>
      </c>
      <c r="K527" s="64">
        <v>266</v>
      </c>
    </row>
    <row r="528" spans="1:11" ht="12.75" customHeight="1">
      <c r="A528" s="60"/>
      <c r="B528" s="61"/>
      <c r="D528"/>
      <c r="E528"/>
      <c r="F528"/>
      <c r="G528"/>
      <c r="H528"/>
      <c r="I528"/>
      <c r="J528"/>
    </row>
    <row r="529" spans="1:11">
      <c r="A529" s="60"/>
      <c r="B529" s="61"/>
      <c r="J529" s="74">
        <v>18</v>
      </c>
    </row>
    <row r="530" spans="1:11" ht="18" customHeight="1">
      <c r="A530" s="60"/>
      <c r="B530" s="61"/>
      <c r="C530" s="183"/>
      <c r="D530" s="184"/>
      <c r="E530" s="184"/>
      <c r="F530" s="184"/>
      <c r="G530" s="184"/>
      <c r="H530" s="184"/>
      <c r="I530" s="184"/>
      <c r="J530" s="184"/>
    </row>
    <row r="531" spans="1:11" ht="18" customHeight="1">
      <c r="A531" s="60"/>
      <c r="B531" s="61"/>
      <c r="C531" s="183"/>
      <c r="D531" s="184"/>
      <c r="E531" s="184"/>
      <c r="F531" s="184"/>
      <c r="G531" s="184"/>
      <c r="H531" s="184"/>
      <c r="I531" s="184"/>
      <c r="J531" s="184"/>
    </row>
    <row r="532" spans="1:11" ht="27.75">
      <c r="A532" s="60"/>
      <c r="B532" s="61"/>
      <c r="C532" s="72"/>
      <c r="D532" s="67" t="s">
        <v>937</v>
      </c>
      <c r="J532" s="68" t="str">
        <f>$N$1</f>
        <v>1405/02/23</v>
      </c>
    </row>
    <row r="533" spans="1:11" ht="36">
      <c r="A533" s="60"/>
      <c r="B533" s="61"/>
      <c r="C533" s="77"/>
      <c r="D533" s="75" t="s">
        <v>0</v>
      </c>
      <c r="E533" s="69" t="s">
        <v>1</v>
      </c>
      <c r="F533" s="107" t="s">
        <v>448</v>
      </c>
      <c r="G533" s="108" t="s">
        <v>1141</v>
      </c>
      <c r="H533" s="108" t="s">
        <v>1142</v>
      </c>
      <c r="I533" s="108" t="s">
        <v>1143</v>
      </c>
      <c r="J533" s="68" t="s">
        <v>251</v>
      </c>
    </row>
    <row r="534" spans="1:11" ht="27" customHeight="1">
      <c r="A534" s="60"/>
      <c r="B534" s="61"/>
      <c r="D534" s="73">
        <v>41</v>
      </c>
      <c r="E534" s="109">
        <f>INDEX('اکسسوری حذف از لیست اصلی'!C:C,MATCH(K534,'اکسسوری حذف از لیست اصلی'!T:T,0))</f>
        <v>9901030245</v>
      </c>
      <c r="F534" s="109" t="str">
        <f>INDEX('اکسسوری حذف از لیست اصلی'!D:D,MATCH(K534,'اکسسوری حذف از لیست اصلی'!T:T,0))</f>
        <v>کاسه بزرگ سرامیکی ذغالی DP-CR245</v>
      </c>
      <c r="G534" s="110" t="str">
        <f>INDEX('اکسسوری حذف از لیست اصلی'!E:E,MATCH(K534,'اکسسوری حذف از لیست اصلی'!T:T,0))</f>
        <v>-</v>
      </c>
      <c r="H534" s="110">
        <f>INDEX('اکسسوری حذف از لیست اصلی'!F:F,MATCH(K534,'اکسسوری حذف از لیست اصلی'!T:T,0))</f>
        <v>0</v>
      </c>
      <c r="I534" s="110">
        <f>INDEX('اکسسوری حذف از لیست اصلی'!G:G,MATCH(K534,'اکسسوری حذف از لیست اصلی'!T:T,0))</f>
        <v>0</v>
      </c>
      <c r="J534" s="74">
        <f>INDEX('اکسسوری حذف از لیست اصلی'!J:J,MATCH(K534,'اکسسوری حذف از لیست اصلی'!T:T,0))</f>
        <v>43000000</v>
      </c>
      <c r="K534" s="64">
        <v>267</v>
      </c>
    </row>
    <row r="535" spans="1:11" ht="27" customHeight="1">
      <c r="A535" s="60"/>
      <c r="B535" s="61"/>
      <c r="C535" s="78"/>
      <c r="D535" s="79">
        <v>42</v>
      </c>
      <c r="E535" s="109">
        <f>INDEX('اکسسوری حذف از لیست اصلی'!C:C,MATCH(K535,'اکسسوری حذف از لیست اصلی'!T:T,0))</f>
        <v>9901030297</v>
      </c>
      <c r="F535" s="109" t="str">
        <f>INDEX('اکسسوری حذف از لیست اصلی'!D:D,MATCH(K535,'اکسسوری حذف از لیست اصلی'!T:T,0))</f>
        <v>ظرف پذيرايي آلومنیومی کوچک نقره ای DP-A297</v>
      </c>
      <c r="G535" s="110" t="str">
        <f>INDEX('اکسسوری حذف از لیست اصلی'!E:E,MATCH(K535,'اکسسوری حذف از لیست اصلی'!T:T,0))</f>
        <v>23*15*12</v>
      </c>
      <c r="H535" s="110">
        <f>INDEX('اکسسوری حذف از لیست اصلی'!F:F,MATCH(K535,'اکسسوری حذف از لیست اصلی'!T:T,0))</f>
        <v>0</v>
      </c>
      <c r="I535" s="110">
        <f>INDEX('اکسسوری حذف از لیست اصلی'!G:G,MATCH(K535,'اکسسوری حذف از لیست اصلی'!T:T,0))</f>
        <v>0</v>
      </c>
      <c r="J535" s="74">
        <f>INDEX('اکسسوری حذف از لیست اصلی'!J:J,MATCH(K535,'اکسسوری حذف از لیست اصلی'!T:T,0))</f>
        <v>66000000</v>
      </c>
      <c r="K535" s="64">
        <v>268</v>
      </c>
    </row>
    <row r="536" spans="1:11" ht="27" customHeight="1">
      <c r="A536" s="60"/>
      <c r="B536" s="61"/>
      <c r="D536" s="73">
        <v>43</v>
      </c>
      <c r="E536" s="109">
        <f>INDEX('اکسسوری حذف از لیست اصلی'!C:C,MATCH(K536,'اکسسوری حذف از لیست اصلی'!T:T,0))</f>
        <v>9901030303</v>
      </c>
      <c r="F536" s="109" t="str">
        <f>INDEX('اکسسوری حذف از لیست اصلی'!D:D,MATCH(K536,'اکسسوری حذف از لیست اصلی'!T:T,0))</f>
        <v>اردو خوری آلومنیومی نقره ایDP-A303</v>
      </c>
      <c r="G536" s="110" t="str">
        <f>INDEX('اکسسوری حذف از لیست اصلی'!E:E,MATCH(K536,'اکسسوری حذف از لیست اصلی'!T:T,0))</f>
        <v>43*9/5*6/5</v>
      </c>
      <c r="H536" s="110">
        <f>INDEX('اکسسوری حذف از لیست اصلی'!F:F,MATCH(K536,'اکسسوری حذف از لیست اصلی'!T:T,0))</f>
        <v>0</v>
      </c>
      <c r="I536" s="110">
        <f>INDEX('اکسسوری حذف از لیست اصلی'!G:G,MATCH(K536,'اکسسوری حذف از لیست اصلی'!T:T,0))</f>
        <v>0</v>
      </c>
      <c r="J536" s="74">
        <f>INDEX('اکسسوری حذف از لیست اصلی'!J:J,MATCH(K536,'اکسسوری حذف از لیست اصلی'!T:T,0))</f>
        <v>81000000</v>
      </c>
      <c r="K536" s="64">
        <v>269</v>
      </c>
    </row>
    <row r="537" spans="1:11" ht="27" customHeight="1">
      <c r="A537" s="60"/>
      <c r="B537" s="61"/>
      <c r="D537" s="79">
        <v>44</v>
      </c>
      <c r="E537" s="109">
        <f>INDEX('اکسسوری حذف از لیست اصلی'!C:C,MATCH(K537,'اکسسوری حذف از لیست اصلی'!T:T,0))</f>
        <v>9901030305</v>
      </c>
      <c r="F537" s="109" t="str">
        <f>INDEX('اکسسوری حذف از لیست اصلی'!D:D,MATCH(K537,'اکسسوری حذف از لیست اصلی'!T:T,0))</f>
        <v>ظرف پذيرايي آلومنیومی دوسایز نقره ای DP-A305</v>
      </c>
      <c r="G537" s="110" t="str">
        <f>INDEX('اکسسوری حذف از لیست اصلی'!E:E,MATCH(K537,'اکسسوری حذف از لیست اصلی'!T:T,0))</f>
        <v>-</v>
      </c>
      <c r="H537" s="110">
        <f>INDEX('اکسسوری حذف از لیست اصلی'!F:F,MATCH(K537,'اکسسوری حذف از لیست اصلی'!T:T,0))</f>
        <v>0</v>
      </c>
      <c r="I537" s="110">
        <f>INDEX('اکسسوری حذف از لیست اصلی'!G:G,MATCH(K537,'اکسسوری حذف از لیست اصلی'!T:T,0))</f>
        <v>0</v>
      </c>
      <c r="J537" s="74">
        <f>INDEX('اکسسوری حذف از لیست اصلی'!J:J,MATCH(K537,'اکسسوری حذف از لیست اصلی'!T:T,0))</f>
        <v>132000000</v>
      </c>
      <c r="K537" s="64">
        <v>270</v>
      </c>
    </row>
    <row r="538" spans="1:11" ht="27" customHeight="1">
      <c r="A538" s="60"/>
      <c r="B538" s="61"/>
      <c r="D538" s="73">
        <v>45</v>
      </c>
      <c r="E538" s="109">
        <f>INDEX('اکسسوری حذف از لیست اصلی'!C:C,MATCH(K538,'اکسسوری حذف از لیست اصلی'!T:T,0))</f>
        <v>9901030306</v>
      </c>
      <c r="F538" s="109" t="str">
        <f>INDEX('اکسسوری حذف از لیست اصلی'!D:D,MATCH(K538,'اکسسوری حذف از لیست اصلی'!T:T,0))</f>
        <v>ظرف پذيرايي آلومنیومی دوسایز طلایی DP-A306</v>
      </c>
      <c r="G538" s="110" t="str">
        <f>INDEX('اکسسوری حذف از لیست اصلی'!E:E,MATCH(K538,'اکسسوری حذف از لیست اصلی'!T:T,0))</f>
        <v>-</v>
      </c>
      <c r="H538" s="110">
        <f>INDEX('اکسسوری حذف از لیست اصلی'!F:F,MATCH(K538,'اکسسوری حذف از لیست اصلی'!T:T,0))</f>
        <v>0</v>
      </c>
      <c r="I538" s="110">
        <f>INDEX('اکسسوری حذف از لیست اصلی'!G:G,MATCH(K538,'اکسسوری حذف از لیست اصلی'!T:T,0))</f>
        <v>0</v>
      </c>
      <c r="J538" s="74">
        <f>INDEX('اکسسوری حذف از لیست اصلی'!J:J,MATCH(K538,'اکسسوری حذف از لیست اصلی'!T:T,0))</f>
        <v>112000000</v>
      </c>
      <c r="K538" s="64">
        <v>271</v>
      </c>
    </row>
    <row r="539" spans="1:11" ht="27" customHeight="1">
      <c r="A539" s="60"/>
      <c r="B539" s="61"/>
      <c r="D539" s="79">
        <v>46</v>
      </c>
      <c r="E539" s="109">
        <f>INDEX('اکسسوری حذف از لیست اصلی'!C:C,MATCH(K539,'اکسسوری حذف از لیست اصلی'!T:T,0))</f>
        <v>9901030309</v>
      </c>
      <c r="F539" s="109" t="str">
        <f>INDEX('اکسسوری حذف از لیست اصلی'!D:D,MATCH(K539,'اکسسوری حذف از لیست اصلی'!T:T,0))</f>
        <v>سینی آلومنیومی نقره ای DP-A309</v>
      </c>
      <c r="G539" s="110" t="str">
        <f>INDEX('اکسسوری حذف از لیست اصلی'!E:E,MATCH(K539,'اکسسوری حذف از لیست اصلی'!T:T,0))</f>
        <v>40*37*3</v>
      </c>
      <c r="H539" s="110">
        <f>INDEX('اکسسوری حذف از لیست اصلی'!F:F,MATCH(K539,'اکسسوری حذف از لیست اصلی'!T:T,0))</f>
        <v>0</v>
      </c>
      <c r="I539" s="110">
        <f>INDEX('اکسسوری حذف از لیست اصلی'!G:G,MATCH(K539,'اکسسوری حذف از لیست اصلی'!T:T,0))</f>
        <v>0</v>
      </c>
      <c r="J539" s="74">
        <f>INDEX('اکسسوری حذف از لیست اصلی'!J:J,MATCH(K539,'اکسسوری حذف از لیست اصلی'!T:T,0))</f>
        <v>73000000</v>
      </c>
      <c r="K539" s="64">
        <v>272</v>
      </c>
    </row>
    <row r="540" spans="1:11" ht="27" customHeight="1">
      <c r="A540" s="60"/>
      <c r="B540" s="61"/>
      <c r="D540" s="73">
        <v>47</v>
      </c>
      <c r="E540" s="109">
        <f>INDEX('اکسسوری حذف از لیست اصلی'!C:C,MATCH(K540,'اکسسوری حذف از لیست اصلی'!T:T,0))</f>
        <v>9901030311</v>
      </c>
      <c r="F540" s="109" t="str">
        <f>INDEX('اکسسوری حذف از لیست اصلی'!D:D,MATCH(K540,'اکسسوری حذف از لیست اصلی'!T:T,0))</f>
        <v>ظرف پذيرايي آلومنیومی متوسط نقره ای DP-A311</v>
      </c>
      <c r="G540" s="110" t="str">
        <f>INDEX('اکسسوری حذف از لیست اصلی'!E:E,MATCH(K540,'اکسسوری حذف از لیست اصلی'!T:T,0))</f>
        <v>55*14*29</v>
      </c>
      <c r="H540" s="110">
        <f>INDEX('اکسسوری حذف از لیست اصلی'!F:F,MATCH(K540,'اکسسوری حذف از لیست اصلی'!T:T,0))</f>
        <v>0</v>
      </c>
      <c r="I540" s="110">
        <f>INDEX('اکسسوری حذف از لیست اصلی'!G:G,MATCH(K540,'اکسسوری حذف از لیست اصلی'!T:T,0))</f>
        <v>0</v>
      </c>
      <c r="J540" s="74">
        <f>INDEX('اکسسوری حذف از لیست اصلی'!J:J,MATCH(K540,'اکسسوری حذف از لیست اصلی'!T:T,0))</f>
        <v>130000000</v>
      </c>
      <c r="K540" s="64">
        <v>273</v>
      </c>
    </row>
    <row r="541" spans="1:11" ht="27" customHeight="1">
      <c r="A541" s="60"/>
      <c r="B541" s="61"/>
      <c r="D541" s="79">
        <v>48</v>
      </c>
      <c r="E541" s="109">
        <f>INDEX('اکسسوری حذف از لیست اصلی'!C:C,MATCH(K541,'اکسسوری حذف از لیست اصلی'!T:T,0))</f>
        <v>9901030317</v>
      </c>
      <c r="F541" s="109" t="str">
        <f>INDEX('اکسسوری حذف از لیست اصلی'!D:D,MATCH(K541,'اکسسوری حذف از لیست اصلی'!T:T,0))</f>
        <v>کارد صبحانه فلزی DK-M317</v>
      </c>
      <c r="G541" s="110" t="str">
        <f>INDEX('اکسسوری حذف از لیست اصلی'!E:E,MATCH(K541,'اکسسوری حذف از لیست اصلی'!T:T,0))</f>
        <v>-</v>
      </c>
      <c r="H541" s="110">
        <f>INDEX('اکسسوری حذف از لیست اصلی'!F:F,MATCH(K541,'اکسسوری حذف از لیست اصلی'!T:T,0))</f>
        <v>0</v>
      </c>
      <c r="I541" s="110">
        <f>INDEX('اکسسوری حذف از لیست اصلی'!G:G,MATCH(K541,'اکسسوری حذف از لیست اصلی'!T:T,0))</f>
        <v>0</v>
      </c>
      <c r="J541" s="74">
        <f>INDEX('اکسسوری حذف از لیست اصلی'!J:J,MATCH(K541,'اکسسوری حذف از لیست اصلی'!T:T,0))</f>
        <v>24000000</v>
      </c>
      <c r="K541" s="64">
        <v>274</v>
      </c>
    </row>
    <row r="542" spans="1:11" ht="27" customHeight="1">
      <c r="A542" s="60"/>
      <c r="B542" s="61"/>
      <c r="D542" s="73">
        <v>49</v>
      </c>
      <c r="E542" s="109">
        <f>INDEX('اکسسوری حذف از لیست اصلی'!C:C,MATCH(K542,'اکسسوری حذف از لیست اصلی'!T:T,0))</f>
        <v>9901030318</v>
      </c>
      <c r="F542" s="109" t="str">
        <f>INDEX('اکسسوری حذف از لیست اصلی'!D:D,MATCH(K542,'اکسسوری حذف از لیست اصلی'!T:T,0))</f>
        <v>کارد صبحانه فلزی DK-M318</v>
      </c>
      <c r="G542" s="110" t="str">
        <f>INDEX('اکسسوری حذف از لیست اصلی'!E:E,MATCH(K542,'اکسسوری حذف از لیست اصلی'!T:T,0))</f>
        <v>-</v>
      </c>
      <c r="H542" s="110">
        <f>INDEX('اکسسوری حذف از لیست اصلی'!F:F,MATCH(K542,'اکسسوری حذف از لیست اصلی'!T:T,0))</f>
        <v>0</v>
      </c>
      <c r="I542" s="110">
        <f>INDEX('اکسسوری حذف از لیست اصلی'!G:G,MATCH(K542,'اکسسوری حذف از لیست اصلی'!T:T,0))</f>
        <v>0</v>
      </c>
      <c r="J542" s="74">
        <f>INDEX('اکسسوری حذف از لیست اصلی'!J:J,MATCH(K542,'اکسسوری حذف از لیست اصلی'!T:T,0))</f>
        <v>24000000</v>
      </c>
      <c r="K542" s="64">
        <v>275</v>
      </c>
    </row>
    <row r="543" spans="1:11" ht="27" customHeight="1">
      <c r="A543" s="60"/>
      <c r="B543" s="61"/>
      <c r="D543" s="79">
        <v>50</v>
      </c>
      <c r="E543" s="109">
        <f>INDEX('اکسسوری حذف از لیست اصلی'!C:C,MATCH(K543,'اکسسوری حذف از لیست اصلی'!T:T,0))</f>
        <v>9901030319</v>
      </c>
      <c r="F543" s="109" t="str">
        <f>INDEX('اکسسوری حذف از لیست اصلی'!D:D,MATCH(K543,'اکسسوری حذف از لیست اصلی'!T:T,0))</f>
        <v>قاشق عسل فلزی DS-M319</v>
      </c>
      <c r="G543" s="110" t="str">
        <f>INDEX('اکسسوری حذف از لیست اصلی'!E:E,MATCH(K543,'اکسسوری حذف از لیست اصلی'!T:T,0))</f>
        <v>-</v>
      </c>
      <c r="H543" s="110">
        <f>INDEX('اکسسوری حذف از لیست اصلی'!F:F,MATCH(K543,'اکسسوری حذف از لیست اصلی'!T:T,0))</f>
        <v>0</v>
      </c>
      <c r="I543" s="110">
        <f>INDEX('اکسسوری حذف از لیست اصلی'!G:G,MATCH(K543,'اکسسوری حذف از لیست اصلی'!T:T,0))</f>
        <v>0</v>
      </c>
      <c r="J543" s="74">
        <f>INDEX('اکسسوری حذف از لیست اصلی'!J:J,MATCH(K543,'اکسسوری حذف از لیست اصلی'!T:T,0))</f>
        <v>32000000</v>
      </c>
      <c r="K543" s="64">
        <v>276</v>
      </c>
    </row>
    <row r="544" spans="1:11" ht="27" customHeight="1">
      <c r="A544" s="60"/>
      <c r="B544" s="61"/>
      <c r="D544" s="73">
        <v>51</v>
      </c>
      <c r="E544" s="109">
        <f>INDEX('اکسسوری حذف از لیست اصلی'!C:C,MATCH(K544,'اکسسوری حذف از لیست اصلی'!T:T,0))</f>
        <v>9901030321</v>
      </c>
      <c r="F544" s="109" t="str">
        <f>INDEX('اکسسوری حذف از لیست اصلی'!D:D,MATCH(K544,'اکسسوری حذف از لیست اصلی'!T:T,0))</f>
        <v>گوشت کوب چوبی DM-W321</v>
      </c>
      <c r="G544" s="110" t="str">
        <f>INDEX('اکسسوری حذف از لیست اصلی'!E:E,MATCH(K544,'اکسسوری حذف از لیست اصلی'!T:T,0))</f>
        <v>-</v>
      </c>
      <c r="H544" s="110">
        <f>INDEX('اکسسوری حذف از لیست اصلی'!F:F,MATCH(K544,'اکسسوری حذف از لیست اصلی'!T:T,0))</f>
        <v>0</v>
      </c>
      <c r="I544" s="110">
        <f>INDEX('اکسسوری حذف از لیست اصلی'!G:G,MATCH(K544,'اکسسوری حذف از لیست اصلی'!T:T,0))</f>
        <v>0</v>
      </c>
      <c r="J544" s="74">
        <f>INDEX('اکسسوری حذف از لیست اصلی'!J:J,MATCH(K544,'اکسسوری حذف از لیست اصلی'!T:T,0))</f>
        <v>24000000</v>
      </c>
      <c r="K544" s="64">
        <v>277</v>
      </c>
    </row>
    <row r="545" spans="1:11" ht="27" customHeight="1">
      <c r="A545" s="60"/>
      <c r="B545" s="61"/>
      <c r="D545" s="79">
        <v>52</v>
      </c>
      <c r="E545" s="109">
        <f>INDEX('اکسسوری حذف از لیست اصلی'!C:C,MATCH(K545,'اکسسوری حذف از لیست اصلی'!T:T,0))</f>
        <v>9901030327</v>
      </c>
      <c r="F545" s="109" t="str">
        <f>INDEX('اکسسوری حذف از لیست اصلی'!D:D,MATCH(K545,'اکسسوری حذف از لیست اصلی'!T:T,0))</f>
        <v>سینی چوبی دسته چرمی DP-W/L327</v>
      </c>
      <c r="G545" s="110" t="str">
        <f>INDEX('اکسسوری حذف از لیست اصلی'!E:E,MATCH(K545,'اکسسوری حذف از لیست اصلی'!T:T,0))</f>
        <v>-</v>
      </c>
      <c r="H545" s="110">
        <f>INDEX('اکسسوری حذف از لیست اصلی'!F:F,MATCH(K545,'اکسسوری حذف از لیست اصلی'!T:T,0))</f>
        <v>0</v>
      </c>
      <c r="I545" s="110">
        <f>INDEX('اکسسوری حذف از لیست اصلی'!G:G,MATCH(K545,'اکسسوری حذف از لیست اصلی'!T:T,0))</f>
        <v>0</v>
      </c>
      <c r="J545" s="74">
        <f>INDEX('اکسسوری حذف از لیست اصلی'!J:J,MATCH(K545,'اکسسوری حذف از لیست اصلی'!T:T,0))</f>
        <v>161000000</v>
      </c>
      <c r="K545" s="64">
        <v>278</v>
      </c>
    </row>
    <row r="546" spans="1:11" ht="27" customHeight="1">
      <c r="A546" s="60"/>
      <c r="B546" s="61"/>
      <c r="D546" s="73">
        <v>53</v>
      </c>
      <c r="E546" s="109">
        <f>INDEX('اکسسوری حذف از لیست اصلی'!C:C,MATCH(K546,'اکسسوری حذف از لیست اصلی'!T:T,0))</f>
        <v>9901030432</v>
      </c>
      <c r="F546" s="109" t="str">
        <f>INDEX('اکسسوری حذف از لیست اصلی'!D:D,MATCH(K546,'اکسسوری حذف از لیست اصلی'!T:T,0))</f>
        <v>تخته سرو چوبی آکاژو سایز کوچک DP-W432</v>
      </c>
      <c r="G546" s="110" t="str">
        <f>INDEX('اکسسوری حذف از لیست اصلی'!E:E,MATCH(K546,'اکسسوری حذف از لیست اصلی'!T:T,0))</f>
        <v>15*30</v>
      </c>
      <c r="H546" s="110">
        <f>INDEX('اکسسوری حذف از لیست اصلی'!F:F,MATCH(K546,'اکسسوری حذف از لیست اصلی'!T:T,0))</f>
        <v>0</v>
      </c>
      <c r="I546" s="110">
        <f>INDEX('اکسسوری حذف از لیست اصلی'!G:G,MATCH(K546,'اکسسوری حذف از لیست اصلی'!T:T,0))</f>
        <v>0</v>
      </c>
      <c r="J546" s="74">
        <f>INDEX('اکسسوری حذف از لیست اصلی'!J:J,MATCH(K546,'اکسسوری حذف از لیست اصلی'!T:T,0))</f>
        <v>68000000</v>
      </c>
      <c r="K546" s="64">
        <v>279</v>
      </c>
    </row>
    <row r="547" spans="1:11" ht="27" customHeight="1">
      <c r="A547" s="60"/>
      <c r="B547" s="61"/>
      <c r="D547" s="79">
        <v>54</v>
      </c>
      <c r="E547" s="109">
        <f>INDEX('اکسسوری حذف از لیست اصلی'!C:C,MATCH(K547,'اکسسوری حذف از لیست اصلی'!T:T,0))</f>
        <v>9901030433</v>
      </c>
      <c r="F547" s="109" t="str">
        <f>INDEX('اکسسوری حذف از لیست اصلی'!D:D,MATCH(K547,'اکسسوری حذف از لیست اصلی'!T:T,0))</f>
        <v>تخته سرو چوبی آکاژو سایز بزرگ DP-W433</v>
      </c>
      <c r="G547" s="110" t="str">
        <f>INDEX('اکسسوری حذف از لیست اصلی'!E:E,MATCH(K547,'اکسسوری حذف از لیست اصلی'!T:T,0))</f>
        <v>30*50</v>
      </c>
      <c r="H547" s="110">
        <f>INDEX('اکسسوری حذف از لیست اصلی'!F:F,MATCH(K547,'اکسسوری حذف از لیست اصلی'!T:T,0))</f>
        <v>0</v>
      </c>
      <c r="I547" s="110">
        <f>INDEX('اکسسوری حذف از لیست اصلی'!G:G,MATCH(K547,'اکسسوری حذف از لیست اصلی'!T:T,0))</f>
        <v>0</v>
      </c>
      <c r="J547" s="74">
        <f>INDEX('اکسسوری حذف از لیست اصلی'!J:J,MATCH(K547,'اکسسوری حذف از لیست اصلی'!T:T,0))</f>
        <v>167000000</v>
      </c>
      <c r="K547" s="64">
        <v>280</v>
      </c>
    </row>
    <row r="548" spans="1:11" ht="27" customHeight="1">
      <c r="A548" s="60"/>
      <c r="B548" s="61"/>
      <c r="D548" s="73">
        <v>55</v>
      </c>
      <c r="E548" s="109">
        <f>INDEX('اکسسوری حذف از لیست اصلی'!C:C,MATCH(K548,'اکسسوری حذف از لیست اصلی'!T:T,0))</f>
        <v>9901030354</v>
      </c>
      <c r="F548" s="109" t="str">
        <f>INDEX('اکسسوری حذف از لیست اصلی'!D:D,MATCH(K548,'اکسسوری حذف از لیست اصلی'!T:T,0))</f>
        <v>ظرف سرو سرامیکی سفید لعاب طلا DP-CR354</v>
      </c>
      <c r="G548" s="110" t="str">
        <f>INDEX('اکسسوری حذف از لیست اصلی'!E:E,MATCH(K548,'اکسسوری حذف از لیست اصلی'!T:T,0))</f>
        <v>-</v>
      </c>
      <c r="H548" s="110">
        <f>INDEX('اکسسوری حذف از لیست اصلی'!F:F,MATCH(K548,'اکسسوری حذف از لیست اصلی'!T:T,0))</f>
        <v>0</v>
      </c>
      <c r="I548" s="110">
        <f>INDEX('اکسسوری حذف از لیست اصلی'!G:G,MATCH(K548,'اکسسوری حذف از لیست اصلی'!T:T,0))</f>
        <v>0</v>
      </c>
      <c r="J548" s="74">
        <f>INDEX('اکسسوری حذف از لیست اصلی'!J:J,MATCH(K548,'اکسسوری حذف از لیست اصلی'!T:T,0))</f>
        <v>28000000</v>
      </c>
      <c r="K548" s="64">
        <v>281</v>
      </c>
    </row>
    <row r="549" spans="1:11" ht="27" customHeight="1">
      <c r="A549" s="60"/>
      <c r="B549" s="61"/>
      <c r="D549" s="79">
        <v>56</v>
      </c>
      <c r="E549" s="109">
        <f>INDEX('اکسسوری حذف از لیست اصلی'!C:C,MATCH(K549,'اکسسوری حذف از لیست اصلی'!T:T,0))</f>
        <v>9901030358</v>
      </c>
      <c r="F549" s="109" t="str">
        <f>INDEX('اکسسوری حذف از لیست اصلی'!D:D,MATCH(K549,'اکسسوری حذف از لیست اصلی'!T:T,0))</f>
        <v>کاسه چوبی DP-W358</v>
      </c>
      <c r="G549" s="110" t="str">
        <f>INDEX('اکسسوری حذف از لیست اصلی'!E:E,MATCH(K549,'اکسسوری حذف از لیست اصلی'!T:T,0))</f>
        <v>25*25</v>
      </c>
      <c r="H549" s="110">
        <f>INDEX('اکسسوری حذف از لیست اصلی'!F:F,MATCH(K549,'اکسسوری حذف از لیست اصلی'!T:T,0))</f>
        <v>0</v>
      </c>
      <c r="I549" s="110">
        <f>INDEX('اکسسوری حذف از لیست اصلی'!G:G,MATCH(K549,'اکسسوری حذف از لیست اصلی'!T:T,0))</f>
        <v>0</v>
      </c>
      <c r="J549" s="74">
        <f>INDEX('اکسسوری حذف از لیست اصلی'!J:J,MATCH(K549,'اکسسوری حذف از لیست اصلی'!T:T,0))</f>
        <v>98000000</v>
      </c>
      <c r="K549" s="64">
        <v>282</v>
      </c>
    </row>
    <row r="550" spans="1:11" ht="27" customHeight="1">
      <c r="A550" s="60"/>
      <c r="B550" s="61"/>
      <c r="D550" s="73">
        <v>57</v>
      </c>
      <c r="E550" s="109">
        <f>INDEX('اکسسوری حذف از لیست اصلی'!C:C,MATCH(K550,'اکسسوری حذف از لیست اصلی'!T:T,0))</f>
        <v>9901030429</v>
      </c>
      <c r="F550" s="109" t="str">
        <f>INDEX('اکسسوری حذف از لیست اصلی'!D:D,MATCH(K550,'اکسسوری حذف از لیست اصلی'!T:T,0))</f>
        <v>کاسه بزرگ سرامیکی سبز DP-CR429</v>
      </c>
      <c r="G550" s="110" t="str">
        <f>INDEX('اکسسوری حذف از لیست اصلی'!E:E,MATCH(K550,'اکسسوری حذف از لیست اصلی'!T:T,0))</f>
        <v>-</v>
      </c>
      <c r="H550" s="110">
        <f>INDEX('اکسسوری حذف از لیست اصلی'!F:F,MATCH(K550,'اکسسوری حذف از لیست اصلی'!T:T,0))</f>
        <v>0</v>
      </c>
      <c r="I550" s="110">
        <f>INDEX('اکسسوری حذف از لیست اصلی'!G:G,MATCH(K550,'اکسسوری حذف از لیست اصلی'!T:T,0))</f>
        <v>0</v>
      </c>
      <c r="J550" s="74">
        <f>INDEX('اکسسوری حذف از لیست اصلی'!J:J,MATCH(K550,'اکسسوری حذف از لیست اصلی'!T:T,0))</f>
        <v>43000000</v>
      </c>
      <c r="K550" s="64">
        <v>283</v>
      </c>
    </row>
    <row r="551" spans="1:11" ht="27" customHeight="1">
      <c r="A551" s="60"/>
      <c r="B551" s="61"/>
      <c r="D551" s="79">
        <v>58</v>
      </c>
      <c r="E551" s="109">
        <f>INDEX('اکسسوری حذف از لیست اصلی'!C:C,MATCH(K551,'اکسسوری حذف از لیست اصلی'!T:T,0))</f>
        <v>9901030430</v>
      </c>
      <c r="F551" s="109" t="str">
        <f>INDEX('اکسسوری حذف از لیست اصلی'!D:D,MATCH(K551,'اکسسوری حذف از لیست اصلی'!T:T,0))</f>
        <v>کاسه بزرگ سرامیکی طوسی DP-CR430</v>
      </c>
      <c r="G551" s="110" t="str">
        <f>INDEX('اکسسوری حذف از لیست اصلی'!E:E,MATCH(K551,'اکسسوری حذف از لیست اصلی'!T:T,0))</f>
        <v>-</v>
      </c>
      <c r="H551" s="110">
        <f>INDEX('اکسسوری حذف از لیست اصلی'!F:F,MATCH(K551,'اکسسوری حذف از لیست اصلی'!T:T,0))</f>
        <v>0</v>
      </c>
      <c r="I551" s="110">
        <f>INDEX('اکسسوری حذف از لیست اصلی'!G:G,MATCH(K551,'اکسسوری حذف از لیست اصلی'!T:T,0))</f>
        <v>0</v>
      </c>
      <c r="J551" s="74">
        <f>INDEX('اکسسوری حذف از لیست اصلی'!J:J,MATCH(K551,'اکسسوری حذف از لیست اصلی'!T:T,0))</f>
        <v>43000000</v>
      </c>
      <c r="K551" s="64">
        <v>284</v>
      </c>
    </row>
    <row r="552" spans="1:11" ht="27" customHeight="1">
      <c r="A552" s="60"/>
      <c r="B552" s="61"/>
      <c r="D552" s="73">
        <v>59</v>
      </c>
      <c r="E552" s="109">
        <f>INDEX('اکسسوری حذف از لیست اصلی'!C:C,MATCH(K552,'اکسسوری حذف از لیست اصلی'!T:T,0))</f>
        <v>9901030431</v>
      </c>
      <c r="F552" s="109" t="str">
        <f>INDEX('اکسسوری حذف از لیست اصلی'!D:D,MATCH(K552,'اکسسوری حذف از لیست اصلی'!T:T,0))</f>
        <v>کاسه بزرگ سرامیکی کرم DP-CR431</v>
      </c>
      <c r="G552" s="110" t="str">
        <f>INDEX('اکسسوری حذف از لیست اصلی'!E:E,MATCH(K552,'اکسسوری حذف از لیست اصلی'!T:T,0))</f>
        <v>-</v>
      </c>
      <c r="H552" s="110">
        <f>INDEX('اکسسوری حذف از لیست اصلی'!F:F,MATCH(K552,'اکسسوری حذف از لیست اصلی'!T:T,0))</f>
        <v>0</v>
      </c>
      <c r="I552" s="110">
        <f>INDEX('اکسسوری حذف از لیست اصلی'!G:G,MATCH(K552,'اکسسوری حذف از لیست اصلی'!T:T,0))</f>
        <v>0</v>
      </c>
      <c r="J552" s="74">
        <f>INDEX('اکسسوری حذف از لیست اصلی'!J:J,MATCH(K552,'اکسسوری حذف از لیست اصلی'!T:T,0))</f>
        <v>43000000</v>
      </c>
      <c r="K552" s="64">
        <v>285</v>
      </c>
    </row>
    <row r="553" spans="1:11" ht="27" customHeight="1">
      <c r="A553" s="60"/>
      <c r="B553" s="61"/>
      <c r="D553" s="79">
        <v>60</v>
      </c>
      <c r="E553" s="109">
        <f>INDEX('اکسسوری حذف از لیست اصلی'!C:C,MATCH(K553,'اکسسوری حذف از لیست اصلی'!T:T,0))</f>
        <v>9901030451</v>
      </c>
      <c r="F553" s="109" t="str">
        <f>INDEX('اکسسوری حذف از لیست اصلی'!D:D,MATCH(K553,'اکسسوری حذف از لیست اصلی'!T:T,0))</f>
        <v>ظرف پذیرایی لبه بلندسنگی گردان DP-S451</v>
      </c>
      <c r="G553" s="110" t="str">
        <f>INDEX('اکسسوری حذف از لیست اصلی'!E:E,MATCH(K553,'اکسسوری حذف از لیست اصلی'!T:T,0))</f>
        <v>30*30*12</v>
      </c>
      <c r="H553" s="110">
        <f>INDEX('اکسسوری حذف از لیست اصلی'!F:F,MATCH(K553,'اکسسوری حذف از لیست اصلی'!T:T,0))</f>
        <v>0</v>
      </c>
      <c r="I553" s="110">
        <f>INDEX('اکسسوری حذف از لیست اصلی'!G:G,MATCH(K553,'اکسسوری حذف از لیست اصلی'!T:T,0))</f>
        <v>0</v>
      </c>
      <c r="J553" s="74">
        <f>INDEX('اکسسوری حذف از لیست اصلی'!J:J,MATCH(K553,'اکسسوری حذف از لیست اصلی'!T:T,0))</f>
        <v>130000000</v>
      </c>
      <c r="K553" s="64">
        <v>286</v>
      </c>
    </row>
    <row r="554" spans="1:11" ht="27" customHeight="1">
      <c r="A554" s="60"/>
      <c r="B554" s="61"/>
      <c r="D554" s="73">
        <v>61</v>
      </c>
      <c r="E554" s="109">
        <f>INDEX('اکسسوری حذف از لیست اصلی'!C:C,MATCH(K554,'اکسسوری حذف از لیست اصلی'!T:T,0))</f>
        <v>9901030452</v>
      </c>
      <c r="F554" s="109" t="str">
        <f>INDEX('اکسسوری حذف از لیست اصلی'!D:D,MATCH(K554,'اکسسوری حذف از لیست اصلی'!T:T,0))</f>
        <v>ظرف پذیرایی لبه کوتاه سنگی گردان DP-S452</v>
      </c>
      <c r="G554" s="110" t="str">
        <f>INDEX('اکسسوری حذف از لیست اصلی'!E:E,MATCH(K554,'اکسسوری حذف از لیست اصلی'!T:T,0))</f>
        <v>30*30*3</v>
      </c>
      <c r="H554" s="110">
        <f>INDEX('اکسسوری حذف از لیست اصلی'!F:F,MATCH(K554,'اکسسوری حذف از لیست اصلی'!T:T,0))</f>
        <v>0</v>
      </c>
      <c r="I554" s="110">
        <f>INDEX('اکسسوری حذف از لیست اصلی'!G:G,MATCH(K554,'اکسسوری حذف از لیست اصلی'!T:T,0))</f>
        <v>0</v>
      </c>
      <c r="J554" s="74">
        <f>INDEX('اکسسوری حذف از لیست اصلی'!J:J,MATCH(K554,'اکسسوری حذف از لیست اصلی'!T:T,0))</f>
        <v>118000000</v>
      </c>
      <c r="K554" s="64">
        <v>287</v>
      </c>
    </row>
    <row r="555" spans="1:11" ht="27" customHeight="1">
      <c r="A555" s="60"/>
      <c r="B555" s="61"/>
      <c r="D555" s="79">
        <v>62</v>
      </c>
      <c r="E555" s="109">
        <f>INDEX('اکسسوری حذف از لیست اصلی'!C:C,MATCH(K555,'اکسسوری حذف از لیست اصلی'!T:T,0))</f>
        <v>9901030462</v>
      </c>
      <c r="F555" s="109" t="str">
        <f>INDEX('اکسسوری حذف از لیست اصلی'!D:D,MATCH(K555,'اکسسوری حذف از لیست اصلی'!T:T,0))</f>
        <v>کاپ سرامیکی مشکی کرمDP-CR462</v>
      </c>
      <c r="G555" s="110" t="str">
        <f>INDEX('اکسسوری حذف از لیست اصلی'!E:E,MATCH(K555,'اکسسوری حذف از لیست اصلی'!T:T,0))</f>
        <v>-</v>
      </c>
      <c r="H555" s="110">
        <f>INDEX('اکسسوری حذف از لیست اصلی'!F:F,MATCH(K555,'اکسسوری حذف از لیست اصلی'!T:T,0))</f>
        <v>0</v>
      </c>
      <c r="I555" s="110">
        <f>INDEX('اکسسوری حذف از لیست اصلی'!G:G,MATCH(K555,'اکسسوری حذف از لیست اصلی'!T:T,0))</f>
        <v>0</v>
      </c>
      <c r="J555" s="74">
        <f>INDEX('اکسسوری حذف از لیست اصلی'!J:J,MATCH(K555,'اکسسوری حذف از لیست اصلی'!T:T,0))</f>
        <v>14000000</v>
      </c>
      <c r="K555" s="64">
        <v>288</v>
      </c>
    </row>
    <row r="556" spans="1:11" ht="18.75" customHeight="1">
      <c r="A556" s="60"/>
      <c r="B556" s="61"/>
      <c r="J556" s="74">
        <v>19</v>
      </c>
    </row>
    <row r="557" spans="1:11">
      <c r="A557" s="70"/>
      <c r="B557" s="71"/>
      <c r="C557" s="183"/>
      <c r="D557" s="184"/>
      <c r="E557" s="184"/>
      <c r="F557" s="184"/>
      <c r="G557" s="184"/>
      <c r="H557" s="184"/>
      <c r="I557" s="184"/>
      <c r="J557" s="184"/>
    </row>
    <row r="558" spans="1:11">
      <c r="A558" s="70"/>
      <c r="B558" s="71"/>
      <c r="C558" s="183"/>
      <c r="D558" s="184"/>
      <c r="E558" s="184"/>
      <c r="F558" s="184"/>
      <c r="G558" s="184"/>
      <c r="H558" s="184"/>
      <c r="I558" s="184"/>
      <c r="J558" s="184"/>
    </row>
    <row r="559" spans="1:11" ht="27.75">
      <c r="A559" s="70"/>
      <c r="B559" s="71"/>
      <c r="C559" s="72"/>
      <c r="D559" s="67" t="s">
        <v>966</v>
      </c>
      <c r="J559" s="68" t="str">
        <f>$N$1</f>
        <v>1405/02/23</v>
      </c>
    </row>
    <row r="560" spans="1:11" ht="36">
      <c r="A560" s="70"/>
      <c r="B560" s="71"/>
      <c r="C560" s="77"/>
      <c r="D560" s="75" t="s">
        <v>0</v>
      </c>
      <c r="E560" s="69" t="s">
        <v>1</v>
      </c>
      <c r="F560" s="107" t="s">
        <v>448</v>
      </c>
      <c r="G560" s="108" t="s">
        <v>1141</v>
      </c>
      <c r="H560" s="108" t="s">
        <v>1142</v>
      </c>
      <c r="I560" s="108" t="s">
        <v>1143</v>
      </c>
      <c r="J560" s="68" t="s">
        <v>251</v>
      </c>
    </row>
    <row r="561" spans="1:11" ht="27" customHeight="1">
      <c r="A561" s="60"/>
      <c r="B561" s="61"/>
      <c r="D561" s="73">
        <v>1</v>
      </c>
      <c r="E561" s="109">
        <f>INDEX('اکسسوری حذف از لیست اصلی'!C:C,MATCH(K561,'اکسسوری حذف از لیست اصلی'!T:T,0))</f>
        <v>9901040001</v>
      </c>
      <c r="F561" s="109" t="str">
        <f>INDEX('اکسسوری حذف از لیست اصلی'!D:D,MATCH(K561,'اکسسوری حذف از لیست اصلی'!T:T,0))</f>
        <v>شاخه گل فومی AF-F001</v>
      </c>
      <c r="G561" s="110">
        <f>INDEX('اکسسوری حذف از لیست اصلی'!E:E,MATCH(K561,'اکسسوری حذف از لیست اصلی'!T:T,0))</f>
        <v>106</v>
      </c>
      <c r="H561" s="110">
        <f>INDEX('اکسسوری حذف از لیست اصلی'!F:F,MATCH(K561,'اکسسوری حذف از لیست اصلی'!T:T,0))</f>
        <v>0</v>
      </c>
      <c r="I561" s="110">
        <f>INDEX('اکسسوری حذف از لیست اصلی'!G:G,MATCH(K561,'اکسسوری حذف از لیست اصلی'!T:T,0))</f>
        <v>0</v>
      </c>
      <c r="J561" s="74">
        <f>INDEX('اکسسوری حذف از لیست اصلی'!J:J,MATCH(K561,'اکسسوری حذف از لیست اصلی'!T:T,0))</f>
        <v>16000000</v>
      </c>
      <c r="K561" s="64">
        <v>289</v>
      </c>
    </row>
    <row r="562" spans="1:11" ht="27" customHeight="1">
      <c r="A562" s="60"/>
      <c r="B562" s="61"/>
      <c r="C562" s="78"/>
      <c r="D562" s="79">
        <v>2</v>
      </c>
      <c r="E562" s="109">
        <f>INDEX('اکسسوری حذف از لیست اصلی'!C:C,MATCH(K562,'اکسسوری حذف از لیست اصلی'!T:T,0))</f>
        <v>9901040002</v>
      </c>
      <c r="F562" s="109" t="str">
        <f>INDEX('اکسسوری حذف از لیست اصلی'!D:D,MATCH(K562,'اکسسوری حذف از لیست اصلی'!T:T,0))</f>
        <v>شاخه گل فومی AF-F002</v>
      </c>
      <c r="G562" s="110">
        <f>INDEX('اکسسوری حذف از لیست اصلی'!E:E,MATCH(K562,'اکسسوری حذف از لیست اصلی'!T:T,0))</f>
        <v>97</v>
      </c>
      <c r="H562" s="110">
        <f>INDEX('اکسسوری حذف از لیست اصلی'!F:F,MATCH(K562,'اکسسوری حذف از لیست اصلی'!T:T,0))</f>
        <v>0</v>
      </c>
      <c r="I562" s="110">
        <f>INDEX('اکسسوری حذف از لیست اصلی'!G:G,MATCH(K562,'اکسسوری حذف از لیست اصلی'!T:T,0))</f>
        <v>0</v>
      </c>
      <c r="J562" s="74">
        <f>INDEX('اکسسوری حذف از لیست اصلی'!J:J,MATCH(K562,'اکسسوری حذف از لیست اصلی'!T:T,0))</f>
        <v>18000000</v>
      </c>
      <c r="K562" s="64">
        <v>290</v>
      </c>
    </row>
    <row r="563" spans="1:11" ht="27" customHeight="1">
      <c r="A563" s="60"/>
      <c r="B563" s="61"/>
      <c r="D563" s="73">
        <v>3</v>
      </c>
      <c r="E563" s="109">
        <f>INDEX('اکسسوری حذف از لیست اصلی'!C:C,MATCH(K563,'اکسسوری حذف از لیست اصلی'!T:T,0))</f>
        <v>9901040003</v>
      </c>
      <c r="F563" s="109" t="str">
        <f>INDEX('اکسسوری حذف از لیست اصلی'!D:D,MATCH(K563,'اکسسوری حذف از لیست اصلی'!T:T,0))</f>
        <v>شاخه گل فومی AF-F003</v>
      </c>
      <c r="G563" s="110">
        <f>INDEX('اکسسوری حذف از لیست اصلی'!E:E,MATCH(K563,'اکسسوری حذف از لیست اصلی'!T:T,0))</f>
        <v>124</v>
      </c>
      <c r="H563" s="110">
        <f>INDEX('اکسسوری حذف از لیست اصلی'!F:F,MATCH(K563,'اکسسوری حذف از لیست اصلی'!T:T,0))</f>
        <v>0</v>
      </c>
      <c r="I563" s="110">
        <f>INDEX('اکسسوری حذف از لیست اصلی'!G:G,MATCH(K563,'اکسسوری حذف از لیست اصلی'!T:T,0))</f>
        <v>0</v>
      </c>
      <c r="J563" s="74">
        <f>INDEX('اکسسوری حذف از لیست اصلی'!J:J,MATCH(K563,'اکسسوری حذف از لیست اصلی'!T:T,0))</f>
        <v>17000000</v>
      </c>
      <c r="K563" s="64">
        <v>291</v>
      </c>
    </row>
    <row r="564" spans="1:11" ht="27" customHeight="1">
      <c r="A564" s="60"/>
      <c r="B564" s="61"/>
      <c r="D564" s="73">
        <v>4</v>
      </c>
      <c r="E564" s="109">
        <f>INDEX('اکسسوری حذف از لیست اصلی'!C:C,MATCH(K564,'اکسسوری حذف از لیست اصلی'!T:T,0))</f>
        <v>9901040004</v>
      </c>
      <c r="F564" s="109" t="str">
        <f>INDEX('اکسسوری حذف از لیست اصلی'!D:D,MATCH(K564,'اکسسوری حذف از لیست اصلی'!T:T,0))</f>
        <v>شاخه گل فومی AF-F004</v>
      </c>
      <c r="G564" s="110">
        <f>INDEX('اکسسوری حذف از لیست اصلی'!E:E,MATCH(K564,'اکسسوری حذف از لیست اصلی'!T:T,0))</f>
        <v>107</v>
      </c>
      <c r="H564" s="110">
        <f>INDEX('اکسسوری حذف از لیست اصلی'!F:F,MATCH(K564,'اکسسوری حذف از لیست اصلی'!T:T,0))</f>
        <v>0</v>
      </c>
      <c r="I564" s="110">
        <f>INDEX('اکسسوری حذف از لیست اصلی'!G:G,MATCH(K564,'اکسسوری حذف از لیست اصلی'!T:T,0))</f>
        <v>0</v>
      </c>
      <c r="J564" s="74">
        <f>INDEX('اکسسوری حذف از لیست اصلی'!J:J,MATCH(K564,'اکسسوری حذف از لیست اصلی'!T:T,0))</f>
        <v>17000000</v>
      </c>
      <c r="K564" s="64">
        <v>292</v>
      </c>
    </row>
    <row r="565" spans="1:11" ht="27" customHeight="1">
      <c r="A565" s="60"/>
      <c r="B565" s="61"/>
      <c r="D565" s="79">
        <v>5</v>
      </c>
      <c r="E565" s="109">
        <f>INDEX('اکسسوری حذف از لیست اصلی'!C:C,MATCH(K565,'اکسسوری حذف از لیست اصلی'!T:T,0))</f>
        <v>9901040005</v>
      </c>
      <c r="F565" s="109" t="str">
        <f>INDEX('اکسسوری حذف از لیست اصلی'!D:D,MATCH(K565,'اکسسوری حذف از لیست اصلی'!T:T,0))</f>
        <v>شاخه گل فومی AF-F005</v>
      </c>
      <c r="G565" s="110">
        <f>INDEX('اکسسوری حذف از لیست اصلی'!E:E,MATCH(K565,'اکسسوری حذف از لیست اصلی'!T:T,0))</f>
        <v>106</v>
      </c>
      <c r="H565" s="110">
        <f>INDEX('اکسسوری حذف از لیست اصلی'!F:F,MATCH(K565,'اکسسوری حذف از لیست اصلی'!T:T,0))</f>
        <v>0</v>
      </c>
      <c r="I565" s="110">
        <f>INDEX('اکسسوری حذف از لیست اصلی'!G:G,MATCH(K565,'اکسسوری حذف از لیست اصلی'!T:T,0))</f>
        <v>0</v>
      </c>
      <c r="J565" s="74">
        <f>INDEX('اکسسوری حذف از لیست اصلی'!J:J,MATCH(K565,'اکسسوری حذف از لیست اصلی'!T:T,0))</f>
        <v>15000000</v>
      </c>
      <c r="K565" s="64">
        <v>293</v>
      </c>
    </row>
    <row r="566" spans="1:11" ht="27" customHeight="1">
      <c r="A566" s="60"/>
      <c r="B566" s="61"/>
      <c r="D566" s="73">
        <v>6</v>
      </c>
      <c r="E566" s="109">
        <f>INDEX('اکسسوری حذف از لیست اصلی'!C:C,MATCH(K566,'اکسسوری حذف از لیست اصلی'!T:T,0))</f>
        <v>9901040006</v>
      </c>
      <c r="F566" s="109" t="str">
        <f>INDEX('اکسسوری حذف از لیست اصلی'!D:D,MATCH(K566,'اکسسوری حذف از لیست اصلی'!T:T,0))</f>
        <v xml:space="preserve"> شاخه برگ فومی AF-L006</v>
      </c>
      <c r="G566" s="110">
        <f>INDEX('اکسسوری حذف از لیست اصلی'!E:E,MATCH(K566,'اکسسوری حذف از لیست اصلی'!T:T,0))</f>
        <v>90</v>
      </c>
      <c r="H566" s="110">
        <f>INDEX('اکسسوری حذف از لیست اصلی'!F:F,MATCH(K566,'اکسسوری حذف از لیست اصلی'!T:T,0))</f>
        <v>0</v>
      </c>
      <c r="I566" s="110">
        <f>INDEX('اکسسوری حذف از لیست اصلی'!G:G,MATCH(K566,'اکسسوری حذف از لیست اصلی'!T:T,0))</f>
        <v>0</v>
      </c>
      <c r="J566" s="74">
        <f>INDEX('اکسسوری حذف از لیست اصلی'!J:J,MATCH(K566,'اکسسوری حذف از لیست اصلی'!T:T,0))</f>
        <v>18000000</v>
      </c>
      <c r="K566" s="64">
        <v>294</v>
      </c>
    </row>
    <row r="567" spans="1:11" ht="27" customHeight="1">
      <c r="A567" s="60"/>
      <c r="B567" s="61"/>
      <c r="D567" s="79">
        <v>7</v>
      </c>
      <c r="E567" s="109">
        <f>INDEX('اکسسوری حذف از لیست اصلی'!C:C,MATCH(K567,'اکسسوری حذف از لیست اصلی'!T:T,0))</f>
        <v>9901040007</v>
      </c>
      <c r="F567" s="109" t="str">
        <f>INDEX('اکسسوری حذف از لیست اصلی'!D:D,MATCH(K567,'اکسسوری حذف از لیست اصلی'!T:T,0))</f>
        <v xml:space="preserve"> شاخه گل فومی AF-F007</v>
      </c>
      <c r="G567" s="110">
        <f>INDEX('اکسسوری حذف از لیست اصلی'!E:E,MATCH(K567,'اکسسوری حذف از لیست اصلی'!T:T,0))</f>
        <v>93</v>
      </c>
      <c r="H567" s="110">
        <f>INDEX('اکسسوری حذف از لیست اصلی'!F:F,MATCH(K567,'اکسسوری حذف از لیست اصلی'!T:T,0))</f>
        <v>0</v>
      </c>
      <c r="I567" s="110">
        <f>INDEX('اکسسوری حذف از لیست اصلی'!G:G,MATCH(K567,'اکسسوری حذف از لیست اصلی'!T:T,0))</f>
        <v>0</v>
      </c>
      <c r="J567" s="74">
        <f>INDEX('اکسسوری حذف از لیست اصلی'!J:J,MATCH(K567,'اکسسوری حذف از لیست اصلی'!T:T,0))</f>
        <v>20000000</v>
      </c>
      <c r="K567" s="64">
        <v>295</v>
      </c>
    </row>
    <row r="568" spans="1:11" ht="27" customHeight="1">
      <c r="A568" s="60"/>
      <c r="B568" s="61"/>
      <c r="D568" s="73">
        <v>8</v>
      </c>
      <c r="E568" s="109">
        <f>INDEX('اکسسوری حذف از لیست اصلی'!C:C,MATCH(K568,'اکسسوری حذف از لیست اصلی'!T:T,0))</f>
        <v>9901040008</v>
      </c>
      <c r="F568" s="109" t="str">
        <f>INDEX('اکسسوری حذف از لیست اصلی'!D:D,MATCH(K568,'اکسسوری حذف از لیست اصلی'!T:T,0))</f>
        <v>پامپاس طلایی AF-L008</v>
      </c>
      <c r="G568" s="110">
        <f>INDEX('اکسسوری حذف از لیست اصلی'!E:E,MATCH(K568,'اکسسوری حذف از لیست اصلی'!T:T,0))</f>
        <v>97</v>
      </c>
      <c r="H568" s="110">
        <f>INDEX('اکسسوری حذف از لیست اصلی'!F:F,MATCH(K568,'اکسسوری حذف از لیست اصلی'!T:T,0))</f>
        <v>0</v>
      </c>
      <c r="I568" s="110">
        <f>INDEX('اکسسوری حذف از لیست اصلی'!G:G,MATCH(K568,'اکسسوری حذف از لیست اصلی'!T:T,0))</f>
        <v>0</v>
      </c>
      <c r="J568" s="74">
        <f>INDEX('اکسسوری حذف از لیست اصلی'!J:J,MATCH(K568,'اکسسوری حذف از لیست اصلی'!T:T,0))</f>
        <v>16000000</v>
      </c>
      <c r="K568" s="64">
        <v>296</v>
      </c>
    </row>
    <row r="569" spans="1:11" ht="27" customHeight="1">
      <c r="A569" s="60"/>
      <c r="B569" s="61"/>
      <c r="D569" s="79">
        <v>9</v>
      </c>
      <c r="E569" s="109">
        <f>INDEX('اکسسوری حذف از لیست اصلی'!C:C,MATCH(K569,'اکسسوری حذف از لیست اصلی'!T:T,0))</f>
        <v>9901040009</v>
      </c>
      <c r="F569" s="109" t="str">
        <f>INDEX('اکسسوری حذف از لیست اصلی'!D:D,MATCH(K569,'اکسسوری حذف از لیست اصلی'!T:T,0))</f>
        <v>شاخه برگ AF-L009</v>
      </c>
      <c r="G569" s="110" t="str">
        <f>INDEX('اکسسوری حذف از لیست اصلی'!E:E,MATCH(K569,'اکسسوری حذف از لیست اصلی'!T:T,0))</f>
        <v>-</v>
      </c>
      <c r="H569" s="110">
        <f>INDEX('اکسسوری حذف از لیست اصلی'!F:F,MATCH(K569,'اکسسوری حذف از لیست اصلی'!T:T,0))</f>
        <v>0</v>
      </c>
      <c r="I569" s="110">
        <f>INDEX('اکسسوری حذف از لیست اصلی'!G:G,MATCH(K569,'اکسسوری حذف از لیست اصلی'!T:T,0))</f>
        <v>0</v>
      </c>
      <c r="J569" s="74">
        <f>INDEX('اکسسوری حذف از لیست اصلی'!J:J,MATCH(K569,'اکسسوری حذف از لیست اصلی'!T:T,0))</f>
        <v>13000000</v>
      </c>
      <c r="K569" s="64">
        <v>297</v>
      </c>
    </row>
    <row r="570" spans="1:11" ht="27" customHeight="1">
      <c r="A570" s="60"/>
      <c r="B570" s="61"/>
      <c r="D570" s="73">
        <v>10</v>
      </c>
      <c r="E570" s="109">
        <f>INDEX('اکسسوری حذف از لیست اصلی'!C:C,MATCH(K570,'اکسسوری حذف از لیست اصلی'!T:T,0))</f>
        <v>9901040013</v>
      </c>
      <c r="F570" s="109" t="str">
        <f>INDEX('اکسسوری حذف از لیست اصلی'!D:D,MATCH(K570,'اکسسوری حذف از لیست اصلی'!T:T,0))</f>
        <v>شاخه گل ليسينتوس AF-F013</v>
      </c>
      <c r="G570" s="110" t="str">
        <f>INDEX('اکسسوری حذف از لیست اصلی'!E:E,MATCH(K570,'اکسسوری حذف از لیست اصلی'!T:T,0))</f>
        <v>-</v>
      </c>
      <c r="H570" s="110">
        <f>INDEX('اکسسوری حذف از لیست اصلی'!F:F,MATCH(K570,'اکسسوری حذف از لیست اصلی'!T:T,0))</f>
        <v>0</v>
      </c>
      <c r="I570" s="110">
        <f>INDEX('اکسسوری حذف از لیست اصلی'!G:G,MATCH(K570,'اکسسوری حذف از لیست اصلی'!T:T,0))</f>
        <v>0</v>
      </c>
      <c r="J570" s="74">
        <f>INDEX('اکسسوری حذف از لیست اصلی'!J:J,MATCH(K570,'اکسسوری حذف از لیست اصلی'!T:T,0))</f>
        <v>23000000</v>
      </c>
      <c r="K570" s="64">
        <v>298</v>
      </c>
    </row>
    <row r="571" spans="1:11" ht="27" customHeight="1">
      <c r="A571" s="60"/>
      <c r="B571" s="61"/>
      <c r="D571" s="79">
        <v>11</v>
      </c>
      <c r="E571" s="109">
        <f>INDEX('اکسسوری حذف از لیست اصلی'!C:C,MATCH(K571,'اکسسوری حذف از لیست اصلی'!T:T,0))</f>
        <v>9901040014</v>
      </c>
      <c r="F571" s="109" t="str">
        <f>INDEX('اکسسوری حذف از لیست اصلی'!D:D,MATCH(K571,'اکسسوری حذف از لیست اصلی'!T:T,0))</f>
        <v>شاخه گل سوسن AF-F014</v>
      </c>
      <c r="G571" s="110" t="str">
        <f>INDEX('اکسسوری حذف از لیست اصلی'!E:E,MATCH(K571,'اکسسوری حذف از لیست اصلی'!T:T,0))</f>
        <v>-</v>
      </c>
      <c r="H571" s="110">
        <f>INDEX('اکسسوری حذف از لیست اصلی'!F:F,MATCH(K571,'اکسسوری حذف از لیست اصلی'!T:T,0))</f>
        <v>0</v>
      </c>
      <c r="I571" s="110">
        <f>INDEX('اکسسوری حذف از لیست اصلی'!G:G,MATCH(K571,'اکسسوری حذف از لیست اصلی'!T:T,0))</f>
        <v>0</v>
      </c>
      <c r="J571" s="74">
        <f>INDEX('اکسسوری حذف از لیست اصلی'!J:J,MATCH(K571,'اکسسوری حذف از لیست اصلی'!T:T,0))</f>
        <v>24000000</v>
      </c>
      <c r="K571" s="64">
        <v>299</v>
      </c>
    </row>
    <row r="572" spans="1:11" ht="27" customHeight="1">
      <c r="A572" s="60"/>
      <c r="B572" s="61"/>
      <c r="D572" s="73">
        <v>12</v>
      </c>
      <c r="E572" s="109">
        <f>INDEX('اکسسوری حذف از لیست اصلی'!C:C,MATCH(K572,'اکسسوری حذف از لیست اصلی'!T:T,0))</f>
        <v>9901040015</v>
      </c>
      <c r="F572" s="109" t="str">
        <f>INDEX('اکسسوری حذف از لیست اصلی'!D:D,MATCH(K572,'اکسسوری حذف از لیست اصلی'!T:T,0))</f>
        <v>شاخه گل پئونی AF-F015</v>
      </c>
      <c r="G572" s="110" t="str">
        <f>INDEX('اکسسوری حذف از لیست اصلی'!E:E,MATCH(K572,'اکسسوری حذف از لیست اصلی'!T:T,0))</f>
        <v>-</v>
      </c>
      <c r="H572" s="110">
        <f>INDEX('اکسسوری حذف از لیست اصلی'!F:F,MATCH(K572,'اکسسوری حذف از لیست اصلی'!T:T,0))</f>
        <v>0</v>
      </c>
      <c r="I572" s="110">
        <f>INDEX('اکسسوری حذف از لیست اصلی'!G:G,MATCH(K572,'اکسسوری حذف از لیست اصلی'!T:T,0))</f>
        <v>0</v>
      </c>
      <c r="J572" s="74">
        <f>INDEX('اکسسوری حذف از لیست اصلی'!J:J,MATCH(K572,'اکسسوری حذف از لیست اصلی'!T:T,0))</f>
        <v>20000000</v>
      </c>
      <c r="K572" s="64">
        <v>300</v>
      </c>
    </row>
    <row r="573" spans="1:11" ht="27" customHeight="1">
      <c r="A573" s="60"/>
      <c r="B573" s="61"/>
      <c r="D573" s="79">
        <v>13</v>
      </c>
      <c r="E573" s="109">
        <f>INDEX('اکسسوری حذف از لیست اصلی'!C:C,MATCH(K573,'اکسسوری حذف از لیست اصلی'!T:T,0))</f>
        <v>9901040017</v>
      </c>
      <c r="F573" s="109" t="str">
        <f>INDEX('اکسسوری حذف از لیست اصلی'!D:D,MATCH(K573,'اکسسوری حذف از لیست اصلی'!T:T,0))</f>
        <v>شاخه بری سبز ماتAF-L017</v>
      </c>
      <c r="G573" s="110">
        <f>INDEX('اکسسوری حذف از لیست اصلی'!E:E,MATCH(K573,'اکسسوری حذف از لیست اصلی'!T:T,0))</f>
        <v>0</v>
      </c>
      <c r="H573" s="110">
        <f>INDEX('اکسسوری حذف از لیست اصلی'!F:F,MATCH(K573,'اکسسوری حذف از لیست اصلی'!T:T,0))</f>
        <v>0</v>
      </c>
      <c r="I573" s="110">
        <f>INDEX('اکسسوری حذف از لیست اصلی'!G:G,MATCH(K573,'اکسسوری حذف از لیست اصلی'!T:T,0))</f>
        <v>0</v>
      </c>
      <c r="J573" s="74">
        <f>INDEX('اکسسوری حذف از لیست اصلی'!J:J,MATCH(K573,'اکسسوری حذف از لیست اصلی'!T:T,0))</f>
        <v>40000000</v>
      </c>
      <c r="K573" s="64">
        <v>301</v>
      </c>
    </row>
    <row r="574" spans="1:11" ht="27" customHeight="1">
      <c r="A574" s="60"/>
      <c r="B574" s="61"/>
      <c r="D574" s="73">
        <v>14</v>
      </c>
      <c r="E574" s="109">
        <f>INDEX('اکسسوری حذف از لیست اصلی'!C:C,MATCH(K574,'اکسسوری حذف از لیست اصلی'!T:T,0))</f>
        <v>9901040018</v>
      </c>
      <c r="F574" s="109" t="str">
        <f>INDEX('اکسسوری حذف از لیست اصلی'!D:D,MATCH(K574,'اکسسوری حذف از لیست اصلی'!T:T,0))</f>
        <v>شاخه تزئینیAF-L018</v>
      </c>
      <c r="G574" s="110">
        <f>INDEX('اکسسوری حذف از لیست اصلی'!E:E,MATCH(K574,'اکسسوری حذف از لیست اصلی'!T:T,0))</f>
        <v>0</v>
      </c>
      <c r="H574" s="110">
        <f>INDEX('اکسسوری حذف از لیست اصلی'!F:F,MATCH(K574,'اکسسوری حذف از لیست اصلی'!T:T,0))</f>
        <v>0</v>
      </c>
      <c r="I574" s="110">
        <f>INDEX('اکسسوری حذف از لیست اصلی'!G:G,MATCH(K574,'اکسسوری حذف از لیست اصلی'!T:T,0))</f>
        <v>0</v>
      </c>
      <c r="J574" s="74">
        <f>INDEX('اکسسوری حذف از لیست اصلی'!J:J,MATCH(K574,'اکسسوری حذف از لیست اصلی'!T:T,0))</f>
        <v>23000000</v>
      </c>
      <c r="K574" s="64">
        <v>302</v>
      </c>
    </row>
    <row r="575" spans="1:11" ht="27" customHeight="1">
      <c r="A575" s="60"/>
      <c r="B575" s="61"/>
      <c r="D575" s="79">
        <v>15</v>
      </c>
      <c r="E575" s="109">
        <f>INDEX('اکسسوری حذف از لیست اصلی'!C:C,MATCH(K575,'اکسسوری حذف از لیست اصلی'!T:T,0))</f>
        <v>9901040020</v>
      </c>
      <c r="F575" s="109" t="str">
        <f>INDEX('اکسسوری حذف از لیست اصلی'!D:D,MATCH(K575,'اکسسوری حذف از لیست اصلی'!T:T,0))</f>
        <v>شاخه رز یاسی AF-F020</v>
      </c>
      <c r="G575" s="110">
        <f>INDEX('اکسسوری حذف از لیست اصلی'!E:E,MATCH(K575,'اکسسوری حذف از لیست اصلی'!T:T,0))</f>
        <v>0</v>
      </c>
      <c r="H575" s="110">
        <f>INDEX('اکسسوری حذف از لیست اصلی'!F:F,MATCH(K575,'اکسسوری حذف از لیست اصلی'!T:T,0))</f>
        <v>0</v>
      </c>
      <c r="I575" s="110">
        <f>INDEX('اکسسوری حذف از لیست اصلی'!G:G,MATCH(K575,'اکسسوری حذف از لیست اصلی'!T:T,0))</f>
        <v>0</v>
      </c>
      <c r="J575" s="74">
        <f>INDEX('اکسسوری حذف از لیست اصلی'!J:J,MATCH(K575,'اکسسوری حذف از لیست اصلی'!T:T,0))</f>
        <v>28000000</v>
      </c>
      <c r="K575" s="64">
        <v>303</v>
      </c>
    </row>
    <row r="576" spans="1:11" ht="27" customHeight="1">
      <c r="A576" s="60"/>
      <c r="B576" s="61"/>
      <c r="D576" s="73">
        <v>16</v>
      </c>
      <c r="E576" s="109">
        <f>INDEX('اکسسوری حذف از لیست اصلی'!C:C,MATCH(K576,'اکسسوری حذف از لیست اصلی'!T:T,0))</f>
        <v>9901040021</v>
      </c>
      <c r="F576" s="109" t="str">
        <f>INDEX('اکسسوری حذف از لیست اصلی'!D:D,MATCH(K576,'اکسسوری حذف از لیست اصلی'!T:T,0))</f>
        <v>شاخه پامپاس جاروییAF-L021</v>
      </c>
      <c r="G576" s="110">
        <f>INDEX('اکسسوری حذف از لیست اصلی'!E:E,MATCH(K576,'اکسسوری حذف از لیست اصلی'!T:T,0))</f>
        <v>0</v>
      </c>
      <c r="H576" s="110">
        <f>INDEX('اکسسوری حذف از لیست اصلی'!F:F,MATCH(K576,'اکسسوری حذف از لیست اصلی'!T:T,0))</f>
        <v>0</v>
      </c>
      <c r="I576" s="110">
        <f>INDEX('اکسسوری حذف از لیست اصلی'!G:G,MATCH(K576,'اکسسوری حذف از لیست اصلی'!T:T,0))</f>
        <v>0</v>
      </c>
      <c r="J576" s="74">
        <f>INDEX('اکسسوری حذف از لیست اصلی'!J:J,MATCH(K576,'اکسسوری حذف از لیست اصلی'!T:T,0))</f>
        <v>20000000</v>
      </c>
      <c r="K576" s="64">
        <v>304</v>
      </c>
    </row>
    <row r="577" spans="1:11" ht="27" customHeight="1">
      <c r="A577" s="60"/>
      <c r="B577" s="61"/>
      <c r="D577" s="79">
        <v>17</v>
      </c>
      <c r="E577" s="109">
        <f>INDEX('اکسسوری حذف از لیست اصلی'!C:C,MATCH(K577,'اکسسوری حذف از لیست اصلی'!T:T,0))</f>
        <v>9901040024</v>
      </c>
      <c r="F577" s="109" t="str">
        <f>INDEX('اکسسوری حذف از لیست اصلی'!D:D,MATCH(K577,'اکسسوری حذف از لیست اصلی'!T:T,0))</f>
        <v>شاخه برگ جز رنگیAF-L024</v>
      </c>
      <c r="G577" s="110">
        <f>INDEX('اکسسوری حذف از لیست اصلی'!E:E,MATCH(K577,'اکسسوری حذف از لیست اصلی'!T:T,0))</f>
        <v>0</v>
      </c>
      <c r="H577" s="110">
        <f>INDEX('اکسسوری حذف از لیست اصلی'!F:F,MATCH(K577,'اکسسوری حذف از لیست اصلی'!T:T,0))</f>
        <v>0</v>
      </c>
      <c r="I577" s="110">
        <f>INDEX('اکسسوری حذف از لیست اصلی'!G:G,MATCH(K577,'اکسسوری حذف از لیست اصلی'!T:T,0))</f>
        <v>0</v>
      </c>
      <c r="J577" s="74">
        <f>INDEX('اکسسوری حذف از لیست اصلی'!J:J,MATCH(K577,'اکسسوری حذف از لیست اصلی'!T:T,0))</f>
        <v>22000000</v>
      </c>
      <c r="K577" s="64">
        <v>305</v>
      </c>
    </row>
    <row r="578" spans="1:11" ht="27" customHeight="1">
      <c r="A578" s="60"/>
      <c r="B578" s="61"/>
      <c r="D578" s="73">
        <v>18</v>
      </c>
      <c r="E578" s="109">
        <f>INDEX('اکسسوری حذف از لیست اصلی'!C:C,MATCH(K578,'اکسسوری حذف از لیست اصلی'!T:T,0))</f>
        <v>9901040025</v>
      </c>
      <c r="F578" s="109" t="str">
        <f>INDEX('اکسسوری حذف از لیست اصلی'!D:D,MATCH(K578,'اکسسوری حذف از لیست اصلی'!T:T,0))</f>
        <v>شاخه رز ژولیت نسکافه ایAF-F025</v>
      </c>
      <c r="G578" s="110">
        <f>INDEX('اکسسوری حذف از لیست اصلی'!E:E,MATCH(K578,'اکسسوری حذف از لیست اصلی'!T:T,0))</f>
        <v>0</v>
      </c>
      <c r="H578" s="110">
        <f>INDEX('اکسسوری حذف از لیست اصلی'!F:F,MATCH(K578,'اکسسوری حذف از لیست اصلی'!T:T,0))</f>
        <v>0</v>
      </c>
      <c r="I578" s="110">
        <f>INDEX('اکسسوری حذف از لیست اصلی'!G:G,MATCH(K578,'اکسسوری حذف از لیست اصلی'!T:T,0))</f>
        <v>0</v>
      </c>
      <c r="J578" s="74">
        <f>INDEX('اکسسوری حذف از لیست اصلی'!J:J,MATCH(K578,'اکسسوری حذف از لیست اصلی'!T:T,0))</f>
        <v>28000000</v>
      </c>
      <c r="K578" s="64">
        <v>306</v>
      </c>
    </row>
    <row r="579" spans="1:11" ht="27" customHeight="1">
      <c r="A579" s="60"/>
      <c r="B579" s="61"/>
      <c r="D579" s="79">
        <v>19</v>
      </c>
      <c r="E579" s="109">
        <f>INDEX('اکسسوری حذف از لیست اصلی'!C:C,MATCH(K579,'اکسسوری حذف از لیست اصلی'!T:T,0))</f>
        <v>9901040028</v>
      </c>
      <c r="F579" s="109" t="str">
        <f>INDEX('اکسسوری حذف از لیست اصلی'!D:D,MATCH(K579,'اکسسوری حذف از لیست اصلی'!T:T,0))</f>
        <v>شاخه برگ کرم AF-L028</v>
      </c>
      <c r="G579" s="110">
        <f>INDEX('اکسسوری حذف از لیست اصلی'!E:E,MATCH(K579,'اکسسوری حذف از لیست اصلی'!T:T,0))</f>
        <v>0</v>
      </c>
      <c r="H579" s="110">
        <f>INDEX('اکسسوری حذف از لیست اصلی'!F:F,MATCH(K579,'اکسسوری حذف از لیست اصلی'!T:T,0))</f>
        <v>0</v>
      </c>
      <c r="I579" s="110">
        <f>INDEX('اکسسوری حذف از لیست اصلی'!G:G,MATCH(K579,'اکسسوری حذف از لیست اصلی'!T:T,0))</f>
        <v>0</v>
      </c>
      <c r="J579" s="74">
        <f>INDEX('اکسسوری حذف از لیست اصلی'!J:J,MATCH(K579,'اکسسوری حذف از لیست اصلی'!T:T,0))</f>
        <v>22000000</v>
      </c>
      <c r="K579" s="64">
        <v>307</v>
      </c>
    </row>
    <row r="580" spans="1:11" ht="27" customHeight="1">
      <c r="A580" s="60"/>
      <c r="B580" s="61"/>
      <c r="D580" s="73">
        <v>20</v>
      </c>
      <c r="E580" s="109">
        <f>INDEX('اکسسوری حذف از لیست اصلی'!C:C,MATCH(K580,'اکسسوری حذف از لیست اصلی'!T:T,0))</f>
        <v>9901040031</v>
      </c>
      <c r="F580" s="109" t="str">
        <f>INDEX('اکسسوری حذف از لیست اصلی'!D:D,MATCH(K580,'اکسسوری حذف از لیست اصلی'!T:T,0))</f>
        <v>درختچه بزرگ مصنوعی</v>
      </c>
      <c r="G580" s="110">
        <f>INDEX('اکسسوری حذف از لیست اصلی'!E:E,MATCH(K580,'اکسسوری حذف از لیست اصلی'!T:T,0))</f>
        <v>0</v>
      </c>
      <c r="H580" s="110">
        <f>INDEX('اکسسوری حذف از لیست اصلی'!F:F,MATCH(K580,'اکسسوری حذف از لیست اصلی'!T:T,0))</f>
        <v>0</v>
      </c>
      <c r="I580" s="110">
        <f>INDEX('اکسسوری حذف از لیست اصلی'!G:G,MATCH(K580,'اکسسوری حذف از لیست اصلی'!T:T,0))</f>
        <v>0</v>
      </c>
      <c r="J580" s="74">
        <f>INDEX('اکسسوری حذف از لیست اصلی'!J:J,MATCH(K580,'اکسسوری حذف از لیست اصلی'!T:T,0))</f>
        <v>467000000</v>
      </c>
      <c r="K580" s="64">
        <v>308</v>
      </c>
    </row>
    <row r="581" spans="1:11" ht="27" customHeight="1">
      <c r="A581" s="60"/>
      <c r="B581" s="61"/>
      <c r="D581" s="79">
        <v>21</v>
      </c>
      <c r="E581" s="109">
        <f>INDEX('اکسسوری حذف از لیست اصلی'!C:C,MATCH(K581,'اکسسوری حذف از لیست اصلی'!T:T,0))</f>
        <v>9901040032</v>
      </c>
      <c r="F581" s="109" t="str">
        <f>INDEX('اکسسوری حذف از لیست اصلی'!D:D,MATCH(K581,'اکسسوری حذف از لیست اصلی'!T:T,0))</f>
        <v>درختچه متوسط مصنوعی کد 5028</v>
      </c>
      <c r="G581" s="110">
        <f>INDEX('اکسسوری حذف از لیست اصلی'!E:E,MATCH(K581,'اکسسوری حذف از لیست اصلی'!T:T,0))</f>
        <v>0</v>
      </c>
      <c r="H581" s="110">
        <f>INDEX('اکسسوری حذف از لیست اصلی'!F:F,MATCH(K581,'اکسسوری حذف از لیست اصلی'!T:T,0))</f>
        <v>0</v>
      </c>
      <c r="I581" s="110">
        <f>INDEX('اکسسوری حذف از لیست اصلی'!G:G,MATCH(K581,'اکسسوری حذف از لیست اصلی'!T:T,0))</f>
        <v>0</v>
      </c>
      <c r="J581" s="74">
        <f>INDEX('اکسسوری حذف از لیست اصلی'!J:J,MATCH(K581,'اکسسوری حذف از لیست اصلی'!T:T,0))</f>
        <v>294000000</v>
      </c>
      <c r="K581" s="64">
        <v>309</v>
      </c>
    </row>
    <row r="582" spans="1:11" ht="27" customHeight="1">
      <c r="A582" s="60"/>
      <c r="B582" s="61"/>
      <c r="D582" s="28"/>
      <c r="E582" s="65"/>
      <c r="G582" s="28"/>
      <c r="H582" s="28"/>
      <c r="I582" s="28"/>
      <c r="J582" s="74"/>
    </row>
    <row r="583" spans="1:11">
      <c r="A583" s="60"/>
      <c r="B583" s="61"/>
      <c r="J583" s="74">
        <v>20</v>
      </c>
    </row>
    <row r="584" spans="1:11">
      <c r="A584" s="70"/>
      <c r="B584" s="71"/>
      <c r="C584" s="183"/>
      <c r="D584" s="184"/>
      <c r="E584" s="184"/>
      <c r="F584" s="184"/>
      <c r="G584" s="184"/>
      <c r="H584" s="184"/>
      <c r="I584" s="184"/>
      <c r="J584" s="184"/>
    </row>
    <row r="585" spans="1:11">
      <c r="A585" s="70"/>
      <c r="B585" s="71"/>
      <c r="C585" s="183"/>
      <c r="D585" s="184"/>
      <c r="E585" s="184"/>
      <c r="F585" s="184"/>
      <c r="G585" s="184"/>
      <c r="H585" s="184"/>
      <c r="I585" s="184"/>
      <c r="J585" s="184"/>
    </row>
    <row r="586" spans="1:11" ht="27.75">
      <c r="A586" s="70"/>
      <c r="B586" s="71"/>
      <c r="C586" s="72"/>
      <c r="D586" s="67" t="s">
        <v>973</v>
      </c>
      <c r="J586" s="68" t="str">
        <f>$N$1</f>
        <v>1405/02/23</v>
      </c>
    </row>
    <row r="587" spans="1:11" ht="36">
      <c r="A587" s="70"/>
      <c r="B587" s="71"/>
      <c r="C587" s="77"/>
      <c r="D587" s="75" t="s">
        <v>0</v>
      </c>
      <c r="E587" s="69" t="s">
        <v>1</v>
      </c>
      <c r="F587" s="107" t="s">
        <v>448</v>
      </c>
      <c r="G587" s="108" t="s">
        <v>1141</v>
      </c>
      <c r="H587" s="108" t="s">
        <v>1142</v>
      </c>
      <c r="I587" s="108" t="s">
        <v>1143</v>
      </c>
      <c r="J587" s="68" t="s">
        <v>251</v>
      </c>
    </row>
    <row r="588" spans="1:11" ht="30.75" customHeight="1">
      <c r="A588" s="60"/>
      <c r="B588" s="61"/>
      <c r="D588" s="73">
        <v>1</v>
      </c>
      <c r="E588" s="109">
        <f>INDEX('اکسسوری حذف از لیست اصلی'!C:C,MATCH(K588,'اکسسوری حذف از لیست اصلی'!T:T,0))</f>
        <v>9901030006</v>
      </c>
      <c r="F588" s="109" t="str">
        <f>INDEX('اکسسوری حذف از لیست اصلی'!D:D,MATCH(K588,'اکسسوری حذف از لیست اصلی'!T:T,0))</f>
        <v>گلدان آلومنیومی نقره ای DV-A006</v>
      </c>
      <c r="G588" s="110" t="str">
        <f>INDEX('اکسسوری حذف از لیست اصلی'!E:E,MATCH(K588,'اکسسوری حذف از لیست اصلی'!T:T,0))</f>
        <v>-</v>
      </c>
      <c r="H588" s="110">
        <f>INDEX('اکسسوری حذف از لیست اصلی'!F:F,MATCH(K588,'اکسسوری حذف از لیست اصلی'!T:T,0))</f>
        <v>0</v>
      </c>
      <c r="I588" s="110">
        <f>INDEX('اکسسوری حذف از لیست اصلی'!G:G,MATCH(K588,'اکسسوری حذف از لیست اصلی'!T:T,0))</f>
        <v>0</v>
      </c>
      <c r="J588" s="74">
        <f>INDEX('اکسسوری حذف از لیست اصلی'!J:J,MATCH(K588,'اکسسوری حذف از لیست اصلی'!T:T,0))</f>
        <v>389000000</v>
      </c>
      <c r="K588" s="64">
        <v>310</v>
      </c>
    </row>
    <row r="589" spans="1:11" ht="30.75" customHeight="1">
      <c r="A589" s="60"/>
      <c r="B589" s="61"/>
      <c r="C589" s="78"/>
      <c r="D589" s="79">
        <v>2</v>
      </c>
      <c r="E589" s="109">
        <f>INDEX('اکسسوری حذف از لیست اصلی'!C:C,MATCH(K589,'اکسسوری حذف از لیست اصلی'!T:T,0))</f>
        <v>9901030007</v>
      </c>
      <c r="F589" s="109" t="str">
        <f>INDEX('اکسسوری حذف از لیست اصلی'!D:D,MATCH(K589,'اکسسوری حذف از لیست اصلی'!T:T,0))</f>
        <v>گلدان آلومنیومی بزرگ نقره ای DV-A007</v>
      </c>
      <c r="G589" s="110" t="str">
        <f>INDEX('اکسسوری حذف از لیست اصلی'!E:E,MATCH(K589,'اکسسوری حذف از لیست اصلی'!T:T,0))</f>
        <v>-</v>
      </c>
      <c r="H589" s="110">
        <f>INDEX('اکسسوری حذف از لیست اصلی'!F:F,MATCH(K589,'اکسسوری حذف از لیست اصلی'!T:T,0))</f>
        <v>0</v>
      </c>
      <c r="I589" s="110">
        <f>INDEX('اکسسوری حذف از لیست اصلی'!G:G,MATCH(K589,'اکسسوری حذف از لیست اصلی'!T:T,0))</f>
        <v>0</v>
      </c>
      <c r="J589" s="74">
        <f>INDEX('اکسسوری حذف از لیست اصلی'!J:J,MATCH(K589,'اکسسوری حذف از لیست اصلی'!T:T,0))</f>
        <v>144000000</v>
      </c>
      <c r="K589" s="64">
        <v>311</v>
      </c>
    </row>
    <row r="590" spans="1:11" ht="30.75" customHeight="1">
      <c r="A590" s="60"/>
      <c r="B590" s="61"/>
      <c r="D590" s="79">
        <v>3</v>
      </c>
      <c r="E590" s="109">
        <f>INDEX('اکسسوری حذف از لیست اصلی'!C:C,MATCH(K590,'اکسسوری حذف از لیست اصلی'!T:T,0))</f>
        <v>9901030008</v>
      </c>
      <c r="F590" s="109" t="str">
        <f>INDEX('اکسسوری حذف از لیست اصلی'!D:D,MATCH(K590,'اکسسوری حذف از لیست اصلی'!T:T,0))</f>
        <v>گلدان آلومنیومی کوچک نقره ای DV-A008</v>
      </c>
      <c r="G590" s="110" t="str">
        <f>INDEX('اکسسوری حذف از لیست اصلی'!E:E,MATCH(K590,'اکسسوری حذف از لیست اصلی'!T:T,0))</f>
        <v>-</v>
      </c>
      <c r="H590" s="110">
        <f>INDEX('اکسسوری حذف از لیست اصلی'!F:F,MATCH(K590,'اکسسوری حذف از لیست اصلی'!T:T,0))</f>
        <v>0</v>
      </c>
      <c r="I590" s="110">
        <f>INDEX('اکسسوری حذف از لیست اصلی'!G:G,MATCH(K590,'اکسسوری حذف از لیست اصلی'!T:T,0))</f>
        <v>0</v>
      </c>
      <c r="J590" s="74">
        <f>INDEX('اکسسوری حذف از لیست اصلی'!J:J,MATCH(K590,'اکسسوری حذف از لیست اصلی'!T:T,0))</f>
        <v>86000000</v>
      </c>
      <c r="K590" s="64">
        <v>312</v>
      </c>
    </row>
    <row r="591" spans="1:11" ht="28.5" customHeight="1">
      <c r="A591" s="60"/>
      <c r="B591" s="61"/>
      <c r="D591" s="79">
        <v>4</v>
      </c>
      <c r="E591" s="109">
        <f>INDEX('اکسسوری حذف از لیست اصلی'!C:C,MATCH(K591,'اکسسوری حذف از لیست اصلی'!T:T,0))</f>
        <v>9901030011</v>
      </c>
      <c r="F591" s="109" t="str">
        <f>INDEX('اکسسوری حذف از لیست اصلی'!D:D,MATCH(K591,'اکسسوری حذف از لیست اصلی'!T:T,0))</f>
        <v>گلدان آلومنیومی نقره ای DV-A011</v>
      </c>
      <c r="G591" s="110" t="str">
        <f>INDEX('اکسسوری حذف از لیست اصلی'!E:E,MATCH(K591,'اکسسوری حذف از لیست اصلی'!T:T,0))</f>
        <v>-</v>
      </c>
      <c r="H591" s="110">
        <f>INDEX('اکسسوری حذف از لیست اصلی'!F:F,MATCH(K591,'اکسسوری حذف از لیست اصلی'!T:T,0))</f>
        <v>0</v>
      </c>
      <c r="I591" s="110">
        <f>INDEX('اکسسوری حذف از لیست اصلی'!G:G,MATCH(K591,'اکسسوری حذف از لیست اصلی'!T:T,0))</f>
        <v>0</v>
      </c>
      <c r="J591" s="74">
        <f>INDEX('اکسسوری حذف از لیست اصلی'!J:J,MATCH(K591,'اکسسوری حذف از لیست اصلی'!T:T,0))</f>
        <v>86000000</v>
      </c>
      <c r="K591" s="64">
        <v>313</v>
      </c>
    </row>
    <row r="592" spans="1:11" ht="28.5" customHeight="1">
      <c r="A592" s="60"/>
      <c r="B592" s="61"/>
      <c r="D592" s="79">
        <v>5</v>
      </c>
      <c r="E592" s="109">
        <f>INDEX('اکسسوری حذف از لیست اصلی'!C:C,MATCH(K592,'اکسسوری حذف از لیست اصلی'!T:T,0))</f>
        <v>9901030018</v>
      </c>
      <c r="F592" s="109" t="str">
        <f>INDEX('اکسسوری حذف از لیست اصلی'!D:D,MATCH(K592,'اکسسوری حذف از لیست اصلی'!T:T,0))</f>
        <v>گلدان سنگی بزرگ DV-S018</v>
      </c>
      <c r="G592" s="110" t="str">
        <f>INDEX('اکسسوری حذف از لیست اصلی'!E:E,MATCH(K592,'اکسسوری حذف از لیست اصلی'!T:T,0))</f>
        <v>-</v>
      </c>
      <c r="H592" s="110">
        <f>INDEX('اکسسوری حذف از لیست اصلی'!F:F,MATCH(K592,'اکسسوری حذف از لیست اصلی'!T:T,0))</f>
        <v>0</v>
      </c>
      <c r="I592" s="110">
        <f>INDEX('اکسسوری حذف از لیست اصلی'!G:G,MATCH(K592,'اکسسوری حذف از لیست اصلی'!T:T,0))</f>
        <v>0</v>
      </c>
      <c r="J592" s="74">
        <f>INDEX('اکسسوری حذف از لیست اصلی'!J:J,MATCH(K592,'اکسسوری حذف از لیست اصلی'!T:T,0))</f>
        <v>72000000</v>
      </c>
      <c r="K592" s="64">
        <v>314</v>
      </c>
    </row>
    <row r="593" spans="1:11" ht="28.5" customHeight="1">
      <c r="A593" s="60"/>
      <c r="B593" s="61"/>
      <c r="D593" s="79">
        <v>6</v>
      </c>
      <c r="E593" s="109">
        <f>INDEX('اکسسوری حذف از لیست اصلی'!C:C,MATCH(K593,'اکسسوری حذف از لیست اصلی'!T:T,0))</f>
        <v>9901030019</v>
      </c>
      <c r="F593" s="109" t="str">
        <f>INDEX('اکسسوری حذف از لیست اصلی'!D:D,MATCH(K593,'اکسسوری حذف از لیست اصلی'!T:T,0))</f>
        <v>گلدان سنگی کوچک DV-S019</v>
      </c>
      <c r="G593" s="110" t="str">
        <f>INDEX('اکسسوری حذف از لیست اصلی'!E:E,MATCH(K593,'اکسسوری حذف از لیست اصلی'!T:T,0))</f>
        <v>-</v>
      </c>
      <c r="H593" s="110">
        <f>INDEX('اکسسوری حذف از لیست اصلی'!F:F,MATCH(K593,'اکسسوری حذف از لیست اصلی'!T:T,0))</f>
        <v>0</v>
      </c>
      <c r="I593" s="110">
        <f>INDEX('اکسسوری حذف از لیست اصلی'!G:G,MATCH(K593,'اکسسوری حذف از لیست اصلی'!T:T,0))</f>
        <v>0</v>
      </c>
      <c r="J593" s="74">
        <f>INDEX('اکسسوری حذف از لیست اصلی'!J:J,MATCH(K593,'اکسسوری حذف از لیست اصلی'!T:T,0))</f>
        <v>63000000</v>
      </c>
      <c r="K593" s="64">
        <v>315</v>
      </c>
    </row>
    <row r="594" spans="1:11" ht="30" customHeight="1">
      <c r="A594" s="60"/>
      <c r="B594" s="61"/>
      <c r="D594" s="79">
        <v>7</v>
      </c>
      <c r="E594" s="109">
        <f>INDEX('اکسسوری حذف از لیست اصلی'!C:C,MATCH(K594,'اکسسوری حذف از لیست اصلی'!T:T,0))</f>
        <v>9901030026</v>
      </c>
      <c r="F594" s="109" t="str">
        <f>INDEX('اکسسوری حذف از لیست اصلی'!D:D,MATCH(K594,'اکسسوری حذف از لیست اصلی'!T:T,0))</f>
        <v>گلدان آلومنیومی بزرگ نقره ای DV-A026</v>
      </c>
      <c r="G594" s="110" t="str">
        <f>INDEX('اکسسوری حذف از لیست اصلی'!E:E,MATCH(K594,'اکسسوری حذف از لیست اصلی'!T:T,0))</f>
        <v>-</v>
      </c>
      <c r="H594" s="110">
        <f>INDEX('اکسسوری حذف از لیست اصلی'!F:F,MATCH(K594,'اکسسوری حذف از لیست اصلی'!T:T,0))</f>
        <v>0</v>
      </c>
      <c r="I594" s="110">
        <f>INDEX('اکسسوری حذف از لیست اصلی'!G:G,MATCH(K594,'اکسسوری حذف از لیست اصلی'!T:T,0))</f>
        <v>0</v>
      </c>
      <c r="J594" s="74">
        <f>INDEX('اکسسوری حذف از لیست اصلی'!J:J,MATCH(K594,'اکسسوری حذف از لیست اصلی'!T:T,0))</f>
        <v>495000000</v>
      </c>
      <c r="K594" s="64">
        <v>316</v>
      </c>
    </row>
    <row r="595" spans="1:11" ht="30" customHeight="1">
      <c r="A595" s="60"/>
      <c r="B595" s="61"/>
      <c r="D595" s="79">
        <v>8</v>
      </c>
      <c r="E595" s="109">
        <f>INDEX('اکسسوری حذف از لیست اصلی'!C:C,MATCH(K595,'اکسسوری حذف از لیست اصلی'!T:T,0))</f>
        <v>9901030027</v>
      </c>
      <c r="F595" s="109" t="str">
        <f>INDEX('اکسسوری حذف از لیست اصلی'!D:D,MATCH(K595,'اکسسوری حذف از لیست اصلی'!T:T,0))</f>
        <v>گلدان آلومنیومی کوچک نقره ای DV-A027</v>
      </c>
      <c r="G595" s="110" t="str">
        <f>INDEX('اکسسوری حذف از لیست اصلی'!E:E,MATCH(K595,'اکسسوری حذف از لیست اصلی'!T:T,0))</f>
        <v>-</v>
      </c>
      <c r="H595" s="110">
        <f>INDEX('اکسسوری حذف از لیست اصلی'!F:F,MATCH(K595,'اکسسوری حذف از لیست اصلی'!T:T,0))</f>
        <v>0</v>
      </c>
      <c r="I595" s="110">
        <f>INDEX('اکسسوری حذف از لیست اصلی'!G:G,MATCH(K595,'اکسسوری حذف از لیست اصلی'!T:T,0))</f>
        <v>0</v>
      </c>
      <c r="J595" s="74">
        <f>INDEX('اکسسوری حذف از لیست اصلی'!J:J,MATCH(K595,'اکسسوری حذف از لیست اصلی'!T:T,0))</f>
        <v>283000000</v>
      </c>
      <c r="K595" s="64">
        <v>317</v>
      </c>
    </row>
    <row r="596" spans="1:11" ht="30" customHeight="1">
      <c r="A596" s="60"/>
      <c r="B596" s="61"/>
      <c r="D596" s="79">
        <v>9</v>
      </c>
      <c r="E596" s="109">
        <f>INDEX('اکسسوری حذف از لیست اصلی'!C:C,MATCH(K596,'اکسسوری حذف از لیست اصلی'!T:T,0))</f>
        <v>9901030043</v>
      </c>
      <c r="F596" s="109" t="str">
        <f>INDEX('اکسسوری حذف از لیست اصلی'!D:D,MATCH(K596,'اکسسوری حذف از لیست اصلی'!T:T,0))</f>
        <v>گلدان سفالی بزرگ DV-C043</v>
      </c>
      <c r="G596" s="110" t="str">
        <f>INDEX('اکسسوری حذف از لیست اصلی'!E:E,MATCH(K596,'اکسسوری حذف از لیست اصلی'!T:T,0))</f>
        <v>-</v>
      </c>
      <c r="H596" s="110">
        <f>INDEX('اکسسوری حذف از لیست اصلی'!F:F,MATCH(K596,'اکسسوری حذف از لیست اصلی'!T:T,0))</f>
        <v>0</v>
      </c>
      <c r="I596" s="110">
        <f>INDEX('اکسسوری حذف از لیست اصلی'!G:G,MATCH(K596,'اکسسوری حذف از لیست اصلی'!T:T,0))</f>
        <v>0</v>
      </c>
      <c r="J596" s="74">
        <f>INDEX('اکسسوری حذف از لیست اصلی'!J:J,MATCH(K596,'اکسسوری حذف از لیست اصلی'!T:T,0))</f>
        <v>112000000</v>
      </c>
      <c r="K596" s="64">
        <v>318</v>
      </c>
    </row>
    <row r="597" spans="1:11" ht="28.5" customHeight="1">
      <c r="A597" s="60"/>
      <c r="B597" s="61"/>
      <c r="D597" s="79">
        <v>10</v>
      </c>
      <c r="E597" s="109">
        <f>INDEX('اکسسوری حذف از لیست اصلی'!C:C,MATCH(K597,'اکسسوری حذف از لیست اصلی'!T:T,0))</f>
        <v>9901030046</v>
      </c>
      <c r="F597" s="109" t="str">
        <f>INDEX('اکسسوری حذف از لیست اصلی'!D:D,MATCH(K597,'اکسسوری حذف از لیست اصلی'!T:T,0))</f>
        <v>گلدان سفالی کوچک DV-C046</v>
      </c>
      <c r="G597" s="110" t="str">
        <f>INDEX('اکسسوری حذف از لیست اصلی'!E:E,MATCH(K597,'اکسسوری حذف از لیست اصلی'!T:T,0))</f>
        <v>-</v>
      </c>
      <c r="H597" s="110">
        <f>INDEX('اکسسوری حذف از لیست اصلی'!F:F,MATCH(K597,'اکسسوری حذف از لیست اصلی'!T:T,0))</f>
        <v>0</v>
      </c>
      <c r="I597" s="110">
        <f>INDEX('اکسسوری حذف از لیست اصلی'!G:G,MATCH(K597,'اکسسوری حذف از لیست اصلی'!T:T,0))</f>
        <v>0</v>
      </c>
      <c r="J597" s="74">
        <f>INDEX('اکسسوری حذف از لیست اصلی'!J:J,MATCH(K597,'اکسسوری حذف از لیست اصلی'!T:T,0))</f>
        <v>62000000</v>
      </c>
      <c r="K597" s="64">
        <v>319</v>
      </c>
    </row>
    <row r="598" spans="1:11" ht="28.5" customHeight="1">
      <c r="A598" s="60"/>
      <c r="B598" s="61"/>
      <c r="D598" s="79">
        <v>11</v>
      </c>
      <c r="E598" s="109">
        <f>INDEX('اکسسوری حذف از لیست اصلی'!C:C,MATCH(K598,'اکسسوری حذف از لیست اصلی'!T:T,0))</f>
        <v>9901030047</v>
      </c>
      <c r="F598" s="109" t="str">
        <f>INDEX('اکسسوری حذف از لیست اصلی'!D:D,MATCH(K598,'اکسسوری حذف از لیست اصلی'!T:T,0))</f>
        <v>گلدان سفالی کوچک DV-C047</v>
      </c>
      <c r="G598" s="110" t="str">
        <f>INDEX('اکسسوری حذف از لیست اصلی'!E:E,MATCH(K598,'اکسسوری حذف از لیست اصلی'!T:T,0))</f>
        <v>-</v>
      </c>
      <c r="H598" s="110">
        <f>INDEX('اکسسوری حذف از لیست اصلی'!F:F,MATCH(K598,'اکسسوری حذف از لیست اصلی'!T:T,0))</f>
        <v>0</v>
      </c>
      <c r="I598" s="110">
        <f>INDEX('اکسسوری حذف از لیست اصلی'!G:G,MATCH(K598,'اکسسوری حذف از لیست اصلی'!T:T,0))</f>
        <v>0</v>
      </c>
      <c r="J598" s="74">
        <f>INDEX('اکسسوری حذف از لیست اصلی'!J:J,MATCH(K598,'اکسسوری حذف از لیست اصلی'!T:T,0))</f>
        <v>62000000</v>
      </c>
      <c r="K598" s="64">
        <v>320</v>
      </c>
    </row>
    <row r="599" spans="1:11" ht="28.5" customHeight="1">
      <c r="A599" s="60"/>
      <c r="B599" s="61"/>
      <c r="D599" s="79">
        <v>12</v>
      </c>
      <c r="E599" s="109">
        <f>INDEX('اکسسوری حذف از لیست اصلی'!C:C,MATCH(K599,'اکسسوری حذف از لیست اصلی'!T:T,0))</f>
        <v>9901030048</v>
      </c>
      <c r="F599" s="109" t="str">
        <f>INDEX('اکسسوری حذف از لیست اصلی'!D:D,MATCH(K599,'اکسسوری حذف از لیست اصلی'!T:T,0))</f>
        <v>گلدان سفالی کوچک DV-C048</v>
      </c>
      <c r="G599" s="110" t="str">
        <f>INDEX('اکسسوری حذف از لیست اصلی'!E:E,MATCH(K599,'اکسسوری حذف از لیست اصلی'!T:T,0))</f>
        <v>-</v>
      </c>
      <c r="H599" s="110">
        <f>INDEX('اکسسوری حذف از لیست اصلی'!F:F,MATCH(K599,'اکسسوری حذف از لیست اصلی'!T:T,0))</f>
        <v>0</v>
      </c>
      <c r="I599" s="110">
        <f>INDEX('اکسسوری حذف از لیست اصلی'!G:G,MATCH(K599,'اکسسوری حذف از لیست اصلی'!T:T,0))</f>
        <v>0</v>
      </c>
      <c r="J599" s="74">
        <f>INDEX('اکسسوری حذف از لیست اصلی'!J:J,MATCH(K599,'اکسسوری حذف از لیست اصلی'!T:T,0))</f>
        <v>62000000</v>
      </c>
      <c r="K599" s="64">
        <v>321</v>
      </c>
    </row>
    <row r="600" spans="1:11" ht="28.5" customHeight="1">
      <c r="A600" s="60"/>
      <c r="B600" s="61"/>
      <c r="D600" s="79">
        <v>13</v>
      </c>
      <c r="E600" s="109">
        <f>INDEX('اکسسوری حذف از لیست اصلی'!C:C,MATCH(K600,'اکسسوری حذف از لیست اصلی'!T:T,0))</f>
        <v>9901030049</v>
      </c>
      <c r="F600" s="109" t="str">
        <f>INDEX('اکسسوری حذف از لیست اصلی'!D:D,MATCH(K600,'اکسسوری حذف از لیست اصلی'!T:T,0))</f>
        <v>گلدان سفالی کوچک DV-C049</v>
      </c>
      <c r="G600" s="110" t="str">
        <f>INDEX('اکسسوری حذف از لیست اصلی'!E:E,MATCH(K600,'اکسسوری حذف از لیست اصلی'!T:T,0))</f>
        <v>-</v>
      </c>
      <c r="H600" s="110">
        <f>INDEX('اکسسوری حذف از لیست اصلی'!F:F,MATCH(K600,'اکسسوری حذف از لیست اصلی'!T:T,0))</f>
        <v>0</v>
      </c>
      <c r="I600" s="110">
        <f>INDEX('اکسسوری حذف از لیست اصلی'!G:G,MATCH(K600,'اکسسوری حذف از لیست اصلی'!T:T,0))</f>
        <v>0</v>
      </c>
      <c r="J600" s="74">
        <f>INDEX('اکسسوری حذف از لیست اصلی'!J:J,MATCH(K600,'اکسسوری حذف از لیست اصلی'!T:T,0))</f>
        <v>62000000</v>
      </c>
      <c r="K600" s="64">
        <v>322</v>
      </c>
    </row>
    <row r="601" spans="1:11" ht="30.75" customHeight="1">
      <c r="A601" s="60"/>
      <c r="B601" s="61"/>
      <c r="D601" s="79">
        <v>14</v>
      </c>
      <c r="E601" s="109">
        <f>INDEX('اکسسوری حذف از لیست اصلی'!C:C,MATCH(K601,'اکسسوری حذف از لیست اصلی'!T:T,0))</f>
        <v>9901030050</v>
      </c>
      <c r="F601" s="109" t="str">
        <f>INDEX('اکسسوری حذف از لیست اصلی'!D:D,MATCH(K601,'اکسسوری حذف از لیست اصلی'!T:T,0))</f>
        <v>گلدان سفالی کوچک DV-C050</v>
      </c>
      <c r="G601" s="110" t="str">
        <f>INDEX('اکسسوری حذف از لیست اصلی'!E:E,MATCH(K601,'اکسسوری حذف از لیست اصلی'!T:T,0))</f>
        <v>-</v>
      </c>
      <c r="H601" s="110">
        <f>INDEX('اکسسوری حذف از لیست اصلی'!F:F,MATCH(K601,'اکسسوری حذف از لیست اصلی'!T:T,0))</f>
        <v>0</v>
      </c>
      <c r="I601" s="110">
        <f>INDEX('اکسسوری حذف از لیست اصلی'!G:G,MATCH(K601,'اکسسوری حذف از لیست اصلی'!T:T,0))</f>
        <v>0</v>
      </c>
      <c r="J601" s="74">
        <f>INDEX('اکسسوری حذف از لیست اصلی'!J:J,MATCH(K601,'اکسسوری حذف از لیست اصلی'!T:T,0))</f>
        <v>62000000</v>
      </c>
      <c r="K601" s="64">
        <v>323</v>
      </c>
    </row>
    <row r="602" spans="1:11" ht="30.75" customHeight="1">
      <c r="A602" s="60"/>
      <c r="B602" s="61"/>
      <c r="D602" s="79">
        <v>15</v>
      </c>
      <c r="E602" s="109">
        <f>INDEX('اکسسوری حذف از لیست اصلی'!C:C,MATCH(K602,'اکسسوری حذف از لیست اصلی'!T:T,0))</f>
        <v>9901030055</v>
      </c>
      <c r="F602" s="109" t="str">
        <f>INDEX('اکسسوری حذف از لیست اصلی'!D:D,MATCH(K602,'اکسسوری حذف از لیست اصلی'!T:T,0))</f>
        <v>گلدان آلومنیومی نقره ای DV-A055</v>
      </c>
      <c r="G602" s="110" t="str">
        <f>INDEX('اکسسوری حذف از لیست اصلی'!E:E,MATCH(K602,'اکسسوری حذف از لیست اصلی'!T:T,0))</f>
        <v>-</v>
      </c>
      <c r="H602" s="110">
        <f>INDEX('اکسسوری حذف از لیست اصلی'!F:F,MATCH(K602,'اکسسوری حذف از لیست اصلی'!T:T,0))</f>
        <v>0</v>
      </c>
      <c r="I602" s="110">
        <f>INDEX('اکسسوری حذف از لیست اصلی'!G:G,MATCH(K602,'اکسسوری حذف از لیست اصلی'!T:T,0))</f>
        <v>0</v>
      </c>
      <c r="J602" s="74">
        <f>INDEX('اکسسوری حذف از لیست اصلی'!J:J,MATCH(K602,'اکسسوری حذف از لیست اصلی'!T:T,0))</f>
        <v>455000000</v>
      </c>
      <c r="K602" s="64">
        <v>324</v>
      </c>
    </row>
    <row r="603" spans="1:11" ht="30.75" customHeight="1">
      <c r="A603" s="60"/>
      <c r="B603" s="61"/>
      <c r="D603" s="79">
        <v>16</v>
      </c>
      <c r="E603" s="109">
        <f>INDEX('اکسسوری حذف از لیست اصلی'!C:C,MATCH(K603,'اکسسوری حذف از لیست اصلی'!T:T,0))</f>
        <v>9901030056</v>
      </c>
      <c r="F603" s="109" t="str">
        <f>INDEX('اکسسوری حذف از لیست اصلی'!D:D,MATCH(K603,'اکسسوری حذف از لیست اصلی'!T:T,0))</f>
        <v>گلدان آلومنیومی نقره ای DV-A056</v>
      </c>
      <c r="G603" s="110" t="str">
        <f>INDEX('اکسسوری حذف از لیست اصلی'!E:E,MATCH(K603,'اکسسوری حذف از لیست اصلی'!T:T,0))</f>
        <v>-</v>
      </c>
      <c r="H603" s="110">
        <f>INDEX('اکسسوری حذف از لیست اصلی'!F:F,MATCH(K603,'اکسسوری حذف از لیست اصلی'!T:T,0))</f>
        <v>0</v>
      </c>
      <c r="I603" s="110">
        <f>INDEX('اکسسوری حذف از لیست اصلی'!G:G,MATCH(K603,'اکسسوری حذف از لیست اصلی'!T:T,0))</f>
        <v>0</v>
      </c>
      <c r="J603" s="74">
        <f>INDEX('اکسسوری حذف از لیست اصلی'!J:J,MATCH(K603,'اکسسوری حذف از لیست اصلی'!T:T,0))</f>
        <v>535000000</v>
      </c>
      <c r="K603" s="64">
        <v>325</v>
      </c>
    </row>
    <row r="604" spans="1:11" ht="30.75" customHeight="1">
      <c r="A604" s="60"/>
      <c r="B604" s="61"/>
      <c r="D604" s="79">
        <v>17</v>
      </c>
      <c r="E604" s="109">
        <f>INDEX('اکسسوری حذف از لیست اصلی'!C:C,MATCH(K604,'اکسسوری حذف از لیست اصلی'!T:T,0))</f>
        <v>9901030064</v>
      </c>
      <c r="F604" s="109" t="str">
        <f>INDEX('اکسسوری حذف از لیست اصلی'!D:D,MATCH(K604,'اکسسوری حذف از لیست اصلی'!T:T,0))</f>
        <v>گلدان سنگی کوچک مشکی DV-S064</v>
      </c>
      <c r="G604" s="110" t="str">
        <f>INDEX('اکسسوری حذف از لیست اصلی'!E:E,MATCH(K604,'اکسسوری حذف از لیست اصلی'!T:T,0))</f>
        <v>-</v>
      </c>
      <c r="H604" s="110">
        <f>INDEX('اکسسوری حذف از لیست اصلی'!F:F,MATCH(K604,'اکسسوری حذف از لیست اصلی'!T:T,0))</f>
        <v>0</v>
      </c>
      <c r="I604" s="110">
        <f>INDEX('اکسسوری حذف از لیست اصلی'!G:G,MATCH(K604,'اکسسوری حذف از لیست اصلی'!T:T,0))</f>
        <v>0</v>
      </c>
      <c r="J604" s="74">
        <f>INDEX('اکسسوری حذف از لیست اصلی'!J:J,MATCH(K604,'اکسسوری حذف از لیست اصلی'!T:T,0))</f>
        <v>144000000</v>
      </c>
      <c r="K604" s="64">
        <v>326</v>
      </c>
    </row>
    <row r="605" spans="1:11" ht="30.75" customHeight="1">
      <c r="A605" s="60"/>
      <c r="B605" s="61"/>
      <c r="D605" s="79">
        <v>18</v>
      </c>
      <c r="E605" s="109">
        <f>INDEX('اکسسوری حذف از لیست اصلی'!C:C,MATCH(K605,'اکسسوری حذف از لیست اصلی'!T:T,0))</f>
        <v>9901030065</v>
      </c>
      <c r="F605" s="109" t="str">
        <f>INDEX('اکسسوری حذف از لیست اصلی'!D:D,MATCH(K605,'اکسسوری حذف از لیست اصلی'!T:T,0))</f>
        <v>گلدان سنگی بزرگ مشکی DV-S065</v>
      </c>
      <c r="G605" s="110" t="str">
        <f>INDEX('اکسسوری حذف از لیست اصلی'!E:E,MATCH(K605,'اکسسوری حذف از لیست اصلی'!T:T,0))</f>
        <v>-</v>
      </c>
      <c r="H605" s="110">
        <f>INDEX('اکسسوری حذف از لیست اصلی'!F:F,MATCH(K605,'اکسسوری حذف از لیست اصلی'!T:T,0))</f>
        <v>0</v>
      </c>
      <c r="I605" s="110">
        <f>INDEX('اکسسوری حذف از لیست اصلی'!G:G,MATCH(K605,'اکسسوری حذف از لیست اصلی'!T:T,0))</f>
        <v>0</v>
      </c>
      <c r="J605" s="74">
        <f>INDEX('اکسسوری حذف از لیست اصلی'!J:J,MATCH(K605,'اکسسوری حذف از لیست اصلی'!T:T,0))</f>
        <v>156000000</v>
      </c>
      <c r="K605" s="64">
        <v>327</v>
      </c>
    </row>
    <row r="606" spans="1:11" ht="30.75" customHeight="1">
      <c r="A606" s="60"/>
      <c r="B606" s="61"/>
      <c r="D606" s="79">
        <v>19</v>
      </c>
      <c r="E606" s="109">
        <f>INDEX('اکسسوری حذف از لیست اصلی'!C:C,MATCH(K606,'اکسسوری حذف از لیست اصلی'!T:T,0))</f>
        <v>9901030175</v>
      </c>
      <c r="F606" s="109" t="str">
        <f>INDEX('اکسسوری حذف از لیست اصلی'!D:D,MATCH(K606,'اکسسوری حذف از لیست اصلی'!T:T,0))</f>
        <v>گلدان سرامیکی مشکی DV-CR175</v>
      </c>
      <c r="G606" s="110" t="str">
        <f>INDEX('اکسسوری حذف از لیست اصلی'!E:E,MATCH(K606,'اکسسوری حذف از لیست اصلی'!T:T,0))</f>
        <v>-</v>
      </c>
      <c r="H606" s="110">
        <f>INDEX('اکسسوری حذف از لیست اصلی'!F:F,MATCH(K606,'اکسسوری حذف از لیست اصلی'!T:T,0))</f>
        <v>0</v>
      </c>
      <c r="I606" s="110">
        <f>INDEX('اکسسوری حذف از لیست اصلی'!G:G,MATCH(K606,'اکسسوری حذف از لیست اصلی'!T:T,0))</f>
        <v>0</v>
      </c>
      <c r="J606" s="74">
        <f>INDEX('اکسسوری حذف از لیست اصلی'!J:J,MATCH(K606,'اکسسوری حذف از لیست اصلی'!T:T,0))</f>
        <v>85000000</v>
      </c>
      <c r="K606" s="64">
        <v>328</v>
      </c>
    </row>
    <row r="607" spans="1:11">
      <c r="A607" s="60"/>
      <c r="B607" s="61"/>
      <c r="D607" s="79">
        <v>20</v>
      </c>
      <c r="E607" s="109">
        <f>INDEX('اکسسوری حذف از لیست اصلی'!C:C,MATCH(K607,'اکسسوری حذف از لیست اصلی'!T:T,0))</f>
        <v>9901030178</v>
      </c>
      <c r="F607" s="109" t="str">
        <f>INDEX('اکسسوری حذف از لیست اصلی'!D:D,MATCH(K607,'اکسسوری حذف از لیست اصلی'!T:T,0))</f>
        <v xml:space="preserve"> ست گلدان سفالی کرم DV-C178</v>
      </c>
      <c r="G607" s="110" t="str">
        <f>INDEX('اکسسوری حذف از لیست اصلی'!E:E,MATCH(K607,'اکسسوری حذف از لیست اصلی'!T:T,0))</f>
        <v>-</v>
      </c>
      <c r="H607" s="110">
        <f>INDEX('اکسسوری حذف از لیست اصلی'!F:F,MATCH(K607,'اکسسوری حذف از لیست اصلی'!T:T,0))</f>
        <v>0</v>
      </c>
      <c r="I607" s="110">
        <f>INDEX('اکسسوری حذف از لیست اصلی'!G:G,MATCH(K607,'اکسسوری حذف از لیست اصلی'!T:T,0))</f>
        <v>0</v>
      </c>
      <c r="J607" s="74">
        <f>INDEX('اکسسوری حذف از لیست اصلی'!J:J,MATCH(K607,'اکسسوری حذف از لیست اصلی'!T:T,0))</f>
        <v>47000000</v>
      </c>
      <c r="K607" s="64">
        <v>329</v>
      </c>
    </row>
    <row r="608" spans="1:11">
      <c r="A608" s="60"/>
      <c r="B608" s="61"/>
      <c r="D608" s="28"/>
      <c r="E608" s="65"/>
      <c r="G608" s="28"/>
      <c r="H608" s="28"/>
      <c r="I608" s="28"/>
      <c r="J608" s="74">
        <v>21</v>
      </c>
    </row>
    <row r="609" spans="1:11" ht="18" customHeight="1">
      <c r="A609" s="60"/>
      <c r="B609" s="61"/>
      <c r="C609" s="183"/>
      <c r="D609" s="184"/>
      <c r="E609" s="184"/>
      <c r="F609" s="184"/>
      <c r="G609" s="184"/>
      <c r="H609" s="184"/>
      <c r="I609" s="184"/>
      <c r="J609" s="184"/>
    </row>
    <row r="610" spans="1:11" ht="18" customHeight="1">
      <c r="A610" s="60"/>
      <c r="B610" s="61"/>
      <c r="C610" s="183"/>
      <c r="D610" s="184"/>
      <c r="E610" s="184"/>
      <c r="F610" s="184"/>
      <c r="G610" s="184"/>
      <c r="H610" s="184"/>
      <c r="I610" s="184"/>
      <c r="J610" s="184"/>
    </row>
    <row r="611" spans="1:11" ht="27.75">
      <c r="A611" s="60"/>
      <c r="B611" s="61"/>
      <c r="C611" s="72"/>
      <c r="D611" s="67" t="s">
        <v>973</v>
      </c>
      <c r="J611" s="68" t="str">
        <f>$N$1</f>
        <v>1405/02/23</v>
      </c>
    </row>
    <row r="612" spans="1:11" ht="36">
      <c r="A612" s="60"/>
      <c r="B612" s="61"/>
      <c r="C612" s="77"/>
      <c r="D612" s="75" t="s">
        <v>0</v>
      </c>
      <c r="E612" s="69" t="s">
        <v>1</v>
      </c>
      <c r="F612" s="107" t="s">
        <v>448</v>
      </c>
      <c r="G612" s="108" t="s">
        <v>1141</v>
      </c>
      <c r="H612" s="108" t="s">
        <v>1142</v>
      </c>
      <c r="I612" s="108" t="s">
        <v>1143</v>
      </c>
      <c r="J612" s="68" t="s">
        <v>251</v>
      </c>
    </row>
    <row r="613" spans="1:11" ht="29.25" customHeight="1">
      <c r="A613" s="60"/>
      <c r="B613" s="61"/>
      <c r="D613" s="73">
        <v>21</v>
      </c>
      <c r="E613" s="109">
        <f>INDEX('اکسسوری حذف از لیست اصلی'!C:C,MATCH(K613,'اکسسوری حذف از لیست اصلی'!T:T,0))</f>
        <v>9901030179</v>
      </c>
      <c r="F613" s="109" t="str">
        <f>INDEX('اکسسوری حذف از لیست اصلی'!D:D,MATCH(K613,'اکسسوری حذف از لیست اصلی'!T:T,0))</f>
        <v xml:space="preserve"> ست گلدان سفالی سفید DV-C179</v>
      </c>
      <c r="G613" s="110" t="str">
        <f>INDEX('اکسسوری حذف از لیست اصلی'!E:E,MATCH(K613,'اکسسوری حذف از لیست اصلی'!T:T,0))</f>
        <v>-</v>
      </c>
      <c r="H613" s="110">
        <f>INDEX('اکسسوری حذف از لیست اصلی'!F:F,MATCH(K613,'اکسسوری حذف از لیست اصلی'!T:T,0))</f>
        <v>0</v>
      </c>
      <c r="I613" s="110">
        <f>INDEX('اکسسوری حذف از لیست اصلی'!G:G,MATCH(K613,'اکسسوری حذف از لیست اصلی'!T:T,0))</f>
        <v>0</v>
      </c>
      <c r="J613" s="74">
        <f>INDEX('اکسسوری حذف از لیست اصلی'!J:J,MATCH(K613,'اکسسوری حذف از لیست اصلی'!T:T,0))</f>
        <v>47000000</v>
      </c>
      <c r="K613" s="64">
        <v>330</v>
      </c>
    </row>
    <row r="614" spans="1:11" ht="29.25" customHeight="1">
      <c r="A614" s="60"/>
      <c r="B614" s="61"/>
      <c r="C614" s="78"/>
      <c r="D614" s="79">
        <v>22</v>
      </c>
      <c r="E614" s="109">
        <f>INDEX('اکسسوری حذف از لیست اصلی'!C:C,MATCH(K614,'اکسسوری حذف از لیست اصلی'!T:T,0))</f>
        <v>9901030180</v>
      </c>
      <c r="F614" s="109" t="str">
        <f>INDEX('اکسسوری حذف از لیست اصلی'!D:D,MATCH(K614,'اکسسوری حذف از لیست اصلی'!T:T,0))</f>
        <v>گلدان سرامیکی سفید DV-CR180</v>
      </c>
      <c r="G614" s="110" t="str">
        <f>INDEX('اکسسوری حذف از لیست اصلی'!E:E,MATCH(K614,'اکسسوری حذف از لیست اصلی'!T:T,0))</f>
        <v>-</v>
      </c>
      <c r="H614" s="110">
        <f>INDEX('اکسسوری حذف از لیست اصلی'!F:F,MATCH(K614,'اکسسوری حذف از لیست اصلی'!T:T,0))</f>
        <v>0</v>
      </c>
      <c r="I614" s="110">
        <f>INDEX('اکسسوری حذف از لیست اصلی'!G:G,MATCH(K614,'اکسسوری حذف از لیست اصلی'!T:T,0))</f>
        <v>0</v>
      </c>
      <c r="J614" s="74">
        <f>INDEX('اکسسوری حذف از لیست اصلی'!J:J,MATCH(K614,'اکسسوری حذف از لیست اصلی'!T:T,0))</f>
        <v>65000000</v>
      </c>
      <c r="K614" s="64">
        <v>331</v>
      </c>
    </row>
    <row r="615" spans="1:11" ht="29.25" customHeight="1">
      <c r="A615" s="60"/>
      <c r="B615" s="61"/>
      <c r="D615" s="73">
        <v>23</v>
      </c>
      <c r="E615" s="109">
        <f>INDEX('اکسسوری حذف از لیست اصلی'!C:C,MATCH(K615,'اکسسوری حذف از لیست اصلی'!T:T,0))</f>
        <v>9901030236</v>
      </c>
      <c r="F615" s="109" t="str">
        <f>INDEX('اکسسوری حذف از لیست اصلی'!D:D,MATCH(K615,'اکسسوری حذف از لیست اصلی'!T:T,0))</f>
        <v>گلدان سفالی سفید DV-C236</v>
      </c>
      <c r="G615" s="110" t="str">
        <f>INDEX('اکسسوری حذف از لیست اصلی'!E:E,MATCH(K615,'اکسسوری حذف از لیست اصلی'!T:T,0))</f>
        <v>-</v>
      </c>
      <c r="H615" s="110">
        <f>INDEX('اکسسوری حذف از لیست اصلی'!F:F,MATCH(K615,'اکسسوری حذف از لیست اصلی'!T:T,0))</f>
        <v>0</v>
      </c>
      <c r="I615" s="110">
        <f>INDEX('اکسسوری حذف از لیست اصلی'!G:G,MATCH(K615,'اکسسوری حذف از لیست اصلی'!T:T,0))</f>
        <v>0</v>
      </c>
      <c r="J615" s="74">
        <f>INDEX('اکسسوری حذف از لیست اصلی'!J:J,MATCH(K615,'اکسسوری حذف از لیست اصلی'!T:T,0))</f>
        <v>22000000</v>
      </c>
      <c r="K615" s="64">
        <v>332</v>
      </c>
    </row>
    <row r="616" spans="1:11" ht="29.25" customHeight="1">
      <c r="A616" s="60"/>
      <c r="B616" s="61"/>
      <c r="D616" s="79">
        <v>24</v>
      </c>
      <c r="E616" s="109">
        <f>INDEX('اکسسوری حذف از لیست اصلی'!C:C,MATCH(K616,'اکسسوری حذف از لیست اصلی'!T:T,0))</f>
        <v>9901030237</v>
      </c>
      <c r="F616" s="109" t="str">
        <f>INDEX('اکسسوری حذف از لیست اصلی'!D:D,MATCH(K616,'اکسسوری حذف از لیست اصلی'!T:T,0))</f>
        <v>گلدان سفالی کرم DV-C237</v>
      </c>
      <c r="G616" s="110" t="str">
        <f>INDEX('اکسسوری حذف از لیست اصلی'!E:E,MATCH(K616,'اکسسوری حذف از لیست اصلی'!T:T,0))</f>
        <v>-</v>
      </c>
      <c r="H616" s="110">
        <f>INDEX('اکسسوری حذف از لیست اصلی'!F:F,MATCH(K616,'اکسسوری حذف از لیست اصلی'!T:T,0))</f>
        <v>0</v>
      </c>
      <c r="I616" s="110">
        <f>INDEX('اکسسوری حذف از لیست اصلی'!G:G,MATCH(K616,'اکسسوری حذف از لیست اصلی'!T:T,0))</f>
        <v>0</v>
      </c>
      <c r="J616" s="74">
        <f>INDEX('اکسسوری حذف از لیست اصلی'!J:J,MATCH(K616,'اکسسوری حذف از لیست اصلی'!T:T,0))</f>
        <v>28000000</v>
      </c>
      <c r="K616" s="64">
        <v>333</v>
      </c>
    </row>
    <row r="617" spans="1:11" ht="29.25" customHeight="1">
      <c r="A617" s="60"/>
      <c r="B617" s="61"/>
      <c r="D617" s="73">
        <v>25</v>
      </c>
      <c r="E617" s="109">
        <f>INDEX('اکسسوری حذف از لیست اصلی'!C:C,MATCH(K617,'اکسسوری حذف از لیست اصلی'!T:T,0))</f>
        <v>9901030238</v>
      </c>
      <c r="F617" s="109" t="str">
        <f>INDEX('اکسسوری حذف از لیست اصلی'!D:D,MATCH(K617,'اکسسوری حذف از لیست اصلی'!T:T,0))</f>
        <v>گلدان سفالی مشکی DV-C238</v>
      </c>
      <c r="G617" s="110" t="str">
        <f>INDEX('اکسسوری حذف از لیست اصلی'!E:E,MATCH(K617,'اکسسوری حذف از لیست اصلی'!T:T,0))</f>
        <v>-</v>
      </c>
      <c r="H617" s="110">
        <f>INDEX('اکسسوری حذف از لیست اصلی'!F:F,MATCH(K617,'اکسسوری حذف از لیست اصلی'!T:T,0))</f>
        <v>0</v>
      </c>
      <c r="I617" s="110">
        <f>INDEX('اکسسوری حذف از لیست اصلی'!G:G,MATCH(K617,'اکسسوری حذف از لیست اصلی'!T:T,0))</f>
        <v>0</v>
      </c>
      <c r="J617" s="74">
        <f>INDEX('اکسسوری حذف از لیست اصلی'!J:J,MATCH(K617,'اکسسوری حذف از لیست اصلی'!T:T,0))</f>
        <v>22000000</v>
      </c>
      <c r="K617" s="64">
        <v>334</v>
      </c>
    </row>
    <row r="618" spans="1:11" ht="29.25" customHeight="1">
      <c r="A618" s="60"/>
      <c r="B618" s="61"/>
      <c r="D618" s="79">
        <v>26</v>
      </c>
      <c r="E618" s="109">
        <f>INDEX('اکسسوری حذف از لیست اصلی'!C:C,MATCH(K618,'اکسسوری حذف از لیست اصلی'!T:T,0))</f>
        <v>9901030261</v>
      </c>
      <c r="F618" s="109" t="str">
        <f>INDEX('اکسسوری حذف از لیست اصلی'!D:D,MATCH(K618,'اکسسوری حذف از لیست اصلی'!T:T,0))</f>
        <v>گلدان سفالی طوسی DV-C261</v>
      </c>
      <c r="G618" s="110" t="str">
        <f>INDEX('اکسسوری حذف از لیست اصلی'!E:E,MATCH(K618,'اکسسوری حذف از لیست اصلی'!T:T,0))</f>
        <v>-</v>
      </c>
      <c r="H618" s="110">
        <f>INDEX('اکسسوری حذف از لیست اصلی'!F:F,MATCH(K618,'اکسسوری حذف از لیست اصلی'!T:T,0))</f>
        <v>0</v>
      </c>
      <c r="I618" s="110">
        <f>INDEX('اکسسوری حذف از لیست اصلی'!G:G,MATCH(K618,'اکسسوری حذف از لیست اصلی'!T:T,0))</f>
        <v>0</v>
      </c>
      <c r="J618" s="74">
        <f>INDEX('اکسسوری حذف از لیست اصلی'!J:J,MATCH(K618,'اکسسوری حذف از لیست اصلی'!T:T,0))</f>
        <v>47000000</v>
      </c>
      <c r="K618" s="64">
        <v>335</v>
      </c>
    </row>
    <row r="619" spans="1:11" ht="29.25" customHeight="1">
      <c r="A619" s="60"/>
      <c r="B619" s="61"/>
      <c r="D619" s="73">
        <v>27</v>
      </c>
      <c r="E619" s="109">
        <f>INDEX('اکسسوری حذف از لیست اصلی'!C:C,MATCH(K619,'اکسسوری حذف از لیست اصلی'!T:T,0))</f>
        <v>9901030262</v>
      </c>
      <c r="F619" s="109" t="str">
        <f>INDEX('اکسسوری حذف از لیست اصلی'!D:D,MATCH(K619,'اکسسوری حذف از لیست اصلی'!T:T,0))</f>
        <v>گلدان سفالی طوسی DV-C262</v>
      </c>
      <c r="G619" s="110" t="str">
        <f>INDEX('اکسسوری حذف از لیست اصلی'!E:E,MATCH(K619,'اکسسوری حذف از لیست اصلی'!T:T,0))</f>
        <v>-</v>
      </c>
      <c r="H619" s="110">
        <f>INDEX('اکسسوری حذف از لیست اصلی'!F:F,MATCH(K619,'اکسسوری حذف از لیست اصلی'!T:T,0))</f>
        <v>0</v>
      </c>
      <c r="I619" s="110">
        <f>INDEX('اکسسوری حذف از لیست اصلی'!G:G,MATCH(K619,'اکسسوری حذف از لیست اصلی'!T:T,0))</f>
        <v>0</v>
      </c>
      <c r="J619" s="74">
        <f>INDEX('اکسسوری حذف از لیست اصلی'!J:J,MATCH(K619,'اکسسوری حذف از لیست اصلی'!T:T,0))</f>
        <v>37000000</v>
      </c>
      <c r="K619" s="64">
        <v>336</v>
      </c>
    </row>
    <row r="620" spans="1:11" ht="29.25" customHeight="1">
      <c r="A620" s="60"/>
      <c r="B620" s="61"/>
      <c r="D620" s="79">
        <v>28</v>
      </c>
      <c r="E620" s="109">
        <f>INDEX('اکسسوری حذف از لیست اصلی'!C:C,MATCH(K620,'اکسسوری حذف از لیست اصلی'!T:T,0))</f>
        <v>9901030280</v>
      </c>
      <c r="F620" s="109" t="str">
        <f>INDEX('اکسسوری حذف از لیست اصلی'!D:D,MATCH(K620,'اکسسوری حذف از لیست اصلی'!T:T,0))</f>
        <v>گلدان بلوری سبز دودی DV-G280</v>
      </c>
      <c r="G620" s="110" t="str">
        <f>INDEX('اکسسوری حذف از لیست اصلی'!E:E,MATCH(K620,'اکسسوری حذف از لیست اصلی'!T:T,0))</f>
        <v>-</v>
      </c>
      <c r="H620" s="110">
        <f>INDEX('اکسسوری حذف از لیست اصلی'!F:F,MATCH(K620,'اکسسوری حذف از لیست اصلی'!T:T,0))</f>
        <v>0</v>
      </c>
      <c r="I620" s="110">
        <f>INDEX('اکسسوری حذف از لیست اصلی'!G:G,MATCH(K620,'اکسسوری حذف از لیست اصلی'!T:T,0))</f>
        <v>0</v>
      </c>
      <c r="J620" s="74">
        <f>INDEX('اکسسوری حذف از لیست اصلی'!J:J,MATCH(K620,'اکسسوری حذف از لیست اصلی'!T:T,0))</f>
        <v>15000000</v>
      </c>
      <c r="K620" s="64">
        <v>337</v>
      </c>
    </row>
    <row r="621" spans="1:11" ht="29.25" customHeight="1">
      <c r="A621" s="60"/>
      <c r="B621" s="61"/>
      <c r="D621" s="73">
        <v>29</v>
      </c>
      <c r="E621" s="109">
        <f>INDEX('اکسسوری حذف از لیست اصلی'!C:C,MATCH(K621,'اکسسوری حذف از لیست اصلی'!T:T,0))</f>
        <v>9901030281</v>
      </c>
      <c r="F621" s="109" t="str">
        <f>INDEX('اکسسوری حذف از لیست اصلی'!D:D,MATCH(K621,'اکسسوری حذف از لیست اصلی'!T:T,0))</f>
        <v>گلدان بلوری عسلی DV-G281</v>
      </c>
      <c r="G621" s="110" t="str">
        <f>INDEX('اکسسوری حذف از لیست اصلی'!E:E,MATCH(K621,'اکسسوری حذف از لیست اصلی'!T:T,0))</f>
        <v>-</v>
      </c>
      <c r="H621" s="110">
        <f>INDEX('اکسسوری حذف از لیست اصلی'!F:F,MATCH(K621,'اکسسوری حذف از لیست اصلی'!T:T,0))</f>
        <v>0</v>
      </c>
      <c r="I621" s="110">
        <f>INDEX('اکسسوری حذف از لیست اصلی'!G:G,MATCH(K621,'اکسسوری حذف از لیست اصلی'!T:T,0))</f>
        <v>0</v>
      </c>
      <c r="J621" s="74">
        <f>INDEX('اکسسوری حذف از لیست اصلی'!J:J,MATCH(K621,'اکسسوری حذف از لیست اصلی'!T:T,0))</f>
        <v>15000000</v>
      </c>
      <c r="K621" s="64">
        <v>338</v>
      </c>
    </row>
    <row r="622" spans="1:11" ht="29.25" customHeight="1">
      <c r="A622" s="60"/>
      <c r="B622" s="61"/>
      <c r="D622" s="79">
        <v>30</v>
      </c>
      <c r="E622" s="109">
        <f>INDEX('اکسسوری حذف از لیست اصلی'!C:C,MATCH(K622,'اکسسوری حذف از لیست اصلی'!T:T,0))</f>
        <v>9901030282</v>
      </c>
      <c r="F622" s="109" t="str">
        <f>INDEX('اکسسوری حذف از لیست اصلی'!D:D,MATCH(K622,'اکسسوری حذف از لیست اصلی'!T:T,0))</f>
        <v>گلدان بلوری بنفش DV-G282</v>
      </c>
      <c r="G622" s="110" t="str">
        <f>INDEX('اکسسوری حذف از لیست اصلی'!E:E,MATCH(K622,'اکسسوری حذف از لیست اصلی'!T:T,0))</f>
        <v>-</v>
      </c>
      <c r="H622" s="110">
        <f>INDEX('اکسسوری حذف از لیست اصلی'!F:F,MATCH(K622,'اکسسوری حذف از لیست اصلی'!T:T,0))</f>
        <v>0</v>
      </c>
      <c r="I622" s="110">
        <f>INDEX('اکسسوری حذف از لیست اصلی'!G:G,MATCH(K622,'اکسسوری حذف از لیست اصلی'!T:T,0))</f>
        <v>0</v>
      </c>
      <c r="J622" s="74">
        <f>INDEX('اکسسوری حذف از لیست اصلی'!J:J,MATCH(K622,'اکسسوری حذف از لیست اصلی'!T:T,0))</f>
        <v>15000000</v>
      </c>
      <c r="K622" s="64">
        <v>339</v>
      </c>
    </row>
    <row r="623" spans="1:11" ht="29.25" customHeight="1">
      <c r="A623" s="60"/>
      <c r="B623" s="61"/>
      <c r="D623" s="73">
        <v>31</v>
      </c>
      <c r="E623" s="109">
        <f>INDEX('اکسسوری حذف از لیست اصلی'!C:C,MATCH(K623,'اکسسوری حذف از لیست اصلی'!T:T,0))</f>
        <v>9901030283</v>
      </c>
      <c r="F623" s="109" t="str">
        <f>INDEX('اکسسوری حذف از لیست اصلی'!D:D,MATCH(K623,'اکسسوری حذف از لیست اصلی'!T:T,0))</f>
        <v>گلدان بلوری سبز دودیDV-G283</v>
      </c>
      <c r="G623" s="110" t="str">
        <f>INDEX('اکسسوری حذف از لیست اصلی'!E:E,MATCH(K623,'اکسسوری حذف از لیست اصلی'!T:T,0))</f>
        <v>-</v>
      </c>
      <c r="H623" s="110">
        <f>INDEX('اکسسوری حذف از لیست اصلی'!F:F,MATCH(K623,'اکسسوری حذف از لیست اصلی'!T:T,0))</f>
        <v>0</v>
      </c>
      <c r="I623" s="110">
        <f>INDEX('اکسسوری حذف از لیست اصلی'!G:G,MATCH(K623,'اکسسوری حذف از لیست اصلی'!T:T,0))</f>
        <v>0</v>
      </c>
      <c r="J623" s="74">
        <f>INDEX('اکسسوری حذف از لیست اصلی'!J:J,MATCH(K623,'اکسسوری حذف از لیست اصلی'!T:T,0))</f>
        <v>17000000</v>
      </c>
      <c r="K623" s="64">
        <v>340</v>
      </c>
    </row>
    <row r="624" spans="1:11" ht="29.25" customHeight="1">
      <c r="A624" s="60"/>
      <c r="B624" s="61"/>
      <c r="D624" s="79">
        <v>32</v>
      </c>
      <c r="E624" s="109">
        <f>INDEX('اکسسوری حذف از لیست اصلی'!C:C,MATCH(K624,'اکسسوری حذف از لیست اصلی'!T:T,0))</f>
        <v>9901030284</v>
      </c>
      <c r="F624" s="109" t="str">
        <f>INDEX('اکسسوری حذف از لیست اصلی'!D:D,MATCH(K624,'اکسسوری حذف از لیست اصلی'!T:T,0))</f>
        <v>گلدان بلوری عسلی DV-G284</v>
      </c>
      <c r="G624" s="110" t="str">
        <f>INDEX('اکسسوری حذف از لیست اصلی'!E:E,MATCH(K624,'اکسسوری حذف از لیست اصلی'!T:T,0))</f>
        <v>-</v>
      </c>
      <c r="H624" s="110">
        <f>INDEX('اکسسوری حذف از لیست اصلی'!F:F,MATCH(K624,'اکسسوری حذف از لیست اصلی'!T:T,0))</f>
        <v>0</v>
      </c>
      <c r="I624" s="110">
        <f>INDEX('اکسسوری حذف از لیست اصلی'!G:G,MATCH(K624,'اکسسوری حذف از لیست اصلی'!T:T,0))</f>
        <v>0</v>
      </c>
      <c r="J624" s="74">
        <f>INDEX('اکسسوری حذف از لیست اصلی'!J:J,MATCH(K624,'اکسسوری حذف از لیست اصلی'!T:T,0))</f>
        <v>17000000</v>
      </c>
      <c r="K624" s="64">
        <v>341</v>
      </c>
    </row>
    <row r="625" spans="1:11" ht="29.25" customHeight="1">
      <c r="A625" s="60"/>
      <c r="B625" s="61"/>
      <c r="D625" s="73">
        <v>33</v>
      </c>
      <c r="E625" s="109">
        <f>INDEX('اکسسوری حذف از لیست اصلی'!C:C,MATCH(K625,'اکسسوری حذف از لیست اصلی'!T:T,0))</f>
        <v>9901030285</v>
      </c>
      <c r="F625" s="109" t="str">
        <f>INDEX('اکسسوری حذف از لیست اصلی'!D:D,MATCH(K625,'اکسسوری حذف از لیست اصلی'!T:T,0))</f>
        <v>گلدان بلوری بنفش DV-G285</v>
      </c>
      <c r="G625" s="110" t="str">
        <f>INDEX('اکسسوری حذف از لیست اصلی'!E:E,MATCH(K625,'اکسسوری حذف از لیست اصلی'!T:T,0))</f>
        <v>-</v>
      </c>
      <c r="H625" s="110">
        <f>INDEX('اکسسوری حذف از لیست اصلی'!F:F,MATCH(K625,'اکسسوری حذف از لیست اصلی'!T:T,0))</f>
        <v>0</v>
      </c>
      <c r="I625" s="110">
        <f>INDEX('اکسسوری حذف از لیست اصلی'!G:G,MATCH(K625,'اکسسوری حذف از لیست اصلی'!T:T,0))</f>
        <v>0</v>
      </c>
      <c r="J625" s="74">
        <f>INDEX('اکسسوری حذف از لیست اصلی'!J:J,MATCH(K625,'اکسسوری حذف از لیست اصلی'!T:T,0))</f>
        <v>17000000</v>
      </c>
      <c r="K625" s="64">
        <v>342</v>
      </c>
    </row>
    <row r="626" spans="1:11" ht="29.25" customHeight="1">
      <c r="A626" s="60"/>
      <c r="B626" s="61"/>
      <c r="D626" s="79">
        <v>34</v>
      </c>
      <c r="E626" s="109">
        <f>INDEX('اکسسوری حذف از لیست اصلی'!C:C,MATCH(K626,'اکسسوری حذف از لیست اصلی'!T:T,0))</f>
        <v>9901030286</v>
      </c>
      <c r="F626" s="109" t="str">
        <f>INDEX('اکسسوری حذف از لیست اصلی'!D:D,MATCH(K626,'اکسسوری حذف از لیست اصلی'!T:T,0))</f>
        <v>گلدان بلوری سبز دودی DV-G286</v>
      </c>
      <c r="G626" s="110" t="str">
        <f>INDEX('اکسسوری حذف از لیست اصلی'!E:E,MATCH(K626,'اکسسوری حذف از لیست اصلی'!T:T,0))</f>
        <v>-</v>
      </c>
      <c r="H626" s="110">
        <f>INDEX('اکسسوری حذف از لیست اصلی'!F:F,MATCH(K626,'اکسسوری حذف از لیست اصلی'!T:T,0))</f>
        <v>0</v>
      </c>
      <c r="I626" s="110">
        <f>INDEX('اکسسوری حذف از لیست اصلی'!G:G,MATCH(K626,'اکسسوری حذف از لیست اصلی'!T:T,0))</f>
        <v>0</v>
      </c>
      <c r="J626" s="74">
        <f>INDEX('اکسسوری حذف از لیست اصلی'!J:J,MATCH(K626,'اکسسوری حذف از لیست اصلی'!T:T,0))</f>
        <v>18000000</v>
      </c>
      <c r="K626" s="64">
        <v>343</v>
      </c>
    </row>
    <row r="627" spans="1:11" ht="29.25" customHeight="1">
      <c r="A627" s="60"/>
      <c r="B627" s="61"/>
      <c r="D627" s="73">
        <v>35</v>
      </c>
      <c r="E627" s="109">
        <f>INDEX('اکسسوری حذف از لیست اصلی'!C:C,MATCH(K627,'اکسسوری حذف از لیست اصلی'!T:T,0))</f>
        <v>9901030287</v>
      </c>
      <c r="F627" s="109" t="str">
        <f>INDEX('اکسسوری حذف از لیست اصلی'!D:D,MATCH(K627,'اکسسوری حذف از لیست اصلی'!T:T,0))</f>
        <v>گلدان بلوری عسلی DV-G287</v>
      </c>
      <c r="G627" s="110" t="str">
        <f>INDEX('اکسسوری حذف از لیست اصلی'!E:E,MATCH(K627,'اکسسوری حذف از لیست اصلی'!T:T,0))</f>
        <v>-</v>
      </c>
      <c r="H627" s="110">
        <f>INDEX('اکسسوری حذف از لیست اصلی'!F:F,MATCH(K627,'اکسسوری حذف از لیست اصلی'!T:T,0))</f>
        <v>0</v>
      </c>
      <c r="I627" s="110">
        <f>INDEX('اکسسوری حذف از لیست اصلی'!G:G,MATCH(K627,'اکسسوری حذف از لیست اصلی'!T:T,0))</f>
        <v>0</v>
      </c>
      <c r="J627" s="74">
        <f>INDEX('اکسسوری حذف از لیست اصلی'!J:J,MATCH(K627,'اکسسوری حذف از لیست اصلی'!T:T,0))</f>
        <v>18000000</v>
      </c>
      <c r="K627" s="64">
        <v>344</v>
      </c>
    </row>
    <row r="628" spans="1:11" ht="29.25" customHeight="1">
      <c r="A628" s="60"/>
      <c r="B628" s="61"/>
      <c r="D628" s="79">
        <v>36</v>
      </c>
      <c r="E628" s="109">
        <f>INDEX('اکسسوری حذف از لیست اصلی'!C:C,MATCH(K628,'اکسسوری حذف از لیست اصلی'!T:T,0))</f>
        <v>9901030288</v>
      </c>
      <c r="F628" s="109" t="str">
        <f>INDEX('اکسسوری حذف از لیست اصلی'!D:D,MATCH(K628,'اکسسوری حذف از لیست اصلی'!T:T,0))</f>
        <v>گلدان بلوری بنفش DV-G288</v>
      </c>
      <c r="G628" s="110" t="str">
        <f>INDEX('اکسسوری حذف از لیست اصلی'!E:E,MATCH(K628,'اکسسوری حذف از لیست اصلی'!T:T,0))</f>
        <v>-</v>
      </c>
      <c r="H628" s="110">
        <f>INDEX('اکسسوری حذف از لیست اصلی'!F:F,MATCH(K628,'اکسسوری حذف از لیست اصلی'!T:T,0))</f>
        <v>0</v>
      </c>
      <c r="I628" s="110">
        <f>INDEX('اکسسوری حذف از لیست اصلی'!G:G,MATCH(K628,'اکسسوری حذف از لیست اصلی'!T:T,0))</f>
        <v>0</v>
      </c>
      <c r="J628" s="74">
        <f>INDEX('اکسسوری حذف از لیست اصلی'!J:J,MATCH(K628,'اکسسوری حذف از لیست اصلی'!T:T,0))</f>
        <v>18000000</v>
      </c>
      <c r="K628" s="64">
        <v>345</v>
      </c>
    </row>
    <row r="629" spans="1:11" ht="29.25" customHeight="1">
      <c r="A629" s="60"/>
      <c r="B629" s="61"/>
      <c r="D629" s="73">
        <v>37</v>
      </c>
      <c r="E629" s="109">
        <f>INDEX('اکسسوری حذف از لیست اصلی'!C:C,MATCH(K629,'اکسسوری حذف از لیست اصلی'!T:T,0))</f>
        <v>9901030289</v>
      </c>
      <c r="F629" s="109" t="str">
        <f>INDEX('اکسسوری حذف از لیست اصلی'!D:D,MATCH(K629,'اکسسوری حذف از لیست اصلی'!T:T,0))</f>
        <v>گلدان بلوری سبز دودی DV-G289</v>
      </c>
      <c r="G629" s="110" t="str">
        <f>INDEX('اکسسوری حذف از لیست اصلی'!E:E,MATCH(K629,'اکسسوری حذف از لیست اصلی'!T:T,0))</f>
        <v>-</v>
      </c>
      <c r="H629" s="110">
        <f>INDEX('اکسسوری حذف از لیست اصلی'!F:F,MATCH(K629,'اکسسوری حذف از لیست اصلی'!T:T,0))</f>
        <v>0</v>
      </c>
      <c r="I629" s="110">
        <f>INDEX('اکسسوری حذف از لیست اصلی'!G:G,MATCH(K629,'اکسسوری حذف از لیست اصلی'!T:T,0))</f>
        <v>0</v>
      </c>
      <c r="J629" s="74">
        <f>INDEX('اکسسوری حذف از لیست اصلی'!J:J,MATCH(K629,'اکسسوری حذف از لیست اصلی'!T:T,0))</f>
        <v>14000000</v>
      </c>
      <c r="K629" s="64">
        <v>346</v>
      </c>
    </row>
    <row r="630" spans="1:11" ht="29.25" customHeight="1">
      <c r="A630" s="60"/>
      <c r="B630" s="61"/>
      <c r="D630" s="79">
        <v>38</v>
      </c>
      <c r="E630" s="109">
        <f>INDEX('اکسسوری حذف از لیست اصلی'!C:C,MATCH(K630,'اکسسوری حذف از لیست اصلی'!T:T,0))</f>
        <v>9901030290</v>
      </c>
      <c r="F630" s="109" t="str">
        <f>INDEX('اکسسوری حذف از لیست اصلی'!D:D,MATCH(K630,'اکسسوری حذف از لیست اصلی'!T:T,0))</f>
        <v>گلدان بلوری عسلی DV-G290</v>
      </c>
      <c r="G630" s="110" t="str">
        <f>INDEX('اکسسوری حذف از لیست اصلی'!E:E,MATCH(K630,'اکسسوری حذف از لیست اصلی'!T:T,0))</f>
        <v>-</v>
      </c>
      <c r="H630" s="110">
        <f>INDEX('اکسسوری حذف از لیست اصلی'!F:F,MATCH(K630,'اکسسوری حذف از لیست اصلی'!T:T,0))</f>
        <v>0</v>
      </c>
      <c r="I630" s="110">
        <f>INDEX('اکسسوری حذف از لیست اصلی'!G:G,MATCH(K630,'اکسسوری حذف از لیست اصلی'!T:T,0))</f>
        <v>0</v>
      </c>
      <c r="J630" s="74">
        <f>INDEX('اکسسوری حذف از لیست اصلی'!J:J,MATCH(K630,'اکسسوری حذف از لیست اصلی'!T:T,0))</f>
        <v>14000000</v>
      </c>
      <c r="K630" s="64">
        <v>347</v>
      </c>
    </row>
    <row r="631" spans="1:11" ht="29.25" customHeight="1">
      <c r="A631" s="60"/>
      <c r="B631" s="61"/>
      <c r="D631" s="73">
        <v>39</v>
      </c>
      <c r="E631" s="109">
        <f>INDEX('اکسسوری حذف از لیست اصلی'!C:C,MATCH(K631,'اکسسوری حذف از لیست اصلی'!T:T,0))</f>
        <v>9901030291</v>
      </c>
      <c r="F631" s="109" t="str">
        <f>INDEX('اکسسوری حذف از لیست اصلی'!D:D,MATCH(K631,'اکسسوری حذف از لیست اصلی'!T:T,0))</f>
        <v>گلدان بلوری بنفش DV-G291</v>
      </c>
      <c r="G631" s="110" t="str">
        <f>INDEX('اکسسوری حذف از لیست اصلی'!E:E,MATCH(K631,'اکسسوری حذف از لیست اصلی'!T:T,0))</f>
        <v>-</v>
      </c>
      <c r="H631" s="110">
        <f>INDEX('اکسسوری حذف از لیست اصلی'!F:F,MATCH(K631,'اکسسوری حذف از لیست اصلی'!T:T,0))</f>
        <v>0</v>
      </c>
      <c r="I631" s="110">
        <f>INDEX('اکسسوری حذف از لیست اصلی'!G:G,MATCH(K631,'اکسسوری حذف از لیست اصلی'!T:T,0))</f>
        <v>0</v>
      </c>
      <c r="J631" s="74">
        <f>INDEX('اکسسوری حذف از لیست اصلی'!J:J,MATCH(K631,'اکسسوری حذف از لیست اصلی'!T:T,0))</f>
        <v>14000000</v>
      </c>
      <c r="K631" s="64">
        <v>348</v>
      </c>
    </row>
    <row r="632" spans="1:11" ht="29.25" customHeight="1">
      <c r="A632" s="60"/>
      <c r="B632" s="61"/>
      <c r="D632" s="79">
        <v>40</v>
      </c>
      <c r="E632" s="109">
        <f>INDEX('اکسسوری حذف از لیست اصلی'!C:C,MATCH(K632,'اکسسوری حذف از لیست اصلی'!T:T,0))</f>
        <v>9901030292</v>
      </c>
      <c r="F632" s="109" t="str">
        <f>INDEX('اکسسوری حذف از لیست اصلی'!D:D,MATCH(K632,'اکسسوری حذف از لیست اصلی'!T:T,0))</f>
        <v>گلدان بلوری سبز دودی DV-G292</v>
      </c>
      <c r="G632" s="110" t="str">
        <f>INDEX('اکسسوری حذف از لیست اصلی'!E:E,MATCH(K632,'اکسسوری حذف از لیست اصلی'!T:T,0))</f>
        <v>-</v>
      </c>
      <c r="H632" s="110">
        <f>INDEX('اکسسوری حذف از لیست اصلی'!F:F,MATCH(K632,'اکسسوری حذف از لیست اصلی'!T:T,0))</f>
        <v>0</v>
      </c>
      <c r="I632" s="110">
        <f>INDEX('اکسسوری حذف از لیست اصلی'!G:G,MATCH(K632,'اکسسوری حذف از لیست اصلی'!T:T,0))</f>
        <v>0</v>
      </c>
      <c r="J632" s="74">
        <f>INDEX('اکسسوری حذف از لیست اصلی'!J:J,MATCH(K632,'اکسسوری حذف از لیست اصلی'!T:T,0))</f>
        <v>12000000</v>
      </c>
      <c r="K632" s="64">
        <v>349</v>
      </c>
    </row>
    <row r="633" spans="1:11" ht="17.25" customHeight="1">
      <c r="A633" s="60"/>
      <c r="B633" s="61"/>
      <c r="D633" s="28"/>
      <c r="E633" s="65"/>
      <c r="G633" s="28"/>
      <c r="H633" s="28"/>
      <c r="I633" s="28"/>
      <c r="J633" s="74">
        <v>22</v>
      </c>
    </row>
    <row r="634" spans="1:11">
      <c r="A634" s="70"/>
      <c r="B634" s="71"/>
      <c r="C634" s="183"/>
      <c r="D634" s="184"/>
      <c r="E634" s="184"/>
      <c r="F634" s="184"/>
      <c r="G634" s="184"/>
      <c r="H634" s="184"/>
      <c r="I634" s="184"/>
      <c r="J634" s="184"/>
    </row>
    <row r="635" spans="1:11">
      <c r="A635" s="70"/>
      <c r="B635" s="71"/>
      <c r="C635" s="183"/>
      <c r="D635" s="184"/>
      <c r="E635" s="184"/>
      <c r="F635" s="184"/>
      <c r="G635" s="184"/>
      <c r="H635" s="184"/>
      <c r="I635" s="184"/>
      <c r="J635" s="184"/>
    </row>
    <row r="636" spans="1:11" ht="27.75">
      <c r="A636" s="70"/>
      <c r="B636" s="71"/>
      <c r="C636" s="72"/>
      <c r="D636" s="67" t="s">
        <v>973</v>
      </c>
      <c r="J636" s="68" t="str">
        <f>$N$1</f>
        <v>1405/02/23</v>
      </c>
    </row>
    <row r="637" spans="1:11" ht="36">
      <c r="A637" s="70"/>
      <c r="B637" s="71"/>
      <c r="C637" s="77"/>
      <c r="D637" s="75" t="s">
        <v>0</v>
      </c>
      <c r="E637" s="69" t="s">
        <v>1</v>
      </c>
      <c r="F637" s="107" t="s">
        <v>448</v>
      </c>
      <c r="G637" s="108" t="s">
        <v>1141</v>
      </c>
      <c r="H637" s="108" t="s">
        <v>1142</v>
      </c>
      <c r="I637" s="108" t="s">
        <v>1143</v>
      </c>
      <c r="J637" s="68" t="s">
        <v>251</v>
      </c>
    </row>
    <row r="638" spans="1:11" ht="36" customHeight="1">
      <c r="A638" s="60"/>
      <c r="B638" s="61"/>
      <c r="D638" s="73">
        <v>41</v>
      </c>
      <c r="E638" s="109">
        <f>INDEX('اکسسوری حذف از لیست اصلی'!C:C,MATCH(K638,'اکسسوری حذف از لیست اصلی'!T:T,0))</f>
        <v>9901030293</v>
      </c>
      <c r="F638" s="109" t="str">
        <f>INDEX('اکسسوری حذف از لیست اصلی'!D:D,MATCH(K638,'اکسسوری حذف از لیست اصلی'!T:T,0))</f>
        <v>گلدان بلوری عسلی DV-G293</v>
      </c>
      <c r="G638" s="110" t="str">
        <f>INDEX('اکسسوری حذف از لیست اصلی'!E:E,MATCH(K638,'اکسسوری حذف از لیست اصلی'!T:T,0))</f>
        <v>-</v>
      </c>
      <c r="H638" s="110">
        <f>INDEX('اکسسوری حذف از لیست اصلی'!F:F,MATCH(K638,'اکسسوری حذف از لیست اصلی'!T:T,0))</f>
        <v>0</v>
      </c>
      <c r="I638" s="110">
        <f>INDEX('اکسسوری حذف از لیست اصلی'!G:G,MATCH(K638,'اکسسوری حذف از لیست اصلی'!T:T,0))</f>
        <v>0</v>
      </c>
      <c r="J638" s="74">
        <f>INDEX('اکسسوری حذف از لیست اصلی'!J:J,MATCH(K638,'اکسسوری حذف از لیست اصلی'!T:T,0))</f>
        <v>12000000</v>
      </c>
      <c r="K638" s="64">
        <v>350</v>
      </c>
    </row>
    <row r="639" spans="1:11" ht="36" customHeight="1">
      <c r="A639" s="60"/>
      <c r="B639" s="61"/>
      <c r="C639" s="78"/>
      <c r="D639" s="79">
        <v>42</v>
      </c>
      <c r="E639" s="109">
        <f>INDEX('اکسسوری حذف از لیست اصلی'!C:C,MATCH(K639,'اکسسوری حذف از لیست اصلی'!T:T,0))</f>
        <v>9901030294</v>
      </c>
      <c r="F639" s="109" t="str">
        <f>INDEX('اکسسوری حذف از لیست اصلی'!D:D,MATCH(K639,'اکسسوری حذف از لیست اصلی'!T:T,0))</f>
        <v>گلدان بلوری بنفش DV-G294</v>
      </c>
      <c r="G639" s="110" t="str">
        <f>INDEX('اکسسوری حذف از لیست اصلی'!E:E,MATCH(K639,'اکسسوری حذف از لیست اصلی'!T:T,0))</f>
        <v>-</v>
      </c>
      <c r="H639" s="110">
        <f>INDEX('اکسسوری حذف از لیست اصلی'!F:F,MATCH(K639,'اکسسوری حذف از لیست اصلی'!T:T,0))</f>
        <v>0</v>
      </c>
      <c r="I639" s="110">
        <f>INDEX('اکسسوری حذف از لیست اصلی'!G:G,MATCH(K639,'اکسسوری حذف از لیست اصلی'!T:T,0))</f>
        <v>0</v>
      </c>
      <c r="J639" s="74">
        <f>INDEX('اکسسوری حذف از لیست اصلی'!J:J,MATCH(K639,'اکسسوری حذف از لیست اصلی'!T:T,0))</f>
        <v>12000000</v>
      </c>
      <c r="K639" s="64">
        <v>351</v>
      </c>
    </row>
    <row r="640" spans="1:11" ht="36" customHeight="1">
      <c r="A640" s="60"/>
      <c r="B640" s="61"/>
      <c r="D640" s="73">
        <v>43</v>
      </c>
      <c r="E640" s="109">
        <f>INDEX('اکسسوری حذف از لیست اصلی'!C:C,MATCH(K640,'اکسسوری حذف از لیست اصلی'!T:T,0))</f>
        <v>9901030295</v>
      </c>
      <c r="F640" s="109" t="str">
        <f>INDEX('اکسسوری حذف از لیست اصلی'!D:D,MATCH(K640,'اکسسوری حذف از لیست اصلی'!T:T,0))</f>
        <v>گلدان سه سایز آلومنیومی نقره ای DV-A295</v>
      </c>
      <c r="G640" s="110" t="str">
        <f>INDEX('اکسسوری حذف از لیست اصلی'!E:E,MATCH(K640,'اکسسوری حذف از لیست اصلی'!T:T,0))</f>
        <v>-</v>
      </c>
      <c r="H640" s="110">
        <f>INDEX('اکسسوری حذف از لیست اصلی'!F:F,MATCH(K640,'اکسسوری حذف از لیست اصلی'!T:T,0))</f>
        <v>0</v>
      </c>
      <c r="I640" s="110">
        <f>INDEX('اکسسوری حذف از لیست اصلی'!G:G,MATCH(K640,'اکسسوری حذف از لیست اصلی'!T:T,0))</f>
        <v>0</v>
      </c>
      <c r="J640" s="74">
        <f>INDEX('اکسسوری حذف از لیست اصلی'!J:J,MATCH(K640,'اکسسوری حذف از لیست اصلی'!T:T,0))</f>
        <v>186000000</v>
      </c>
      <c r="K640" s="64">
        <v>352</v>
      </c>
    </row>
    <row r="641" spans="1:11" ht="36" customHeight="1">
      <c r="A641" s="60"/>
      <c r="B641" s="61"/>
      <c r="D641" s="79">
        <v>44</v>
      </c>
      <c r="E641" s="109">
        <f>INDEX('اکسسوری حذف از لیست اصلی'!C:C,MATCH(K641,'اکسسوری حذف از لیست اصلی'!T:T,0))</f>
        <v>9901030296</v>
      </c>
      <c r="F641" s="109" t="str">
        <f>INDEX('اکسسوری حذف از لیست اصلی'!D:D,MATCH(K641,'اکسسوری حذف از لیست اصلی'!T:T,0))</f>
        <v>گلدان سه سایز آلومنیومی طلایی DV-A296</v>
      </c>
      <c r="G641" s="110" t="str">
        <f>INDEX('اکسسوری حذف از لیست اصلی'!E:E,MATCH(K641,'اکسسوری حذف از لیست اصلی'!T:T,0))</f>
        <v>-</v>
      </c>
      <c r="H641" s="110">
        <f>INDEX('اکسسوری حذف از لیست اصلی'!F:F,MATCH(K641,'اکسسوری حذف از لیست اصلی'!T:T,0))</f>
        <v>0</v>
      </c>
      <c r="I641" s="110">
        <f>INDEX('اکسسوری حذف از لیست اصلی'!G:G,MATCH(K641,'اکسسوری حذف از لیست اصلی'!T:T,0))</f>
        <v>0</v>
      </c>
      <c r="J641" s="74">
        <f>INDEX('اکسسوری حذف از لیست اصلی'!J:J,MATCH(K641,'اکسسوری حذف از لیست اصلی'!T:T,0))</f>
        <v>186000000</v>
      </c>
      <c r="K641" s="64">
        <v>353</v>
      </c>
    </row>
    <row r="642" spans="1:11" ht="36" customHeight="1">
      <c r="A642" s="60"/>
      <c r="B642" s="61"/>
      <c r="D642" s="73">
        <v>45</v>
      </c>
      <c r="E642" s="109">
        <f>INDEX('اکسسوری حذف از لیست اصلی'!C:C,MATCH(K642,'اکسسوری حذف از لیست اصلی'!T:T,0))</f>
        <v>9901030308</v>
      </c>
      <c r="F642" s="109" t="str">
        <f>INDEX('اکسسوری حذف از لیست اصلی'!D:D,MATCH(K642,'اکسسوری حذف از لیست اصلی'!T:T,0))</f>
        <v>گلدان آلومنیومی نقره ای DV-A308</v>
      </c>
      <c r="G642" s="110" t="str">
        <f>INDEX('اکسسوری حذف از لیست اصلی'!E:E,MATCH(K642,'اکسسوری حذف از لیست اصلی'!T:T,0))</f>
        <v>25*25*42/5</v>
      </c>
      <c r="H642" s="110">
        <f>INDEX('اکسسوری حذف از لیست اصلی'!F:F,MATCH(K642,'اکسسوری حذف از لیست اصلی'!T:T,0))</f>
        <v>0</v>
      </c>
      <c r="I642" s="110">
        <f>INDEX('اکسسوری حذف از لیست اصلی'!G:G,MATCH(K642,'اکسسوری حذف از لیست اصلی'!T:T,0))</f>
        <v>0</v>
      </c>
      <c r="J642" s="74">
        <f>INDEX('اکسسوری حذف از لیست اصلی'!J:J,MATCH(K642,'اکسسوری حذف از لیست اصلی'!T:T,0))</f>
        <v>140000000</v>
      </c>
      <c r="K642" s="64">
        <v>354</v>
      </c>
    </row>
    <row r="643" spans="1:11" ht="36" customHeight="1">
      <c r="A643" s="60"/>
      <c r="B643" s="61"/>
      <c r="D643" s="79">
        <v>46</v>
      </c>
      <c r="E643" s="109">
        <f>INDEX('اکسسوری حذف از لیست اصلی'!C:C,MATCH(K643,'اکسسوری حذف از لیست اصلی'!T:T,0))</f>
        <v>9901030315</v>
      </c>
      <c r="F643" s="109" t="str">
        <f>INDEX('اکسسوری حذف از لیست اصلی'!D:D,MATCH(K643,'اکسسوری حذف از لیست اصلی'!T:T,0))</f>
        <v>گلدان سفالی کرم بزرگ DV-C315</v>
      </c>
      <c r="G643" s="110" t="str">
        <f>INDEX('اکسسوری حذف از لیست اصلی'!E:E,MATCH(K643,'اکسسوری حذف از لیست اصلی'!T:T,0))</f>
        <v>26*26*45</v>
      </c>
      <c r="H643" s="110">
        <f>INDEX('اکسسوری حذف از لیست اصلی'!F:F,MATCH(K643,'اکسسوری حذف از لیست اصلی'!T:T,0))</f>
        <v>0</v>
      </c>
      <c r="I643" s="110">
        <f>INDEX('اکسسوری حذف از لیست اصلی'!G:G,MATCH(K643,'اکسسوری حذف از لیست اصلی'!T:T,0))</f>
        <v>0</v>
      </c>
      <c r="J643" s="74">
        <f>INDEX('اکسسوری حذف از لیست اصلی'!J:J,MATCH(K643,'اکسسوری حذف از لیست اصلی'!T:T,0))</f>
        <v>67000000</v>
      </c>
      <c r="K643" s="64">
        <v>355</v>
      </c>
    </row>
    <row r="644" spans="1:11" ht="36" customHeight="1">
      <c r="A644" s="60"/>
      <c r="B644" s="61"/>
      <c r="D644" s="73">
        <v>47</v>
      </c>
      <c r="E644" s="109">
        <f>INDEX('اکسسوری حذف از لیست اصلی'!C:C,MATCH(K644,'اکسسوری حذف از لیست اصلی'!T:T,0))</f>
        <v>9901030316</v>
      </c>
      <c r="F644" s="109" t="str">
        <f>INDEX('اکسسوری حذف از لیست اصلی'!D:D,MATCH(K644,'اکسسوری حذف از لیست اصلی'!T:T,0))</f>
        <v>گلدان سفالی کرم کوچک DV-C316</v>
      </c>
      <c r="G644" s="110" t="str">
        <f>INDEX('اکسسوری حذف از لیست اصلی'!E:E,MATCH(K644,'اکسسوری حذف از لیست اصلی'!T:T,0))</f>
        <v>22*22*35</v>
      </c>
      <c r="H644" s="110">
        <f>INDEX('اکسسوری حذف از لیست اصلی'!F:F,MATCH(K644,'اکسسوری حذف از لیست اصلی'!T:T,0))</f>
        <v>0</v>
      </c>
      <c r="I644" s="110">
        <f>INDEX('اکسسوری حذف از لیست اصلی'!G:G,MATCH(K644,'اکسسوری حذف از لیست اصلی'!T:T,0))</f>
        <v>0</v>
      </c>
      <c r="J644" s="74">
        <f>INDEX('اکسسوری حذف از لیست اصلی'!J:J,MATCH(K644,'اکسسوری حذف از لیست اصلی'!T:T,0))</f>
        <v>58000000</v>
      </c>
      <c r="K644" s="64">
        <v>356</v>
      </c>
    </row>
    <row r="645" spans="1:11" ht="36" customHeight="1">
      <c r="A645" s="60"/>
      <c r="B645" s="61"/>
      <c r="D645" s="79">
        <v>48</v>
      </c>
      <c r="E645" s="109">
        <f>INDEX('اکسسوری حذف از لیست اصلی'!C:C,MATCH(K645,'اکسسوری حذف از لیست اصلی'!T:T,0))</f>
        <v>9901030448</v>
      </c>
      <c r="F645" s="109" t="str">
        <f>INDEX('اکسسوری حذف از لیست اصلی'!D:D,MATCH(K645,'اکسسوری حذف از لیست اصلی'!T:T,0))</f>
        <v>گلدان سفالی شیری DV-C448</v>
      </c>
      <c r="G645" s="110" t="str">
        <f>INDEX('اکسسوری حذف از لیست اصلی'!E:E,MATCH(K645,'اکسسوری حذف از لیست اصلی'!T:T,0))</f>
        <v>-</v>
      </c>
      <c r="H645" s="110">
        <f>INDEX('اکسسوری حذف از لیست اصلی'!F:F,MATCH(K645,'اکسسوری حذف از لیست اصلی'!T:T,0))</f>
        <v>0</v>
      </c>
      <c r="I645" s="110">
        <f>INDEX('اکسسوری حذف از لیست اصلی'!G:G,MATCH(K645,'اکسسوری حذف از لیست اصلی'!T:T,0))</f>
        <v>0</v>
      </c>
      <c r="J645" s="74">
        <f>INDEX('اکسسوری حذف از لیست اصلی'!J:J,MATCH(K645,'اکسسوری حذف از لیست اصلی'!T:T,0))</f>
        <v>61000000</v>
      </c>
      <c r="K645" s="64">
        <v>357</v>
      </c>
    </row>
    <row r="646" spans="1:11" ht="36" customHeight="1">
      <c r="A646" s="60"/>
      <c r="B646" s="61"/>
      <c r="D646" s="73">
        <v>49</v>
      </c>
      <c r="E646" s="109">
        <f>INDEX('اکسسوری حذف از لیست اصلی'!C:C,MATCH(K646,'اکسسوری حذف از لیست اصلی'!T:T,0))</f>
        <v>9901030449</v>
      </c>
      <c r="F646" s="109" t="str">
        <f>INDEX('اکسسوری حذف از لیست اصلی'!D:D,MATCH(K646,'اکسسوری حذف از لیست اصلی'!T:T,0))</f>
        <v>گلدان سفالی طوسی DV-C449</v>
      </c>
      <c r="G646" s="110" t="str">
        <f>INDEX('اکسسوری حذف از لیست اصلی'!E:E,MATCH(K646,'اکسسوری حذف از لیست اصلی'!T:T,0))</f>
        <v>-</v>
      </c>
      <c r="H646" s="110">
        <f>INDEX('اکسسوری حذف از لیست اصلی'!F:F,MATCH(K646,'اکسسوری حذف از لیست اصلی'!T:T,0))</f>
        <v>0</v>
      </c>
      <c r="I646" s="110">
        <f>INDEX('اکسسوری حذف از لیست اصلی'!G:G,MATCH(K646,'اکسسوری حذف از لیست اصلی'!T:T,0))</f>
        <v>0</v>
      </c>
      <c r="J646" s="74">
        <f>INDEX('اکسسوری حذف از لیست اصلی'!J:J,MATCH(K646,'اکسسوری حذف از لیست اصلی'!T:T,0))</f>
        <v>61000000</v>
      </c>
      <c r="K646" s="64">
        <v>358</v>
      </c>
    </row>
    <row r="647" spans="1:11" ht="36" customHeight="1">
      <c r="A647" s="60"/>
      <c r="B647" s="61"/>
      <c r="D647" s="79">
        <v>50</v>
      </c>
      <c r="E647" s="109">
        <f>INDEX('اکسسوری حذف از لیست اصلی'!C:C,MATCH(K647,'اکسسوری حذف از لیست اصلی'!T:T,0))</f>
        <v>9901030450</v>
      </c>
      <c r="F647" s="109" t="str">
        <f>INDEX('اکسسوری حذف از لیست اصلی'!D:D,MATCH(K647,'اکسسوری حذف از لیست اصلی'!T:T,0))</f>
        <v>گلدان سفالی مشکی DV-C450</v>
      </c>
      <c r="G647" s="110" t="str">
        <f>INDEX('اکسسوری حذف از لیست اصلی'!E:E,MATCH(K647,'اکسسوری حذف از لیست اصلی'!T:T,0))</f>
        <v>-</v>
      </c>
      <c r="H647" s="110">
        <f>INDEX('اکسسوری حذف از لیست اصلی'!F:F,MATCH(K647,'اکسسوری حذف از لیست اصلی'!T:T,0))</f>
        <v>0</v>
      </c>
      <c r="I647" s="110">
        <f>INDEX('اکسسوری حذف از لیست اصلی'!G:G,MATCH(K647,'اکسسوری حذف از لیست اصلی'!T:T,0))</f>
        <v>0</v>
      </c>
      <c r="J647" s="74">
        <f>INDEX('اکسسوری حذف از لیست اصلی'!J:J,MATCH(K647,'اکسسوری حذف از لیست اصلی'!T:T,0))</f>
        <v>61000000</v>
      </c>
      <c r="K647" s="64">
        <v>359</v>
      </c>
    </row>
    <row r="648" spans="1:11" ht="36" customHeight="1">
      <c r="A648" s="60"/>
      <c r="B648" s="61"/>
      <c r="D648" s="73">
        <v>51</v>
      </c>
      <c r="E648" s="109">
        <f>INDEX('اکسسوری حذف از لیست اصلی'!C:C,MATCH(K648,'اکسسوری حذف از لیست اصلی'!T:T,0))</f>
        <v>9901030454</v>
      </c>
      <c r="F648" s="109" t="str">
        <f>INDEX('اکسسوری حذف از لیست اصلی'!D:D,MATCH(K648,'اکسسوری حذف از لیست اصلی'!T:T,0))</f>
        <v>گلدان سنگی گردان DV-S454</v>
      </c>
      <c r="G648" s="110" t="str">
        <f>INDEX('اکسسوری حذف از لیست اصلی'!E:E,MATCH(K648,'اکسسوری حذف از لیست اصلی'!T:T,0))</f>
        <v>15*15*25</v>
      </c>
      <c r="H648" s="110">
        <f>INDEX('اکسسوری حذف از لیست اصلی'!F:F,MATCH(K648,'اکسسوری حذف از لیست اصلی'!T:T,0))</f>
        <v>0</v>
      </c>
      <c r="I648" s="110">
        <f>INDEX('اکسسوری حذف از لیست اصلی'!G:G,MATCH(K648,'اکسسوری حذف از لیست اصلی'!T:T,0))</f>
        <v>0</v>
      </c>
      <c r="J648" s="74">
        <f>INDEX('اکسسوری حذف از لیست اصلی'!J:J,MATCH(K648,'اکسسوری حذف از لیست اصلی'!T:T,0))</f>
        <v>122000000</v>
      </c>
      <c r="K648" s="64">
        <v>360</v>
      </c>
    </row>
    <row r="649" spans="1:11" ht="36" customHeight="1">
      <c r="A649" s="60"/>
      <c r="B649" s="61"/>
      <c r="D649" s="79">
        <v>52</v>
      </c>
      <c r="E649" s="109">
        <f>INDEX('اکسسوری حذف از لیست اصلی'!C:C,MATCH(K649,'اکسسوری حذف از لیست اصلی'!T:T,0))</f>
        <v>9901030466</v>
      </c>
      <c r="F649" s="109" t="str">
        <f>INDEX('اکسسوری حذف از لیست اصلی'!D:D,MATCH(K649,'اکسسوری حذف از لیست اصلی'!T:T,0))</f>
        <v>گلدان خمره ای چهار دسته بزرگ کرم خاکیDV-C466</v>
      </c>
      <c r="G649" s="110" t="str">
        <f>INDEX('اکسسوری حذف از لیست اصلی'!E:E,MATCH(K649,'اکسسوری حذف از لیست اصلی'!T:T,0))</f>
        <v>ارتفاع 90</v>
      </c>
      <c r="H649" s="110">
        <f>INDEX('اکسسوری حذف از لیست اصلی'!F:F,MATCH(K649,'اکسسوری حذف از لیست اصلی'!T:T,0))</f>
        <v>0</v>
      </c>
      <c r="I649" s="110">
        <f>INDEX('اکسسوری حذف از لیست اصلی'!G:G,MATCH(K649,'اکسسوری حذف از لیست اصلی'!T:T,0))</f>
        <v>0</v>
      </c>
      <c r="J649" s="74">
        <f>INDEX('اکسسوری حذف از لیست اصلی'!J:J,MATCH(K649,'اکسسوری حذف از لیست اصلی'!T:T,0))</f>
        <v>158000000</v>
      </c>
      <c r="K649" s="64">
        <v>361</v>
      </c>
    </row>
    <row r="650" spans="1:11" ht="30.75" customHeight="1">
      <c r="A650" s="60"/>
      <c r="B650" s="61"/>
      <c r="D650" s="73">
        <v>53</v>
      </c>
      <c r="E650" s="109">
        <f>INDEX('اکسسوری حذف از لیست اصلی'!C:C,MATCH(K650,'اکسسوری حذف از لیست اصلی'!T:T,0))</f>
        <v>9901030471</v>
      </c>
      <c r="F650" s="109" t="str">
        <f>INDEX('اکسسوری حذف از لیست اصلی'!D:D,MATCH(K650,'اکسسوری حذف از لیست اصلی'!T:T,0))</f>
        <v>گلدان شیاردار آلومنیومی نقره ای DV-A471</v>
      </c>
      <c r="G650" s="110" t="str">
        <f>INDEX('اکسسوری حذف از لیست اصلی'!E:E,MATCH(K650,'اکسسوری حذف از لیست اصلی'!T:T,0))</f>
        <v>-</v>
      </c>
      <c r="H650" s="110">
        <f>INDEX('اکسسوری حذف از لیست اصلی'!F:F,MATCH(K650,'اکسسوری حذف از لیست اصلی'!T:T,0))</f>
        <v>0</v>
      </c>
      <c r="I650" s="110">
        <f>INDEX('اکسسوری حذف از لیست اصلی'!G:G,MATCH(K650,'اکسسوری حذف از لیست اصلی'!T:T,0))</f>
        <v>0</v>
      </c>
      <c r="J650" s="74">
        <f>INDEX('اکسسوری حذف از لیست اصلی'!J:J,MATCH(K650,'اکسسوری حذف از لیست اصلی'!T:T,0))</f>
        <v>109000000</v>
      </c>
      <c r="K650" s="64">
        <v>362</v>
      </c>
    </row>
    <row r="651" spans="1:11" ht="30.75" customHeight="1">
      <c r="A651" s="60"/>
      <c r="B651" s="61"/>
      <c r="D651"/>
      <c r="E651"/>
      <c r="F651"/>
      <c r="G651"/>
      <c r="H651"/>
      <c r="I651"/>
      <c r="J651"/>
    </row>
    <row r="652" spans="1:11" ht="24" customHeight="1">
      <c r="A652" s="60"/>
      <c r="B652" s="61"/>
      <c r="D652"/>
      <c r="E652"/>
      <c r="F652"/>
      <c r="G652"/>
      <c r="H652"/>
      <c r="I652"/>
      <c r="J652"/>
    </row>
    <row r="653" spans="1:11" ht="24" customHeight="1">
      <c r="A653" s="60"/>
      <c r="B653" s="61"/>
      <c r="D653"/>
      <c r="E653"/>
      <c r="F653"/>
      <c r="G653"/>
      <c r="H653"/>
      <c r="I653"/>
      <c r="J653"/>
    </row>
    <row r="654" spans="1:11" ht="15.75" customHeight="1">
      <c r="A654" s="60"/>
      <c r="B654" s="61"/>
      <c r="D654"/>
      <c r="E654"/>
      <c r="F654"/>
      <c r="G654"/>
      <c r="H654"/>
      <c r="I654"/>
      <c r="J654"/>
    </row>
    <row r="655" spans="1:11" ht="30.75" customHeight="1">
      <c r="A655" s="60"/>
      <c r="B655" s="61"/>
      <c r="D655"/>
      <c r="E655"/>
      <c r="F655"/>
      <c r="G655"/>
      <c r="H655"/>
      <c r="I655"/>
      <c r="J655"/>
    </row>
    <row r="656" spans="1:11">
      <c r="A656" s="60"/>
      <c r="B656" s="61"/>
      <c r="J656" s="74">
        <v>23</v>
      </c>
    </row>
    <row r="657" spans="1:11">
      <c r="A657" s="60"/>
      <c r="B657" s="61"/>
      <c r="C657" s="183"/>
      <c r="D657" s="184"/>
      <c r="E657" s="184"/>
      <c r="F657" s="184"/>
      <c r="G657" s="184"/>
      <c r="H657" s="184"/>
      <c r="I657" s="184"/>
      <c r="J657" s="184"/>
    </row>
    <row r="658" spans="1:11">
      <c r="A658" s="60"/>
      <c r="B658" s="61"/>
      <c r="C658" s="183"/>
      <c r="D658" s="184"/>
      <c r="E658" s="184"/>
      <c r="F658" s="184"/>
      <c r="G658" s="184"/>
      <c r="H658" s="184"/>
      <c r="I658" s="184"/>
      <c r="J658" s="184"/>
    </row>
    <row r="659" spans="1:11" ht="27.75">
      <c r="A659" s="60"/>
      <c r="B659" s="61"/>
      <c r="C659" s="72"/>
      <c r="D659" s="67" t="s">
        <v>1166</v>
      </c>
      <c r="J659" s="68" t="str">
        <f>$N$1</f>
        <v>1405/02/23</v>
      </c>
    </row>
    <row r="660" spans="1:11" ht="36">
      <c r="A660" s="60"/>
      <c r="B660" s="61"/>
      <c r="C660" s="77"/>
      <c r="D660" s="75" t="s">
        <v>0</v>
      </c>
      <c r="E660" s="69" t="s">
        <v>1</v>
      </c>
      <c r="F660" s="107" t="s">
        <v>448</v>
      </c>
      <c r="G660" s="108" t="s">
        <v>1141</v>
      </c>
      <c r="H660" s="108" t="s">
        <v>1142</v>
      </c>
      <c r="I660" s="108" t="s">
        <v>1143</v>
      </c>
      <c r="J660" s="68" t="s">
        <v>251</v>
      </c>
    </row>
    <row r="661" spans="1:11" ht="39" customHeight="1">
      <c r="A661" s="60"/>
      <c r="B661" s="61"/>
      <c r="D661" s="73">
        <v>1</v>
      </c>
      <c r="E661" s="109">
        <f>INDEX('اکسسوری حذف از لیست اصلی'!C:C,MATCH(K661,'اکسسوری حذف از لیست اصلی'!T:T,0))</f>
        <v>9901050020</v>
      </c>
      <c r="F661" s="109" t="str">
        <f>INDEX('اکسسوری حذف از لیست اصلی'!D:D,MATCH(K661,'اکسسوری حذف از لیست اصلی'!T:T,0))</f>
        <v>شمع دکوراتیو سفیدCD-P020</v>
      </c>
      <c r="G661" s="110" t="str">
        <f>INDEX('اکسسوری حذف از لیست اصلی'!E:E,MATCH(K661,'اکسسوری حذف از لیست اصلی'!T:T,0))</f>
        <v>6*15</v>
      </c>
      <c r="H661" s="110">
        <f>INDEX('اکسسوری حذف از لیست اصلی'!F:F,MATCH(K661,'اکسسوری حذف از لیست اصلی'!T:T,0))</f>
        <v>0</v>
      </c>
      <c r="I661" s="110">
        <f>INDEX('اکسسوری حذف از لیست اصلی'!G:G,MATCH(K661,'اکسسوری حذف از لیست اصلی'!T:T,0))</f>
        <v>0</v>
      </c>
      <c r="J661" s="74">
        <f>INDEX('اکسسوری حذف از لیست اصلی'!J:J,MATCH(K661,'اکسسوری حذف از لیست اصلی'!T:T,0))</f>
        <v>8000000</v>
      </c>
      <c r="K661" s="64">
        <v>363</v>
      </c>
    </row>
    <row r="662" spans="1:11" ht="39" customHeight="1">
      <c r="A662" s="60"/>
      <c r="B662" s="61"/>
      <c r="C662" s="78"/>
      <c r="D662" s="79">
        <v>2</v>
      </c>
      <c r="E662" s="109">
        <f>INDEX('اکسسوری حذف از لیست اصلی'!C:C,MATCH(K662,'اکسسوری حذف از لیست اصلی'!T:T,0))</f>
        <v>9901050023</v>
      </c>
      <c r="F662" s="109" t="str">
        <f>INDEX('اکسسوری حذف از لیست اصلی'!D:D,MATCH(K662,'اکسسوری حذف از لیست اصلی'!T:T,0))</f>
        <v>شمع دکوراتیو قهوه ای CD-P023</v>
      </c>
      <c r="G662" s="110" t="str">
        <f>INDEX('اکسسوری حذف از لیست اصلی'!E:E,MATCH(K662,'اکسسوری حذف از لیست اصلی'!T:T,0))</f>
        <v>16*12</v>
      </c>
      <c r="H662" s="110">
        <f>INDEX('اکسسوری حذف از لیست اصلی'!F:F,MATCH(K662,'اکسسوری حذف از لیست اصلی'!T:T,0))</f>
        <v>0</v>
      </c>
      <c r="I662" s="110">
        <f>INDEX('اکسسوری حذف از لیست اصلی'!G:G,MATCH(K662,'اکسسوری حذف از لیست اصلی'!T:T,0))</f>
        <v>0</v>
      </c>
      <c r="J662" s="74">
        <f>INDEX('اکسسوری حذف از لیست اصلی'!J:J,MATCH(K662,'اکسسوری حذف از لیست اصلی'!T:T,0))</f>
        <v>8000000</v>
      </c>
      <c r="K662" s="64">
        <v>364</v>
      </c>
    </row>
    <row r="663" spans="1:11" ht="39" customHeight="1">
      <c r="A663" s="60"/>
      <c r="B663" s="61"/>
      <c r="D663" s="73">
        <v>3</v>
      </c>
      <c r="E663" s="109">
        <f>INDEX('اکسسوری حذف از لیست اصلی'!C:C,MATCH(K663,'اکسسوری حذف از لیست اصلی'!T:T,0))</f>
        <v>9901050028</v>
      </c>
      <c r="F663" s="109" t="str">
        <f>INDEX('اکسسوری حذف از لیست اصلی'!D:D,MATCH(K663,'اکسسوری حذف از لیست اصلی'!T:T,0))</f>
        <v>شمع دکوراتیو سفیدCD-P028</v>
      </c>
      <c r="G663" s="110" t="str">
        <f>INDEX('اکسسوری حذف از لیست اصلی'!E:E,MATCH(K663,'اکسسوری حذف از لیست اصلی'!T:T,0))</f>
        <v>7*10</v>
      </c>
      <c r="H663" s="110">
        <f>INDEX('اکسسوری حذف از لیست اصلی'!F:F,MATCH(K663,'اکسسوری حذف از لیست اصلی'!T:T,0))</f>
        <v>0</v>
      </c>
      <c r="I663" s="110">
        <f>INDEX('اکسسوری حذف از لیست اصلی'!G:G,MATCH(K663,'اکسسوری حذف از لیست اصلی'!T:T,0))</f>
        <v>0</v>
      </c>
      <c r="J663" s="74">
        <f>INDEX('اکسسوری حذف از لیست اصلی'!J:J,MATCH(K663,'اکسسوری حذف از لیست اصلی'!T:T,0))</f>
        <v>10000000</v>
      </c>
      <c r="K663" s="64">
        <v>365</v>
      </c>
    </row>
    <row r="664" spans="1:11" ht="39" customHeight="1">
      <c r="A664" s="60"/>
      <c r="B664" s="61"/>
      <c r="D664" s="73">
        <v>4</v>
      </c>
      <c r="E664" s="109">
        <f>INDEX('اکسسوری حذف از لیست اصلی'!C:C,MATCH(K664,'اکسسوری حذف از لیست اصلی'!T:T,0))</f>
        <v>9901050030</v>
      </c>
      <c r="F664" s="109" t="str">
        <f>INDEX('اکسسوری حذف از لیست اصلی'!D:D,MATCH(K664,'اکسسوری حذف از لیست اصلی'!T:T,0))</f>
        <v>شمع دکوراتیو شیریCD-P030</v>
      </c>
      <c r="G664" s="110" t="str">
        <f>INDEX('اکسسوری حذف از لیست اصلی'!E:E,MATCH(K664,'اکسسوری حذف از لیست اصلی'!T:T,0))</f>
        <v>7*10</v>
      </c>
      <c r="H664" s="110">
        <f>INDEX('اکسسوری حذف از لیست اصلی'!F:F,MATCH(K664,'اکسسوری حذف از لیست اصلی'!T:T,0))</f>
        <v>0</v>
      </c>
      <c r="I664" s="110">
        <f>INDEX('اکسسوری حذف از لیست اصلی'!G:G,MATCH(K664,'اکسسوری حذف از لیست اصلی'!T:T,0))</f>
        <v>0</v>
      </c>
      <c r="J664" s="74">
        <f>INDEX('اکسسوری حذف از لیست اصلی'!J:J,MATCH(K664,'اکسسوری حذف از لیست اصلی'!T:T,0))</f>
        <v>10000000</v>
      </c>
      <c r="K664" s="64">
        <v>366</v>
      </c>
    </row>
    <row r="665" spans="1:11" ht="39" customHeight="1">
      <c r="A665" s="60"/>
      <c r="B665" s="61"/>
      <c r="D665" s="79">
        <v>5</v>
      </c>
      <c r="E665" s="109">
        <f>INDEX('اکسسوری حذف از لیست اصلی'!C:C,MATCH(K665,'اکسسوری حذف از لیست اصلی'!T:T,0))</f>
        <v>9901050031</v>
      </c>
      <c r="F665" s="109" t="str">
        <f>INDEX('اکسسوری حذف از لیست اصلی'!D:D,MATCH(K665,'اکسسوری حذف از لیست اصلی'!T:T,0))</f>
        <v>شمع دکوراتیو قهوه ایCD-P031</v>
      </c>
      <c r="G665" s="110" t="str">
        <f>INDEX('اکسسوری حذف از لیست اصلی'!E:E,MATCH(K665,'اکسسوری حذف از لیست اصلی'!T:T,0))</f>
        <v>10*10</v>
      </c>
      <c r="H665" s="110">
        <f>INDEX('اکسسوری حذف از لیست اصلی'!F:F,MATCH(K665,'اکسسوری حذف از لیست اصلی'!T:T,0))</f>
        <v>0</v>
      </c>
      <c r="I665" s="110">
        <f>INDEX('اکسسوری حذف از لیست اصلی'!G:G,MATCH(K665,'اکسسوری حذف از لیست اصلی'!T:T,0))</f>
        <v>0</v>
      </c>
      <c r="J665" s="74">
        <f>INDEX('اکسسوری حذف از لیست اصلی'!J:J,MATCH(K665,'اکسسوری حذف از لیست اصلی'!T:T,0))</f>
        <v>10000000</v>
      </c>
      <c r="K665" s="64">
        <v>367</v>
      </c>
    </row>
    <row r="666" spans="1:11" ht="39" customHeight="1">
      <c r="A666" s="60"/>
      <c r="B666" s="61"/>
      <c r="D666" s="73">
        <v>6</v>
      </c>
      <c r="E666" s="109">
        <f>INDEX('اکسسوری حذف از لیست اصلی'!C:C,MATCH(K666,'اکسسوری حذف از لیست اصلی'!T:T,0))</f>
        <v>9901050036</v>
      </c>
      <c r="F666" s="109" t="str">
        <f>INDEX('اکسسوری حذف از لیست اصلی'!D:D,MATCH(K666,'اکسسوری حذف از لیست اصلی'!T:T,0))</f>
        <v>شمع دکوراتیو سفید CD-P036</v>
      </c>
      <c r="G666" s="110" t="str">
        <f>INDEX('اکسسوری حذف از لیست اصلی'!E:E,MATCH(K666,'اکسسوری حذف از لیست اصلی'!T:T,0))</f>
        <v>12*12</v>
      </c>
      <c r="H666" s="110">
        <f>INDEX('اکسسوری حذف از لیست اصلی'!F:F,MATCH(K666,'اکسسوری حذف از لیست اصلی'!T:T,0))</f>
        <v>0</v>
      </c>
      <c r="I666" s="110">
        <f>INDEX('اکسسوری حذف از لیست اصلی'!G:G,MATCH(K666,'اکسسوری حذف از لیست اصلی'!T:T,0))</f>
        <v>0</v>
      </c>
      <c r="J666" s="74">
        <f>INDEX('اکسسوری حذف از لیست اصلی'!J:J,MATCH(K666,'اکسسوری حذف از لیست اصلی'!T:T,0))</f>
        <v>14000000</v>
      </c>
      <c r="K666" s="64">
        <v>368</v>
      </c>
    </row>
    <row r="667" spans="1:11" ht="39" customHeight="1">
      <c r="A667" s="60"/>
      <c r="B667" s="61"/>
      <c r="D667" s="73">
        <v>7</v>
      </c>
      <c r="E667" s="109">
        <f>INDEX('اکسسوری حذف از لیست اصلی'!C:C,MATCH(K667,'اکسسوری حذف از لیست اصلی'!T:T,0))</f>
        <v>9901050038</v>
      </c>
      <c r="F667" s="109" t="str">
        <f>INDEX('اکسسوری حذف از لیست اصلی'!D:D,MATCH(K667,'اکسسوری حذف از لیست اصلی'!T:T,0))</f>
        <v>شمع دکوراتیو شیری CD-P038</v>
      </c>
      <c r="G667" s="110" t="str">
        <f>INDEX('اکسسوری حذف از لیست اصلی'!E:E,MATCH(K667,'اکسسوری حذف از لیست اصلی'!T:T,0))</f>
        <v>12*12</v>
      </c>
      <c r="H667" s="110">
        <f>INDEX('اکسسوری حذف از لیست اصلی'!F:F,MATCH(K667,'اکسسوری حذف از لیست اصلی'!T:T,0))</f>
        <v>0</v>
      </c>
      <c r="I667" s="110">
        <f>INDEX('اکسسوری حذف از لیست اصلی'!G:G,MATCH(K667,'اکسسوری حذف از لیست اصلی'!T:T,0))</f>
        <v>0</v>
      </c>
      <c r="J667" s="74">
        <f>INDEX('اکسسوری حذف از لیست اصلی'!J:J,MATCH(K667,'اکسسوری حذف از لیست اصلی'!T:T,0))</f>
        <v>14000000</v>
      </c>
      <c r="K667" s="64">
        <v>369</v>
      </c>
    </row>
    <row r="668" spans="1:11" ht="39" customHeight="1">
      <c r="A668" s="60"/>
      <c r="B668" s="61"/>
      <c r="D668" s="79">
        <v>8</v>
      </c>
      <c r="E668" s="109">
        <f>INDEX('اکسسوری حذف از لیست اصلی'!C:C,MATCH(K668,'اکسسوری حذف از لیست اصلی'!T:T,0))</f>
        <v>9901050042</v>
      </c>
      <c r="F668" s="109" t="str">
        <f>INDEX('اکسسوری حذف از لیست اصلی'!D:D,MATCH(K668,'اکسسوری حذف از لیست اصلی'!T:T,0))</f>
        <v>شمع دکوراتیو سفید CD-P042</v>
      </c>
      <c r="G668" s="110" t="str">
        <f>INDEX('اکسسوری حذف از لیست اصلی'!E:E,MATCH(K668,'اکسسوری حذف از لیست اصلی'!T:T,0))</f>
        <v>6*20</v>
      </c>
      <c r="H668" s="110">
        <f>INDEX('اکسسوری حذف از لیست اصلی'!F:F,MATCH(K668,'اکسسوری حذف از لیست اصلی'!T:T,0))</f>
        <v>0</v>
      </c>
      <c r="I668" s="110">
        <f>INDEX('اکسسوری حذف از لیست اصلی'!G:G,MATCH(K668,'اکسسوری حذف از لیست اصلی'!T:T,0))</f>
        <v>0</v>
      </c>
      <c r="J668" s="74">
        <f>INDEX('اکسسوری حذف از لیست اصلی'!J:J,MATCH(K668,'اکسسوری حذف از لیست اصلی'!T:T,0))</f>
        <v>11000000</v>
      </c>
      <c r="K668" s="64">
        <v>370</v>
      </c>
    </row>
    <row r="669" spans="1:11" ht="39" customHeight="1">
      <c r="A669" s="60"/>
      <c r="B669" s="61"/>
      <c r="D669" s="73">
        <v>9</v>
      </c>
      <c r="E669" s="109">
        <f>INDEX('اکسسوری حذف از لیست اصلی'!C:C,MATCH(K669,'اکسسوری حذف از لیست اصلی'!T:T,0))</f>
        <v>9901050045</v>
      </c>
      <c r="F669" s="109" t="str">
        <f>INDEX('اکسسوری حذف از لیست اصلی'!D:D,MATCH(K669,'اکسسوری حذف از لیست اصلی'!T:T,0))</f>
        <v>شمع دکوراتیو قهوه ای CD-P045</v>
      </c>
      <c r="G669" s="110" t="str">
        <f>INDEX('اکسسوری حذف از لیست اصلی'!E:E,MATCH(K669,'اکسسوری حذف از لیست اصلی'!T:T,0))</f>
        <v>8*12</v>
      </c>
      <c r="H669" s="110">
        <f>INDEX('اکسسوری حذف از لیست اصلی'!F:F,MATCH(K669,'اکسسوری حذف از لیست اصلی'!T:T,0))</f>
        <v>0</v>
      </c>
      <c r="I669" s="110">
        <f>INDEX('اکسسوری حذف از لیست اصلی'!G:G,MATCH(K669,'اکسسوری حذف از لیست اصلی'!T:T,0))</f>
        <v>0</v>
      </c>
      <c r="J669" s="74">
        <f>INDEX('اکسسوری حذف از لیست اصلی'!J:J,MATCH(K669,'اکسسوری حذف از لیست اصلی'!T:T,0))</f>
        <v>11000000</v>
      </c>
      <c r="K669" s="64">
        <v>371</v>
      </c>
    </row>
    <row r="670" spans="1:11" ht="39" customHeight="1">
      <c r="A670" s="60"/>
      <c r="B670" s="61"/>
      <c r="D670" s="73">
        <v>10</v>
      </c>
      <c r="E670" s="109">
        <f>INDEX('اکسسوری حذف از لیست اصلی'!C:C,MATCH(K670,'اکسسوری حذف از لیست اصلی'!T:T,0))</f>
        <v>9901050051</v>
      </c>
      <c r="F670" s="109" t="str">
        <f>INDEX('اکسسوری حذف از لیست اصلی'!D:D,MATCH(K670,'اکسسوری حذف از لیست اصلی'!T:T,0))</f>
        <v>شمع دکوراتیو نسکافه ای CD-P051</v>
      </c>
      <c r="G670" s="110" t="str">
        <f>INDEX('اکسسوری حذف از لیست اصلی'!E:E,MATCH(K670,'اکسسوری حذف از لیست اصلی'!T:T,0))</f>
        <v>12*12</v>
      </c>
      <c r="H670" s="110">
        <f>INDEX('اکسسوری حذف از لیست اصلی'!F:F,MATCH(K670,'اکسسوری حذف از لیست اصلی'!T:T,0))</f>
        <v>0</v>
      </c>
      <c r="I670" s="110">
        <f>INDEX('اکسسوری حذف از لیست اصلی'!G:G,MATCH(K670,'اکسسوری حذف از لیست اصلی'!T:T,0))</f>
        <v>0</v>
      </c>
      <c r="J670" s="74">
        <f>INDEX('اکسسوری حذف از لیست اصلی'!J:J,MATCH(K670,'اکسسوری حذف از لیست اصلی'!T:T,0))</f>
        <v>14000000</v>
      </c>
      <c r="K670" s="64">
        <v>372</v>
      </c>
    </row>
    <row r="671" spans="1:11" ht="39" customHeight="1">
      <c r="A671" s="60"/>
      <c r="B671" s="61"/>
      <c r="D671" s="79">
        <v>11</v>
      </c>
      <c r="E671" s="109">
        <f>INDEX('اکسسوری حذف از لیست اصلی'!C:C,MATCH(K671,'اکسسوری حذف از لیست اصلی'!T:T,0))</f>
        <v>9901050052</v>
      </c>
      <c r="F671" s="109" t="str">
        <f>INDEX('اکسسوری حذف از لیست اصلی'!D:D,MATCH(K671,'اکسسوری حذف از لیست اصلی'!T:T,0))</f>
        <v>ست شمع دکوراتیو قهوه ای CD-P052</v>
      </c>
      <c r="G671" s="110" t="str">
        <f>INDEX('اکسسوری حذف از لیست اصلی'!E:E,MATCH(K671,'اکسسوری حذف از لیست اصلی'!T:T,0))</f>
        <v>-</v>
      </c>
      <c r="H671" s="110">
        <f>INDEX('اکسسوری حذف از لیست اصلی'!F:F,MATCH(K671,'اکسسوری حذف از لیست اصلی'!T:T,0))</f>
        <v>0</v>
      </c>
      <c r="I671" s="110">
        <f>INDEX('اکسسوری حذف از لیست اصلی'!G:G,MATCH(K671,'اکسسوری حذف از لیست اصلی'!T:T,0))</f>
        <v>0</v>
      </c>
      <c r="J671" s="74">
        <f>INDEX('اکسسوری حذف از لیست اصلی'!J:J,MATCH(K671,'اکسسوری حذف از لیست اصلی'!T:T,0))</f>
        <v>10000000</v>
      </c>
      <c r="K671" s="64">
        <v>373</v>
      </c>
    </row>
    <row r="672" spans="1:11" ht="39" customHeight="1">
      <c r="A672" s="60"/>
      <c r="B672" s="61"/>
      <c r="D672" s="73">
        <v>12</v>
      </c>
      <c r="E672" s="109">
        <f>INDEX('اکسسوری حذف از لیست اصلی'!C:C,MATCH(K672,'اکسسوری حذف از لیست اصلی'!T:T,0))</f>
        <v>9901050053</v>
      </c>
      <c r="F672" s="109" t="str">
        <f>INDEX('اکسسوری حذف از لیست اصلی'!D:D,MATCH(K672,'اکسسوری حذف از لیست اصلی'!T:T,0))</f>
        <v xml:space="preserve"> شمع دکوراتیو قهوه ای CD-P053</v>
      </c>
      <c r="G672" s="110" t="str">
        <f>INDEX('اکسسوری حذف از لیست اصلی'!E:E,MATCH(K672,'اکسسوری حذف از لیست اصلی'!T:T,0))</f>
        <v>-</v>
      </c>
      <c r="H672" s="110">
        <f>INDEX('اکسسوری حذف از لیست اصلی'!F:F,MATCH(K672,'اکسسوری حذف از لیست اصلی'!T:T,0))</f>
        <v>0</v>
      </c>
      <c r="I672" s="110">
        <f>INDEX('اکسسوری حذف از لیست اصلی'!G:G,MATCH(K672,'اکسسوری حذف از لیست اصلی'!T:T,0))</f>
        <v>0</v>
      </c>
      <c r="J672" s="74">
        <f>INDEX('اکسسوری حذف از لیست اصلی'!J:J,MATCH(K672,'اکسسوری حذف از لیست اصلی'!T:T,0))</f>
        <v>14000000</v>
      </c>
      <c r="K672" s="64">
        <v>374</v>
      </c>
    </row>
    <row r="673" spans="1:11" ht="39" customHeight="1">
      <c r="A673" s="60"/>
      <c r="B673" s="61"/>
      <c r="D673" s="73">
        <v>13</v>
      </c>
      <c r="E673" s="109">
        <f>INDEX('اکسسوری حذف از لیست اصلی'!C:C,MATCH(K673,'اکسسوری حذف از لیست اصلی'!T:T,0))</f>
        <v>9901050057</v>
      </c>
      <c r="F673" s="109" t="str">
        <f>INDEX('اکسسوری حذف از لیست اصلی'!D:D,MATCH(K673,'اکسسوری حذف از لیست اصلی'!T:T,0))</f>
        <v>شمع دکوراتیو سفید CD-P057</v>
      </c>
      <c r="G673" s="110" t="str">
        <f>INDEX('اکسسوری حذف از لیست اصلی'!E:E,MATCH(K673,'اکسسوری حذف از لیست اصلی'!T:T,0))</f>
        <v>-</v>
      </c>
      <c r="H673" s="110">
        <f>INDEX('اکسسوری حذف از لیست اصلی'!F:F,MATCH(K673,'اکسسوری حذف از لیست اصلی'!T:T,0))</f>
        <v>0</v>
      </c>
      <c r="I673" s="110">
        <f>INDEX('اکسسوری حذف از لیست اصلی'!G:G,MATCH(K673,'اکسسوری حذف از لیست اصلی'!T:T,0))</f>
        <v>0</v>
      </c>
      <c r="J673" s="74">
        <f>INDEX('اکسسوری حذف از لیست اصلی'!J:J,MATCH(K673,'اکسسوری حذف از لیست اصلی'!T:T,0))</f>
        <v>10000000</v>
      </c>
      <c r="K673" s="64">
        <v>375</v>
      </c>
    </row>
    <row r="674" spans="1:11">
      <c r="A674" s="60"/>
      <c r="B674" s="61"/>
      <c r="D674"/>
      <c r="E674"/>
      <c r="F674"/>
      <c r="G674"/>
      <c r="H674"/>
      <c r="I674"/>
      <c r="J674"/>
    </row>
    <row r="675" spans="1:11">
      <c r="A675" s="60"/>
      <c r="B675" s="61"/>
      <c r="D675"/>
      <c r="E675"/>
      <c r="F675"/>
      <c r="G675"/>
      <c r="H675"/>
      <c r="I675"/>
      <c r="J675"/>
    </row>
    <row r="676" spans="1:11">
      <c r="A676" s="60"/>
      <c r="B676" s="61"/>
      <c r="D676"/>
      <c r="E676"/>
      <c r="F676"/>
      <c r="G676"/>
      <c r="H676"/>
      <c r="I676"/>
      <c r="J676"/>
    </row>
    <row r="677" spans="1:11">
      <c r="A677" s="60"/>
      <c r="B677" s="61"/>
      <c r="D677"/>
      <c r="E677"/>
      <c r="F677"/>
      <c r="G677"/>
      <c r="H677"/>
      <c r="I677"/>
      <c r="J677"/>
    </row>
    <row r="678" spans="1:11">
      <c r="A678" s="60"/>
      <c r="B678" s="61"/>
      <c r="D678"/>
      <c r="E678"/>
      <c r="F678"/>
      <c r="G678"/>
      <c r="H678"/>
      <c r="I678"/>
      <c r="J678"/>
    </row>
    <row r="679" spans="1:11">
      <c r="A679" s="60"/>
      <c r="B679" s="61"/>
      <c r="J679" s="74">
        <v>24</v>
      </c>
    </row>
    <row r="680" spans="1:11">
      <c r="A680" s="70"/>
      <c r="B680" s="71"/>
      <c r="C680" s="183"/>
      <c r="D680" s="184"/>
      <c r="E680" s="184"/>
      <c r="F680" s="184"/>
      <c r="G680" s="184"/>
      <c r="H680" s="184"/>
      <c r="I680" s="184"/>
      <c r="J680" s="184"/>
    </row>
    <row r="681" spans="1:11">
      <c r="A681" s="70"/>
      <c r="B681" s="71"/>
      <c r="C681" s="183"/>
      <c r="D681" s="184"/>
      <c r="E681" s="184"/>
      <c r="F681" s="184"/>
      <c r="G681" s="184"/>
      <c r="H681" s="184"/>
      <c r="I681" s="184"/>
      <c r="J681" s="184"/>
    </row>
    <row r="682" spans="1:11" ht="27.75">
      <c r="A682" s="70"/>
      <c r="B682" s="71"/>
      <c r="C682" s="72"/>
      <c r="D682" s="67" t="s">
        <v>1016</v>
      </c>
      <c r="J682" s="68" t="str">
        <f>$N$1</f>
        <v>1405/02/23</v>
      </c>
    </row>
    <row r="683" spans="1:11" ht="36">
      <c r="A683" s="70"/>
      <c r="B683" s="71"/>
      <c r="C683" s="77"/>
      <c r="D683" s="75" t="s">
        <v>0</v>
      </c>
      <c r="E683" s="69" t="s">
        <v>1</v>
      </c>
      <c r="F683" s="107" t="s">
        <v>448</v>
      </c>
      <c r="G683" s="108" t="s">
        <v>1141</v>
      </c>
      <c r="H683" s="108" t="s">
        <v>1142</v>
      </c>
      <c r="I683" s="108" t="s">
        <v>1143</v>
      </c>
      <c r="J683" s="68" t="s">
        <v>251</v>
      </c>
    </row>
    <row r="684" spans="1:11" ht="29.25" customHeight="1">
      <c r="A684" s="60"/>
      <c r="B684" s="61"/>
      <c r="D684" s="73">
        <v>1</v>
      </c>
      <c r="E684" s="109">
        <f>INDEX('اکسسوری حذف از لیست اصلی'!C:C,MATCH(K684,'اکسسوری حذف از لیست اصلی'!T:T,0))</f>
        <v>9901030012</v>
      </c>
      <c r="F684" s="109" t="str">
        <f>INDEX('اکسسوری حذف از لیست اصلی'!D:D,MATCH(K684,'اکسسوری حذف از لیست اصلی'!T:T,0))</f>
        <v>شمعدان  5 شعله آلومنیومی نقره ای DC-A012</v>
      </c>
      <c r="G684" s="110" t="str">
        <f>INDEX('اکسسوری حذف از لیست اصلی'!E:E,MATCH(K684,'اکسسوری حذف از لیست اصلی'!T:T,0))</f>
        <v>-</v>
      </c>
      <c r="H684" s="110">
        <f>INDEX('اکسسوری حذف از لیست اصلی'!F:F,MATCH(K684,'اکسسوری حذف از لیست اصلی'!T:T,0))</f>
        <v>0</v>
      </c>
      <c r="I684" s="110">
        <f>INDEX('اکسسوری حذف از لیست اصلی'!G:G,MATCH(K684,'اکسسوری حذف از لیست اصلی'!T:T,0))</f>
        <v>0</v>
      </c>
      <c r="J684" s="74">
        <f>INDEX('اکسسوری حذف از لیست اصلی'!J:J,MATCH(K684,'اکسسوری حذف از لیست اصلی'!T:T,0))</f>
        <v>97000000</v>
      </c>
      <c r="K684" s="64">
        <v>376</v>
      </c>
    </row>
    <row r="685" spans="1:11" ht="29.25" customHeight="1">
      <c r="A685" s="60"/>
      <c r="B685" s="61"/>
      <c r="C685" s="78"/>
      <c r="D685" s="79">
        <v>2</v>
      </c>
      <c r="E685" s="109">
        <f>INDEX('اکسسوری حذف از لیست اصلی'!C:C,MATCH(K685,'اکسسوری حذف از لیست اصلی'!T:T,0))</f>
        <v>9901030051</v>
      </c>
      <c r="F685" s="109" t="str">
        <f>INDEX('اکسسوری حذف از لیست اصلی'!D:D,MATCH(K685,'اکسسوری حذف از لیست اصلی'!T:T,0))</f>
        <v>شمعدان 3 شعله آلومنیومی طلایی DC-A051</v>
      </c>
      <c r="G685" s="110" t="str">
        <f>INDEX('اکسسوری حذف از لیست اصلی'!E:E,MATCH(K685,'اکسسوری حذف از لیست اصلی'!T:T,0))</f>
        <v>-</v>
      </c>
      <c r="H685" s="110">
        <f>INDEX('اکسسوری حذف از لیست اصلی'!F:F,MATCH(K685,'اکسسوری حذف از لیست اصلی'!T:T,0))</f>
        <v>0</v>
      </c>
      <c r="I685" s="110">
        <f>INDEX('اکسسوری حذف از لیست اصلی'!G:G,MATCH(K685,'اکسسوری حذف از لیست اصلی'!T:T,0))</f>
        <v>0</v>
      </c>
      <c r="J685" s="74">
        <f>INDEX('اکسسوری حذف از لیست اصلی'!J:J,MATCH(K685,'اکسسوری حذف از لیست اصلی'!T:T,0))</f>
        <v>122000000</v>
      </c>
      <c r="K685" s="64">
        <v>377</v>
      </c>
    </row>
    <row r="686" spans="1:11" ht="29.25" customHeight="1">
      <c r="A686" s="60"/>
      <c r="B686" s="61"/>
      <c r="D686" s="79">
        <v>3</v>
      </c>
      <c r="E686" s="109">
        <f>INDEX('اکسسوری حذف از لیست اصلی'!C:C,MATCH(K686,'اکسسوری حذف از لیست اصلی'!T:T,0))</f>
        <v>9901030053</v>
      </c>
      <c r="F686" s="109" t="str">
        <f>INDEX('اکسسوری حذف از لیست اصلی'!D:D,MATCH(K686,'اکسسوری حذف از لیست اصلی'!T:T,0))</f>
        <v>شمعدان آلومنیومی کوچک نقره ای DC-A053</v>
      </c>
      <c r="G686" s="110" t="str">
        <f>INDEX('اکسسوری حذف از لیست اصلی'!E:E,MATCH(K686,'اکسسوری حذف از لیست اصلی'!T:T,0))</f>
        <v>-</v>
      </c>
      <c r="H686" s="110">
        <f>INDEX('اکسسوری حذف از لیست اصلی'!F:F,MATCH(K686,'اکسسوری حذف از لیست اصلی'!T:T,0))</f>
        <v>0</v>
      </c>
      <c r="I686" s="110">
        <f>INDEX('اکسسوری حذف از لیست اصلی'!G:G,MATCH(K686,'اکسسوری حذف از لیست اصلی'!T:T,0))</f>
        <v>0</v>
      </c>
      <c r="J686" s="74">
        <f>INDEX('اکسسوری حذف از لیست اصلی'!J:J,MATCH(K686,'اکسسوری حذف از لیست اصلی'!T:T,0))</f>
        <v>85000000</v>
      </c>
      <c r="K686" s="64">
        <v>378</v>
      </c>
    </row>
    <row r="687" spans="1:11" ht="29.25" customHeight="1">
      <c r="A687" s="60"/>
      <c r="B687" s="61"/>
      <c r="D687" s="79">
        <v>4</v>
      </c>
      <c r="E687" s="109">
        <f>INDEX('اکسسوری حذف از لیست اصلی'!C:C,MATCH(K687,'اکسسوری حذف از لیست اصلی'!T:T,0))</f>
        <v>9901030176</v>
      </c>
      <c r="F687" s="109" t="str">
        <f>INDEX('اکسسوری حذف از لیست اصلی'!D:D,MATCH(K687,'اکسسوری حذف از لیست اصلی'!T:T,0))</f>
        <v>جاشمعی سفالی سفید DC-CR176</v>
      </c>
      <c r="G687" s="110" t="str">
        <f>INDEX('اکسسوری حذف از لیست اصلی'!E:E,MATCH(K687,'اکسسوری حذف از لیست اصلی'!T:T,0))</f>
        <v>-</v>
      </c>
      <c r="H687" s="110">
        <f>INDEX('اکسسوری حذف از لیست اصلی'!F:F,MATCH(K687,'اکسسوری حذف از لیست اصلی'!T:T,0))</f>
        <v>0</v>
      </c>
      <c r="I687" s="110">
        <f>INDEX('اکسسوری حذف از لیست اصلی'!G:G,MATCH(K687,'اکسسوری حذف از لیست اصلی'!T:T,0))</f>
        <v>0</v>
      </c>
      <c r="J687" s="74">
        <f>INDEX('اکسسوری حذف از لیست اصلی'!J:J,MATCH(K687,'اکسسوری حذف از لیست اصلی'!T:T,0))</f>
        <v>24000000</v>
      </c>
      <c r="K687" s="64">
        <v>379</v>
      </c>
    </row>
    <row r="688" spans="1:11" ht="29.25" customHeight="1">
      <c r="A688" s="60"/>
      <c r="B688" s="61"/>
      <c r="D688" s="79">
        <v>5</v>
      </c>
      <c r="E688" s="109">
        <f>INDEX('اکسسوری حذف از لیست اصلی'!C:C,MATCH(K688,'اکسسوری حذف از لیست اصلی'!T:T,0))</f>
        <v>9901030177</v>
      </c>
      <c r="F688" s="109" t="str">
        <f>INDEX('اکسسوری حذف از لیست اصلی'!D:D,MATCH(K688,'اکسسوری حذف از لیست اصلی'!T:T,0))</f>
        <v>جاشمعی سفالی کرم DC-C177</v>
      </c>
      <c r="G688" s="110" t="str">
        <f>INDEX('اکسسوری حذف از لیست اصلی'!E:E,MATCH(K688,'اکسسوری حذف از لیست اصلی'!T:T,0))</f>
        <v>-</v>
      </c>
      <c r="H688" s="110">
        <f>INDEX('اکسسوری حذف از لیست اصلی'!F:F,MATCH(K688,'اکسسوری حذف از لیست اصلی'!T:T,0))</f>
        <v>0</v>
      </c>
      <c r="I688" s="110">
        <f>INDEX('اکسسوری حذف از لیست اصلی'!G:G,MATCH(K688,'اکسسوری حذف از لیست اصلی'!T:T,0))</f>
        <v>0</v>
      </c>
      <c r="J688" s="74">
        <f>INDEX('اکسسوری حذف از لیست اصلی'!J:J,MATCH(K688,'اکسسوری حذف از لیست اصلی'!T:T,0))</f>
        <v>18000000</v>
      </c>
      <c r="K688" s="64">
        <v>380</v>
      </c>
    </row>
    <row r="689" spans="1:11" ht="29.25" customHeight="1">
      <c r="A689" s="60"/>
      <c r="B689" s="61"/>
      <c r="D689" s="79">
        <v>6</v>
      </c>
      <c r="E689" s="109">
        <f>INDEX('اکسسوری حذف از لیست اصلی'!C:C,MATCH(K689,'اکسسوری حذف از لیست اصلی'!T:T,0))</f>
        <v>9901030183</v>
      </c>
      <c r="F689" s="109" t="str">
        <f>INDEX('اکسسوری حذف از لیست اصلی'!D:D,MATCH(K689,'اکسسوری حذف از لیست اصلی'!T:T,0))</f>
        <v>جاشمعی سفالی سفید DC-C183</v>
      </c>
      <c r="G689" s="110" t="str">
        <f>INDEX('اکسسوری حذف از لیست اصلی'!E:E,MATCH(K689,'اکسسوری حذف از لیست اصلی'!T:T,0))</f>
        <v>-</v>
      </c>
      <c r="H689" s="110">
        <f>INDEX('اکسسوری حذف از لیست اصلی'!F:F,MATCH(K689,'اکسسوری حذف از لیست اصلی'!T:T,0))</f>
        <v>0</v>
      </c>
      <c r="I689" s="110">
        <f>INDEX('اکسسوری حذف از لیست اصلی'!G:G,MATCH(K689,'اکسسوری حذف از لیست اصلی'!T:T,0))</f>
        <v>0</v>
      </c>
      <c r="J689" s="74">
        <f>INDEX('اکسسوری حذف از لیست اصلی'!J:J,MATCH(K689,'اکسسوری حذف از لیست اصلی'!T:T,0))</f>
        <v>20000000</v>
      </c>
      <c r="K689" s="64">
        <v>381</v>
      </c>
    </row>
    <row r="690" spans="1:11" ht="29.25" customHeight="1">
      <c r="A690" s="60"/>
      <c r="B690" s="61"/>
      <c r="D690" s="79">
        <v>7</v>
      </c>
      <c r="E690" s="109">
        <f>INDEX('اکسسوری حذف از لیست اصلی'!C:C,MATCH(K690,'اکسسوری حذف از لیست اصلی'!T:T,0))</f>
        <v>9901030186</v>
      </c>
      <c r="F690" s="109" t="str">
        <f>INDEX('اکسسوری حذف از لیست اصلی'!D:D,MATCH(K690,'اکسسوری حذف از لیست اصلی'!T:T,0))</f>
        <v>جاشمعی سفالی کرم DC-C186</v>
      </c>
      <c r="G690" s="110" t="str">
        <f>INDEX('اکسسوری حذف از لیست اصلی'!E:E,MATCH(K690,'اکسسوری حذف از لیست اصلی'!T:T,0))</f>
        <v>-</v>
      </c>
      <c r="H690" s="110">
        <f>INDEX('اکسسوری حذف از لیست اصلی'!F:F,MATCH(K690,'اکسسوری حذف از لیست اصلی'!T:T,0))</f>
        <v>0</v>
      </c>
      <c r="I690" s="110">
        <f>INDEX('اکسسوری حذف از لیست اصلی'!G:G,MATCH(K690,'اکسسوری حذف از لیست اصلی'!T:T,0))</f>
        <v>0</v>
      </c>
      <c r="J690" s="74">
        <f>INDEX('اکسسوری حذف از لیست اصلی'!J:J,MATCH(K690,'اکسسوری حذف از لیست اصلی'!T:T,0))</f>
        <v>11000000</v>
      </c>
      <c r="K690" s="64">
        <v>382</v>
      </c>
    </row>
    <row r="691" spans="1:11" ht="29.25" customHeight="1">
      <c r="A691" s="60"/>
      <c r="B691" s="61"/>
      <c r="D691" s="79">
        <v>8</v>
      </c>
      <c r="E691" s="109">
        <f>INDEX('اکسسوری حذف از لیست اصلی'!C:C,MATCH(K691,'اکسسوری حذف از لیست اصلی'!T:T,0))</f>
        <v>9901030187</v>
      </c>
      <c r="F691" s="109" t="str">
        <f>INDEX('اکسسوری حذف از لیست اصلی'!D:D,MATCH(K691,'اکسسوری حذف از لیست اصلی'!T:T,0))</f>
        <v>جاشمعی سفالی سفید DC-C187</v>
      </c>
      <c r="G691" s="110" t="str">
        <f>INDEX('اکسسوری حذف از لیست اصلی'!E:E,MATCH(K691,'اکسسوری حذف از لیست اصلی'!T:T,0))</f>
        <v>-</v>
      </c>
      <c r="H691" s="110">
        <f>INDEX('اکسسوری حذف از لیست اصلی'!F:F,MATCH(K691,'اکسسوری حذف از لیست اصلی'!T:T,0))</f>
        <v>0</v>
      </c>
      <c r="I691" s="110">
        <f>INDEX('اکسسوری حذف از لیست اصلی'!G:G,MATCH(K691,'اکسسوری حذف از لیست اصلی'!T:T,0))</f>
        <v>0</v>
      </c>
      <c r="J691" s="74">
        <f>INDEX('اکسسوری حذف از لیست اصلی'!J:J,MATCH(K691,'اکسسوری حذف از لیست اصلی'!T:T,0))</f>
        <v>11000000</v>
      </c>
      <c r="K691" s="64">
        <v>383</v>
      </c>
    </row>
    <row r="692" spans="1:11" ht="29.25" customHeight="1">
      <c r="A692" s="60"/>
      <c r="B692" s="61"/>
      <c r="D692" s="79">
        <v>9</v>
      </c>
      <c r="E692" s="109">
        <f>INDEX('اکسسوری حذف از لیست اصلی'!C:C,MATCH(K692,'اکسسوری حذف از لیست اصلی'!T:T,0))</f>
        <v>9901030188</v>
      </c>
      <c r="F692" s="109" t="str">
        <f>INDEX('اکسسوری حذف از لیست اصلی'!D:D,MATCH(K692,'اکسسوری حذف از لیست اصلی'!T:T,0))</f>
        <v>جاشمعی سفالی کرم DC-C188</v>
      </c>
      <c r="G692" s="110" t="str">
        <f>INDEX('اکسسوری حذف از لیست اصلی'!E:E,MATCH(K692,'اکسسوری حذف از لیست اصلی'!T:T,0))</f>
        <v>-</v>
      </c>
      <c r="H692" s="110">
        <f>INDEX('اکسسوری حذف از لیست اصلی'!F:F,MATCH(K692,'اکسسوری حذف از لیست اصلی'!T:T,0))</f>
        <v>0</v>
      </c>
      <c r="I692" s="110">
        <f>INDEX('اکسسوری حذف از لیست اصلی'!G:G,MATCH(K692,'اکسسوری حذف از لیست اصلی'!T:T,0))</f>
        <v>0</v>
      </c>
      <c r="J692" s="74">
        <f>INDEX('اکسسوری حذف از لیست اصلی'!J:J,MATCH(K692,'اکسسوری حذف از لیست اصلی'!T:T,0))</f>
        <v>14000000</v>
      </c>
      <c r="K692" s="64">
        <v>384</v>
      </c>
    </row>
    <row r="693" spans="1:11" ht="29.25" customHeight="1">
      <c r="A693" s="60"/>
      <c r="B693" s="61"/>
      <c r="D693" s="79">
        <v>10</v>
      </c>
      <c r="E693" s="109">
        <f>INDEX('اکسسوری حذف از لیست اصلی'!C:C,MATCH(K693,'اکسسوری حذف از لیست اصلی'!T:T,0))</f>
        <v>9901030189</v>
      </c>
      <c r="F693" s="109" t="str">
        <f>INDEX('اکسسوری حذف از لیست اصلی'!D:D,MATCH(K693,'اکسسوری حذف از لیست اصلی'!T:T,0))</f>
        <v>جاشمعی سفالی سفید DC-C189</v>
      </c>
      <c r="G693" s="110" t="str">
        <f>INDEX('اکسسوری حذف از لیست اصلی'!E:E,MATCH(K693,'اکسسوری حذف از لیست اصلی'!T:T,0))</f>
        <v>-</v>
      </c>
      <c r="H693" s="110">
        <f>INDEX('اکسسوری حذف از لیست اصلی'!F:F,MATCH(K693,'اکسسوری حذف از لیست اصلی'!T:T,0))</f>
        <v>0</v>
      </c>
      <c r="I693" s="110">
        <f>INDEX('اکسسوری حذف از لیست اصلی'!G:G,MATCH(K693,'اکسسوری حذف از لیست اصلی'!T:T,0))</f>
        <v>0</v>
      </c>
      <c r="J693" s="74">
        <f>INDEX('اکسسوری حذف از لیست اصلی'!J:J,MATCH(K693,'اکسسوری حذف از لیست اصلی'!T:T,0))</f>
        <v>11000000</v>
      </c>
      <c r="K693" s="64">
        <v>385</v>
      </c>
    </row>
    <row r="694" spans="1:11" ht="29.25" customHeight="1">
      <c r="A694" s="60"/>
      <c r="B694" s="61"/>
      <c r="D694" s="79">
        <v>11</v>
      </c>
      <c r="E694" s="109">
        <f>INDEX('اکسسوری حذف از لیست اصلی'!C:C,MATCH(K694,'اکسسوری حذف از لیست اصلی'!T:T,0))</f>
        <v>9901030190</v>
      </c>
      <c r="F694" s="109" t="str">
        <f>INDEX('اکسسوری حذف از لیست اصلی'!D:D,MATCH(K694,'اکسسوری حذف از لیست اصلی'!T:T,0))</f>
        <v>جاشمعی سفالی کرم DC-C190</v>
      </c>
      <c r="G694" s="110" t="str">
        <f>INDEX('اکسسوری حذف از لیست اصلی'!E:E,MATCH(K694,'اکسسوری حذف از لیست اصلی'!T:T,0))</f>
        <v>-</v>
      </c>
      <c r="H694" s="110">
        <f>INDEX('اکسسوری حذف از لیست اصلی'!F:F,MATCH(K694,'اکسسوری حذف از لیست اصلی'!T:T,0))</f>
        <v>0</v>
      </c>
      <c r="I694" s="110">
        <f>INDEX('اکسسوری حذف از لیست اصلی'!G:G,MATCH(K694,'اکسسوری حذف از لیست اصلی'!T:T,0))</f>
        <v>0</v>
      </c>
      <c r="J694" s="74">
        <f>INDEX('اکسسوری حذف از لیست اصلی'!J:J,MATCH(K694,'اکسسوری حذف از لیست اصلی'!T:T,0))</f>
        <v>14000000</v>
      </c>
      <c r="K694" s="64">
        <v>386</v>
      </c>
    </row>
    <row r="695" spans="1:11" ht="29.25" customHeight="1">
      <c r="A695" s="60"/>
      <c r="B695" s="61"/>
      <c r="D695" s="79">
        <v>12</v>
      </c>
      <c r="E695" s="109">
        <f>INDEX('اکسسوری حذف از لیست اصلی'!C:C,MATCH(K695,'اکسسوری حذف از لیست اصلی'!T:T,0))</f>
        <v>9901030191</v>
      </c>
      <c r="F695" s="109" t="str">
        <f>INDEX('اکسسوری حذف از لیست اصلی'!D:D,MATCH(K695,'اکسسوری حذف از لیست اصلی'!T:T,0))</f>
        <v>جاشمعی سفالی مشکی DC-C191</v>
      </c>
      <c r="G695" s="110" t="str">
        <f>INDEX('اکسسوری حذف از لیست اصلی'!E:E,MATCH(K695,'اکسسوری حذف از لیست اصلی'!T:T,0))</f>
        <v>-</v>
      </c>
      <c r="H695" s="110">
        <f>INDEX('اکسسوری حذف از لیست اصلی'!F:F,MATCH(K695,'اکسسوری حذف از لیست اصلی'!T:T,0))</f>
        <v>0</v>
      </c>
      <c r="I695" s="110">
        <f>INDEX('اکسسوری حذف از لیست اصلی'!G:G,MATCH(K695,'اکسسوری حذف از لیست اصلی'!T:T,0))</f>
        <v>0</v>
      </c>
      <c r="J695" s="74">
        <f>INDEX('اکسسوری حذف از لیست اصلی'!J:J,MATCH(K695,'اکسسوری حذف از لیست اصلی'!T:T,0))</f>
        <v>14000000</v>
      </c>
      <c r="K695" s="64">
        <v>387</v>
      </c>
    </row>
    <row r="696" spans="1:11" ht="29.25" customHeight="1">
      <c r="A696" s="60"/>
      <c r="B696" s="61"/>
      <c r="D696" s="79">
        <v>13</v>
      </c>
      <c r="E696" s="109">
        <f>INDEX('اکسسوری حذف از لیست اصلی'!C:C,MATCH(K696,'اکسسوری حذف از لیست اصلی'!T:T,0))</f>
        <v>9901030208</v>
      </c>
      <c r="F696" s="109" t="str">
        <f>INDEX('اکسسوری حذف از لیست اصلی'!D:D,MATCH(K696,'اکسسوری حذف از لیست اصلی'!T:T,0))</f>
        <v>شمعدان سنگی مشکی DP-CR208</v>
      </c>
      <c r="G696" s="110" t="str">
        <f>INDEX('اکسسوری حذف از لیست اصلی'!E:E,MATCH(K696,'اکسسوری حذف از لیست اصلی'!T:T,0))</f>
        <v>-</v>
      </c>
      <c r="H696" s="110">
        <f>INDEX('اکسسوری حذف از لیست اصلی'!F:F,MATCH(K696,'اکسسوری حذف از لیست اصلی'!T:T,0))</f>
        <v>0</v>
      </c>
      <c r="I696" s="110">
        <f>INDEX('اکسسوری حذف از لیست اصلی'!G:G,MATCH(K696,'اکسسوری حذف از لیست اصلی'!T:T,0))</f>
        <v>0</v>
      </c>
      <c r="J696" s="74">
        <f>INDEX('اکسسوری حذف از لیست اصلی'!J:J,MATCH(K696,'اکسسوری حذف از لیست اصلی'!T:T,0))</f>
        <v>73000000</v>
      </c>
      <c r="K696" s="64">
        <v>388</v>
      </c>
    </row>
    <row r="697" spans="1:11" ht="29.25" customHeight="1">
      <c r="A697" s="60"/>
      <c r="B697" s="61"/>
      <c r="D697" s="79">
        <v>14</v>
      </c>
      <c r="E697" s="109">
        <f>INDEX('اکسسوری حذف از لیست اصلی'!C:C,MATCH(K697,'اکسسوری حذف از لیست اصلی'!T:T,0))</f>
        <v>9901030209</v>
      </c>
      <c r="F697" s="109" t="str">
        <f>INDEX('اکسسوری حذف از لیست اصلی'!D:D,MATCH(K697,'اکسسوری حذف از لیست اصلی'!T:T,0))</f>
        <v>شمعدان سنگی مشکی DC-S209</v>
      </c>
      <c r="G697" s="110" t="str">
        <f>INDEX('اکسسوری حذف از لیست اصلی'!E:E,MATCH(K697,'اکسسوری حذف از لیست اصلی'!T:T,0))</f>
        <v>-</v>
      </c>
      <c r="H697" s="110">
        <f>INDEX('اکسسوری حذف از لیست اصلی'!F:F,MATCH(K697,'اکسسوری حذف از لیست اصلی'!T:T,0))</f>
        <v>0</v>
      </c>
      <c r="I697" s="110">
        <f>INDEX('اکسسوری حذف از لیست اصلی'!G:G,MATCH(K697,'اکسسوری حذف از لیست اصلی'!T:T,0))</f>
        <v>0</v>
      </c>
      <c r="J697" s="74">
        <f>INDEX('اکسسوری حذف از لیست اصلی'!J:J,MATCH(K697,'اکسسوری حذف از لیست اصلی'!T:T,0))</f>
        <v>62000000</v>
      </c>
      <c r="K697" s="64">
        <v>389</v>
      </c>
    </row>
    <row r="698" spans="1:11" ht="29.25" customHeight="1">
      <c r="A698" s="60"/>
      <c r="B698" s="61"/>
      <c r="D698" s="79">
        <v>15</v>
      </c>
      <c r="E698" s="109">
        <f>INDEX('اکسسوری حذف از لیست اصلی'!C:C,MATCH(K698,'اکسسوری حذف از لیست اصلی'!T:T,0))</f>
        <v>9901030210</v>
      </c>
      <c r="F698" s="109" t="str">
        <f>INDEX('اکسسوری حذف از لیست اصلی'!D:D,MATCH(K698,'اکسسوری حذف از لیست اصلی'!T:T,0))</f>
        <v>شمعدان سنگی سفید مشکی DC-S210</v>
      </c>
      <c r="G698" s="110" t="str">
        <f>INDEX('اکسسوری حذف از لیست اصلی'!E:E,MATCH(K698,'اکسسوری حذف از لیست اصلی'!T:T,0))</f>
        <v>-</v>
      </c>
      <c r="H698" s="110">
        <f>INDEX('اکسسوری حذف از لیست اصلی'!F:F,MATCH(K698,'اکسسوری حذف از لیست اصلی'!T:T,0))</f>
        <v>0</v>
      </c>
      <c r="I698" s="110">
        <f>INDEX('اکسسوری حذف از لیست اصلی'!G:G,MATCH(K698,'اکسسوری حذف از لیست اصلی'!T:T,0))</f>
        <v>0</v>
      </c>
      <c r="J698" s="74">
        <f>INDEX('اکسسوری حذف از لیست اصلی'!J:J,MATCH(K698,'اکسسوری حذف از لیست اصلی'!T:T,0))</f>
        <v>73000000</v>
      </c>
      <c r="K698" s="64">
        <v>390</v>
      </c>
    </row>
    <row r="699" spans="1:11" ht="29.25" customHeight="1">
      <c r="A699" s="60"/>
      <c r="B699" s="61"/>
      <c r="D699" s="79">
        <v>16</v>
      </c>
      <c r="E699" s="109">
        <f>INDEX('اکسسوری حذف از لیست اصلی'!C:C,MATCH(K699,'اکسسوری حذف از لیست اصلی'!T:T,0))</f>
        <v>9901030211</v>
      </c>
      <c r="F699" s="109" t="str">
        <f>INDEX('اکسسوری حذف از لیست اصلی'!D:D,MATCH(K699,'اکسسوری حذف از لیست اصلی'!T:T,0))</f>
        <v>شمعدان سنگی سفید مشکی DC-S211</v>
      </c>
      <c r="G699" s="110" t="str">
        <f>INDEX('اکسسوری حذف از لیست اصلی'!E:E,MATCH(K699,'اکسسوری حذف از لیست اصلی'!T:T,0))</f>
        <v>-</v>
      </c>
      <c r="H699" s="110">
        <f>INDEX('اکسسوری حذف از لیست اصلی'!F:F,MATCH(K699,'اکسسوری حذف از لیست اصلی'!T:T,0))</f>
        <v>0</v>
      </c>
      <c r="I699" s="110">
        <f>INDEX('اکسسوری حذف از لیست اصلی'!G:G,MATCH(K699,'اکسسوری حذف از لیست اصلی'!T:T,0))</f>
        <v>0</v>
      </c>
      <c r="J699" s="74">
        <f>INDEX('اکسسوری حذف از لیست اصلی'!J:J,MATCH(K699,'اکسسوری حذف از لیست اصلی'!T:T,0))</f>
        <v>48000000</v>
      </c>
      <c r="K699" s="64">
        <v>391</v>
      </c>
    </row>
    <row r="700" spans="1:11" ht="29.25" customHeight="1">
      <c r="A700" s="60"/>
      <c r="B700" s="61"/>
      <c r="D700" s="79">
        <v>17</v>
      </c>
      <c r="E700" s="109">
        <f>INDEX('اکسسوری حذف از لیست اصلی'!C:C,MATCH(K700,'اکسسوری حذف از لیست اصلی'!T:T,0))</f>
        <v>9901030395</v>
      </c>
      <c r="F700" s="109" t="str">
        <f>INDEX('اکسسوری حذف از لیست اصلی'!D:D,MATCH(K700,'اکسسوری حذف از لیست اصلی'!T:T,0))</f>
        <v>جاشمعی دوسایز چوبی مشکی DC-W395</v>
      </c>
      <c r="G700" s="110" t="str">
        <f>INDEX('اکسسوری حذف از لیست اصلی'!E:E,MATCH(K700,'اکسسوری حذف از لیست اصلی'!T:T,0))</f>
        <v>40*30*12</v>
      </c>
      <c r="H700" s="110">
        <f>INDEX('اکسسوری حذف از لیست اصلی'!F:F,MATCH(K700,'اکسسوری حذف از لیست اصلی'!T:T,0))</f>
        <v>0</v>
      </c>
      <c r="I700" s="110">
        <f>INDEX('اکسسوری حذف از لیست اصلی'!G:G,MATCH(K700,'اکسسوری حذف از لیست اصلی'!T:T,0))</f>
        <v>0</v>
      </c>
      <c r="J700" s="74">
        <f>INDEX('اکسسوری حذف از لیست اصلی'!J:J,MATCH(K700,'اکسسوری حذف از لیست اصلی'!T:T,0))</f>
        <v>90000000</v>
      </c>
      <c r="K700" s="64">
        <v>392</v>
      </c>
    </row>
    <row r="701" spans="1:11" ht="29.25" customHeight="1">
      <c r="A701" s="60"/>
      <c r="B701" s="61"/>
      <c r="D701" s="79">
        <v>18</v>
      </c>
      <c r="E701" s="109">
        <f>INDEX('اکسسوری حذف از لیست اصلی'!C:C,MATCH(K701,'اکسسوری حذف از لیست اصلی'!T:T,0))</f>
        <v>9901030396</v>
      </c>
      <c r="F701" s="109" t="str">
        <f>INDEX('اکسسوری حذف از لیست اصلی'!D:D,MATCH(K701,'اکسسوری حذف از لیست اصلی'!T:T,0))</f>
        <v>ست جاشمعی سه عددی چوبی بادامی DC-W396</v>
      </c>
      <c r="G701" s="110" t="str">
        <f>INDEX('اکسسوری حذف از لیست اصلی'!E:E,MATCH(K701,'اکسسوری حذف از لیست اصلی'!T:T,0))</f>
        <v>25*10*5</v>
      </c>
      <c r="H701" s="110">
        <f>INDEX('اکسسوری حذف از لیست اصلی'!F:F,MATCH(K701,'اکسسوری حذف از لیست اصلی'!T:T,0))</f>
        <v>0</v>
      </c>
      <c r="I701" s="110">
        <f>INDEX('اکسسوری حذف از لیست اصلی'!G:G,MATCH(K701,'اکسسوری حذف از لیست اصلی'!T:T,0))</f>
        <v>0</v>
      </c>
      <c r="J701" s="74">
        <f>INDEX('اکسسوری حذف از لیست اصلی'!J:J,MATCH(K701,'اکسسوری حذف از لیست اصلی'!T:T,0))</f>
        <v>39000000</v>
      </c>
      <c r="K701" s="64">
        <v>393</v>
      </c>
    </row>
    <row r="702" spans="1:11" ht="29.25" customHeight="1">
      <c r="A702" s="60"/>
      <c r="B702" s="61"/>
      <c r="D702" s="79">
        <v>19</v>
      </c>
      <c r="E702" s="109">
        <f>INDEX('اکسسوری حذف از لیست اصلی'!C:C,MATCH(K702,'اکسسوری حذف از لیست اصلی'!T:T,0))</f>
        <v>9901030397</v>
      </c>
      <c r="F702" s="109" t="str">
        <f>INDEX('اکسسوری حذف از لیست اصلی'!D:D,MATCH(K702,'اکسسوری حذف از لیست اصلی'!T:T,0))</f>
        <v>ست جاشمعی سه عددی چوبی دودی DC-W397</v>
      </c>
      <c r="G702" s="110" t="str">
        <f>INDEX('اکسسوری حذف از لیست اصلی'!E:E,MATCH(K702,'اکسسوری حذف از لیست اصلی'!T:T,0))</f>
        <v>25*10*5</v>
      </c>
      <c r="H702" s="110">
        <f>INDEX('اکسسوری حذف از لیست اصلی'!F:F,MATCH(K702,'اکسسوری حذف از لیست اصلی'!T:T,0))</f>
        <v>0</v>
      </c>
      <c r="I702" s="110">
        <f>INDEX('اکسسوری حذف از لیست اصلی'!G:G,MATCH(K702,'اکسسوری حذف از لیست اصلی'!T:T,0))</f>
        <v>0</v>
      </c>
      <c r="J702" s="74">
        <f>INDEX('اکسسوری حذف از لیست اصلی'!J:J,MATCH(K702,'اکسسوری حذف از لیست اصلی'!T:T,0))</f>
        <v>39000000</v>
      </c>
      <c r="K702" s="64">
        <v>394</v>
      </c>
    </row>
    <row r="703" spans="1:11" ht="29.25" customHeight="1">
      <c r="A703" s="60"/>
      <c r="B703" s="61"/>
      <c r="D703" s="79">
        <v>20</v>
      </c>
      <c r="E703" s="109">
        <f>INDEX('اکسسوری حذف از لیست اصلی'!C:C,MATCH(K703,'اکسسوری حذف از لیست اصلی'!T:T,0))</f>
        <v>9901030413</v>
      </c>
      <c r="F703" s="109" t="str">
        <f>INDEX('اکسسوری حذف از لیست اصلی'!D:D,MATCH(K703,'اکسسوری حذف از لیست اصلی'!T:T,0))</f>
        <v>ست سه سایز جاشمعی (U) چوبی پتینه وایت واش DC-W413</v>
      </c>
      <c r="G703" s="110" t="str">
        <f>INDEX('اکسسوری حذف از لیست اصلی'!E:E,MATCH(K703,'اکسسوری حذف از لیست اصلی'!T:T,0))</f>
        <v>44*27*7</v>
      </c>
      <c r="H703" s="110">
        <f>INDEX('اکسسوری حذف از لیست اصلی'!F:F,MATCH(K703,'اکسسوری حذف از لیست اصلی'!T:T,0))</f>
        <v>0</v>
      </c>
      <c r="I703" s="110">
        <f>INDEX('اکسسوری حذف از لیست اصلی'!G:G,MATCH(K703,'اکسسوری حذف از لیست اصلی'!T:T,0))</f>
        <v>0</v>
      </c>
      <c r="J703" s="74">
        <f>INDEX('اکسسوری حذف از لیست اصلی'!J:J,MATCH(K703,'اکسسوری حذف از لیست اصلی'!T:T,0))</f>
        <v>128000000</v>
      </c>
      <c r="K703" s="64">
        <v>395</v>
      </c>
    </row>
    <row r="704" spans="1:11">
      <c r="A704" s="60"/>
      <c r="B704" s="61"/>
      <c r="J704" s="74">
        <v>25</v>
      </c>
    </row>
    <row r="705" spans="1:11">
      <c r="A705" s="60"/>
      <c r="B705" s="61"/>
      <c r="C705" s="183"/>
      <c r="D705" s="184"/>
      <c r="E705" s="184"/>
      <c r="F705" s="184"/>
      <c r="G705" s="184"/>
      <c r="H705" s="184"/>
      <c r="I705" s="184"/>
      <c r="J705" s="184"/>
    </row>
    <row r="706" spans="1:11">
      <c r="A706" s="60"/>
      <c r="B706" s="61"/>
      <c r="C706" s="183"/>
      <c r="D706" s="184"/>
      <c r="E706" s="184"/>
      <c r="F706" s="184"/>
      <c r="G706" s="184"/>
      <c r="H706" s="184"/>
      <c r="I706" s="184"/>
      <c r="J706" s="184"/>
    </row>
    <row r="707" spans="1:11" ht="27.75">
      <c r="A707" s="60"/>
      <c r="B707" s="61"/>
      <c r="C707" s="72"/>
      <c r="D707" s="67" t="s">
        <v>1016</v>
      </c>
      <c r="J707" s="68" t="str">
        <f>$N$1</f>
        <v>1405/02/23</v>
      </c>
    </row>
    <row r="708" spans="1:11" ht="36">
      <c r="A708" s="60"/>
      <c r="B708" s="61"/>
      <c r="C708" s="77"/>
      <c r="D708" s="75" t="s">
        <v>0</v>
      </c>
      <c r="E708" s="69" t="s">
        <v>1</v>
      </c>
      <c r="F708" s="107" t="s">
        <v>448</v>
      </c>
      <c r="G708" s="108" t="s">
        <v>1141</v>
      </c>
      <c r="H708" s="108" t="s">
        <v>1142</v>
      </c>
      <c r="I708" s="108" t="s">
        <v>1143</v>
      </c>
      <c r="J708" s="68" t="s">
        <v>251</v>
      </c>
    </row>
    <row r="709" spans="1:11" ht="35.25" customHeight="1">
      <c r="A709" s="60"/>
      <c r="B709" s="61"/>
      <c r="D709" s="73">
        <v>21</v>
      </c>
      <c r="E709" s="109">
        <f>INDEX('اکسسوری حذف از لیست اصلی'!C:C,MATCH(K709,'اکسسوری حذف از لیست اصلی'!T:T,0))</f>
        <v>9901030414</v>
      </c>
      <c r="F709" s="109" t="str">
        <f>INDEX('اکسسوری حذف از لیست اصلی'!D:D,MATCH(K709,'اکسسوری حذف از لیست اصلی'!T:T,0))</f>
        <v>ست سه سایز جاشمعی (U) چوبی بادامی DC-W414</v>
      </c>
      <c r="G709" s="110" t="str">
        <f>INDEX('اکسسوری حذف از لیست اصلی'!E:E,MATCH(K709,'اکسسوری حذف از لیست اصلی'!T:T,0))</f>
        <v>44*27*7</v>
      </c>
      <c r="H709" s="110">
        <f>INDEX('اکسسوری حذف از لیست اصلی'!F:F,MATCH(K709,'اکسسوری حذف از لیست اصلی'!T:T,0))</f>
        <v>0</v>
      </c>
      <c r="I709" s="110">
        <f>INDEX('اکسسوری حذف از لیست اصلی'!G:G,MATCH(K709,'اکسسوری حذف از لیست اصلی'!T:T,0))</f>
        <v>0</v>
      </c>
      <c r="J709" s="74">
        <f>INDEX('اکسسوری حذف از لیست اصلی'!J:J,MATCH(K709,'اکسسوری حذف از لیست اصلی'!T:T,0))</f>
        <v>128000000</v>
      </c>
      <c r="K709" s="64">
        <v>396</v>
      </c>
    </row>
    <row r="710" spans="1:11" ht="35.25" customHeight="1">
      <c r="A710" s="60"/>
      <c r="B710" s="61"/>
      <c r="C710" s="78"/>
      <c r="D710" s="79">
        <v>22</v>
      </c>
      <c r="E710" s="109">
        <f>INDEX('اکسسوری حذف از لیست اصلی'!C:C,MATCH(K710,'اکسسوری حذف از لیست اصلی'!T:T,0))</f>
        <v>9901030415</v>
      </c>
      <c r="F710" s="109" t="str">
        <f>INDEX('اکسسوری حذف از لیست اصلی'!D:D,MATCH(K710,'اکسسوری حذف از لیست اصلی'!T:T,0))</f>
        <v>ست سه سایز جاشمعی (U) چوبی مشکی DC-W415</v>
      </c>
      <c r="G710" s="110" t="str">
        <f>INDEX('اکسسوری حذف از لیست اصلی'!E:E,MATCH(K710,'اکسسوری حذف از لیست اصلی'!T:T,0))</f>
        <v>44*27*7</v>
      </c>
      <c r="H710" s="110">
        <f>INDEX('اکسسوری حذف از لیست اصلی'!F:F,MATCH(K710,'اکسسوری حذف از لیست اصلی'!T:T,0))</f>
        <v>0</v>
      </c>
      <c r="I710" s="110">
        <f>INDEX('اکسسوری حذف از لیست اصلی'!G:G,MATCH(K710,'اکسسوری حذف از لیست اصلی'!T:T,0))</f>
        <v>0</v>
      </c>
      <c r="J710" s="74">
        <f>INDEX('اکسسوری حذف از لیست اصلی'!J:J,MATCH(K710,'اکسسوری حذف از لیست اصلی'!T:T,0))</f>
        <v>167000000</v>
      </c>
      <c r="K710" s="64">
        <v>397</v>
      </c>
    </row>
    <row r="711" spans="1:11" ht="35.25" customHeight="1">
      <c r="A711" s="60"/>
      <c r="B711" s="61"/>
      <c r="D711" s="73">
        <v>23</v>
      </c>
      <c r="E711" s="109">
        <f>INDEX('اکسسوری حذف از لیست اصلی'!C:C,MATCH(K711,'اکسسوری حذف از لیست اصلی'!T:T,0))</f>
        <v>9901030440</v>
      </c>
      <c r="F711" s="109" t="str">
        <f>INDEX('اکسسوری حذف از لیست اصلی'!D:D,MATCH(K711,'اکسسوری حذف از لیست اصلی'!T:T,0))</f>
        <v>ست جاشمعی سنگ مشکی DC-S440</v>
      </c>
      <c r="G711" s="110" t="str">
        <f>INDEX('اکسسوری حذف از لیست اصلی'!E:E,MATCH(K711,'اکسسوری حذف از لیست اصلی'!T:T,0))</f>
        <v>-</v>
      </c>
      <c r="H711" s="110">
        <f>INDEX('اکسسوری حذف از لیست اصلی'!F:F,MATCH(K711,'اکسسوری حذف از لیست اصلی'!T:T,0))</f>
        <v>0</v>
      </c>
      <c r="I711" s="110">
        <f>INDEX('اکسسوری حذف از لیست اصلی'!G:G,MATCH(K711,'اکسسوری حذف از لیست اصلی'!T:T,0))</f>
        <v>0</v>
      </c>
      <c r="J711" s="74">
        <f>INDEX('اکسسوری حذف از لیست اصلی'!J:J,MATCH(K711,'اکسسوری حذف از لیست اصلی'!T:T,0))</f>
        <v>186000000</v>
      </c>
      <c r="K711" s="64">
        <v>398</v>
      </c>
    </row>
    <row r="712" spans="1:11" ht="35.25" customHeight="1">
      <c r="A712" s="60"/>
      <c r="B712" s="61"/>
      <c r="D712" s="79">
        <v>24</v>
      </c>
      <c r="E712" s="109">
        <f>INDEX('اکسسوری حذف از لیست اصلی'!C:C,MATCH(K712,'اکسسوری حذف از لیست اصلی'!T:T,0))</f>
        <v>9901030447</v>
      </c>
      <c r="F712" s="109" t="str">
        <f>INDEX('اکسسوری حذف از لیست اصلی'!D:D,MATCH(K712,'اکسسوری حذف از لیست اصلی'!T:T,0))</f>
        <v>ست جاشمعی سنگی DC-S447</v>
      </c>
      <c r="G712" s="110" t="str">
        <f>INDEX('اکسسوری حذف از لیست اصلی'!E:E,MATCH(K712,'اکسسوری حذف از لیست اصلی'!T:T,0))</f>
        <v>-</v>
      </c>
      <c r="H712" s="110">
        <f>INDEX('اکسسوری حذف از لیست اصلی'!F:F,MATCH(K712,'اکسسوری حذف از لیست اصلی'!T:T,0))</f>
        <v>0</v>
      </c>
      <c r="I712" s="110">
        <f>INDEX('اکسسوری حذف از لیست اصلی'!G:G,MATCH(K712,'اکسسوری حذف از لیست اصلی'!T:T,0))</f>
        <v>0</v>
      </c>
      <c r="J712" s="74">
        <f>INDEX('اکسسوری حذف از لیست اصلی'!J:J,MATCH(K712,'اکسسوری حذف از لیست اصلی'!T:T,0))</f>
        <v>62000000</v>
      </c>
      <c r="K712" s="64">
        <v>399</v>
      </c>
    </row>
    <row r="713" spans="1:11" ht="35.25" customHeight="1">
      <c r="A713" s="60"/>
      <c r="B713" s="61"/>
      <c r="D713" s="73">
        <v>25</v>
      </c>
      <c r="E713" s="109">
        <f>INDEX('اکسسوری حذف از لیست اصلی'!C:C,MATCH(K713,'اکسسوری حذف از لیست اصلی'!T:T,0))</f>
        <v>9901030493</v>
      </c>
      <c r="F713" s="109" t="str">
        <f>INDEX('اکسسوری حذف از لیست اصلی'!D:D,MATCH(K713,'اکسسوری حذف از لیست اصلی'!T:T,0))</f>
        <v>شمعدان ایستاده کنارسالنی چوبی80خودرنگ سندبلاستDC-W493</v>
      </c>
      <c r="G713" s="110">
        <f>INDEX('اکسسوری حذف از لیست اصلی'!E:E,MATCH(K713,'اکسسوری حذف از لیست اصلی'!T:T,0))</f>
        <v>0</v>
      </c>
      <c r="H713" s="110">
        <f>INDEX('اکسسوری حذف از لیست اصلی'!F:F,MATCH(K713,'اکسسوری حذف از لیست اصلی'!T:T,0))</f>
        <v>0</v>
      </c>
      <c r="I713" s="110">
        <f>INDEX('اکسسوری حذف از لیست اصلی'!G:G,MATCH(K713,'اکسسوری حذف از لیست اصلی'!T:T,0))</f>
        <v>0</v>
      </c>
      <c r="J713" s="74">
        <f>INDEX('اکسسوری حذف از لیست اصلی'!J:J,MATCH(K713,'اکسسوری حذف از لیست اصلی'!T:T,0))</f>
        <v>142000000</v>
      </c>
      <c r="K713" s="64">
        <v>400</v>
      </c>
    </row>
    <row r="714" spans="1:11" ht="35.25" customHeight="1">
      <c r="A714" s="60"/>
      <c r="B714" s="61"/>
      <c r="D714" s="79">
        <v>26</v>
      </c>
      <c r="E714" s="109">
        <f>INDEX('اکسسوری حذف از لیست اصلی'!C:C,MATCH(K714,'اکسسوری حذف از لیست اصلی'!T:T,0))</f>
        <v>9901030494</v>
      </c>
      <c r="F714" s="109" t="str">
        <f>INDEX('اکسسوری حذف از لیست اصلی'!D:D,MATCH(K714,'اکسسوری حذف از لیست اصلی'!T:T,0))</f>
        <v>شمعدان ایستاده کنارسالنی چوبی70خودرنگ سند بلاستDC-W494</v>
      </c>
      <c r="G714" s="110">
        <f>INDEX('اکسسوری حذف از لیست اصلی'!E:E,MATCH(K714,'اکسسوری حذف از لیست اصلی'!T:T,0))</f>
        <v>0</v>
      </c>
      <c r="H714" s="110">
        <f>INDEX('اکسسوری حذف از لیست اصلی'!F:F,MATCH(K714,'اکسسوری حذف از لیست اصلی'!T:T,0))</f>
        <v>0</v>
      </c>
      <c r="I714" s="110">
        <f>INDEX('اکسسوری حذف از لیست اصلی'!G:G,MATCH(K714,'اکسسوری حذف از لیست اصلی'!T:T,0))</f>
        <v>0</v>
      </c>
      <c r="J714" s="74">
        <f>INDEX('اکسسوری حذف از لیست اصلی'!J:J,MATCH(K714,'اکسسوری حذف از لیست اصلی'!T:T,0))</f>
        <v>127000000</v>
      </c>
      <c r="K714" s="64">
        <v>401</v>
      </c>
    </row>
    <row r="715" spans="1:11" ht="35.25" customHeight="1">
      <c r="A715" s="60"/>
      <c r="B715" s="61"/>
      <c r="D715" s="73">
        <v>27</v>
      </c>
      <c r="E715" s="109">
        <f>INDEX('اکسسوری حذف از لیست اصلی'!C:C,MATCH(K715,'اکسسوری حذف از لیست اصلی'!T:T,0))</f>
        <v>9901030495</v>
      </c>
      <c r="F715" s="109" t="str">
        <f>INDEX('اکسسوری حذف از لیست اصلی'!D:D,MATCH(K715,'اکسسوری حذف از لیست اصلی'!T:T,0))</f>
        <v>شمعدان ایستاده کنار سالنی چوبی60خودرنگ سند بلاستDC-W495</v>
      </c>
      <c r="G715" s="110">
        <f>INDEX('اکسسوری حذف از لیست اصلی'!E:E,MATCH(K715,'اکسسوری حذف از لیست اصلی'!T:T,0))</f>
        <v>0</v>
      </c>
      <c r="H715" s="110">
        <f>INDEX('اکسسوری حذف از لیست اصلی'!F:F,MATCH(K715,'اکسسوری حذف از لیست اصلی'!T:T,0))</f>
        <v>0</v>
      </c>
      <c r="I715" s="110">
        <f>INDEX('اکسسوری حذف از لیست اصلی'!G:G,MATCH(K715,'اکسسوری حذف از لیست اصلی'!T:T,0))</f>
        <v>0</v>
      </c>
      <c r="J715" s="74">
        <f>INDEX('اکسسوری حذف از لیست اصلی'!J:J,MATCH(K715,'اکسسوری حذف از لیست اصلی'!T:T,0))</f>
        <v>113000000</v>
      </c>
      <c r="K715" s="64">
        <v>402</v>
      </c>
    </row>
    <row r="716" spans="1:11">
      <c r="A716" s="60"/>
      <c r="B716" s="61"/>
      <c r="D716"/>
      <c r="E716"/>
      <c r="F716"/>
      <c r="G716"/>
      <c r="H716"/>
      <c r="I716"/>
      <c r="J716"/>
    </row>
    <row r="717" spans="1:11" ht="27.75">
      <c r="A717" s="60"/>
      <c r="B717" s="61"/>
      <c r="D717" s="67" t="s">
        <v>1164</v>
      </c>
      <c r="J717" s="68"/>
    </row>
    <row r="718" spans="1:11" ht="36">
      <c r="A718" s="60"/>
      <c r="B718" s="61"/>
      <c r="D718" s="75" t="s">
        <v>0</v>
      </c>
      <c r="E718" s="69" t="s">
        <v>1</v>
      </c>
      <c r="F718" s="107" t="s">
        <v>448</v>
      </c>
      <c r="G718" s="108" t="s">
        <v>1141</v>
      </c>
      <c r="H718" s="108" t="s">
        <v>1142</v>
      </c>
      <c r="I718" s="108" t="s">
        <v>1143</v>
      </c>
      <c r="J718" s="68" t="s">
        <v>251</v>
      </c>
    </row>
    <row r="719" spans="1:11">
      <c r="A719" s="60"/>
      <c r="B719" s="61"/>
      <c r="D719" s="73">
        <v>1</v>
      </c>
      <c r="E719" s="109">
        <f>INDEX('اکسسوری حذف از لیست اصلی'!C:C,MATCH(K719,'اکسسوری حذف از لیست اصلی'!T:T,0))</f>
        <v>9901030323</v>
      </c>
      <c r="F719" s="109" t="str">
        <f>INDEX('اکسسوری حذف از لیست اصلی'!D:D,MATCH(K719,'اکسسوری حذف از لیست اصلی'!T:T,0))</f>
        <v>زیر سیگاری فلزی DA-M323</v>
      </c>
      <c r="G719" s="110" t="str">
        <f>INDEX('اکسسوری حذف از لیست اصلی'!E:E,MATCH(K719,'اکسسوری حذف از لیست اصلی'!T:T,0))</f>
        <v>-</v>
      </c>
      <c r="H719" s="110">
        <f>INDEX('اکسسوری حذف از لیست اصلی'!F:F,MATCH(K719,'اکسسوری حذف از لیست اصلی'!T:T,0))</f>
        <v>0</v>
      </c>
      <c r="I719" s="110">
        <f>INDEX('اکسسوری حذف از لیست اصلی'!G:G,MATCH(K719,'اکسسوری حذف از لیست اصلی'!T:T,0))</f>
        <v>0</v>
      </c>
      <c r="J719" s="74">
        <f>INDEX('اکسسوری حذف از لیست اصلی'!J:J,MATCH(K719,'اکسسوری حذف از لیست اصلی'!T:T,0))</f>
        <v>57000000</v>
      </c>
      <c r="K719" s="64">
        <v>403</v>
      </c>
    </row>
    <row r="720" spans="1:11">
      <c r="A720" s="60"/>
      <c r="B720" s="61"/>
      <c r="J720" s="74"/>
    </row>
    <row r="721" spans="1:11" ht="27.75">
      <c r="A721" s="60"/>
      <c r="B721" s="61"/>
      <c r="D721" s="67" t="s">
        <v>1008</v>
      </c>
      <c r="J721" s="68"/>
    </row>
    <row r="722" spans="1:11" ht="36">
      <c r="A722" s="60"/>
      <c r="B722" s="61"/>
      <c r="D722" s="75" t="s">
        <v>0</v>
      </c>
      <c r="E722" s="69" t="s">
        <v>1</v>
      </c>
      <c r="F722" s="107" t="s">
        <v>448</v>
      </c>
      <c r="G722" s="108" t="s">
        <v>1141</v>
      </c>
      <c r="H722" s="108" t="s">
        <v>1142</v>
      </c>
      <c r="I722" s="108" t="s">
        <v>1143</v>
      </c>
      <c r="J722" s="68" t="s">
        <v>251</v>
      </c>
    </row>
    <row r="723" spans="1:11">
      <c r="A723" s="60"/>
      <c r="B723" s="61"/>
      <c r="D723" s="73">
        <v>1</v>
      </c>
      <c r="E723" s="109">
        <f>INDEX('اکسسوری حذف از لیست اصلی'!C:C,MATCH(K723,'اکسسوری حذف از لیست اصلی'!T:T,0))</f>
        <v>9901050001</v>
      </c>
      <c r="F723" s="109" t="str">
        <f>INDEX('اکسسوری حذف از لیست اصلی'!D:D,MATCH(K723,'اکسسوری حذف از لیست اصلی'!T:T,0))</f>
        <v>عطرخانگیHP-N001</v>
      </c>
      <c r="G723" s="110" t="str">
        <f>INDEX('اکسسوری حذف از لیست اصلی'!E:E,MATCH(K723,'اکسسوری حذف از لیست اصلی'!T:T,0))</f>
        <v>7/5*7/5*8</v>
      </c>
      <c r="H723" s="110">
        <f>INDEX('اکسسوری حذف از لیست اصلی'!F:F,MATCH(K723,'اکسسوری حذف از لیست اصلی'!T:T,0))</f>
        <v>0</v>
      </c>
      <c r="I723" s="110">
        <f>INDEX('اکسسوری حذف از لیست اصلی'!G:G,MATCH(K723,'اکسسوری حذف از لیست اصلی'!T:T,0))</f>
        <v>0</v>
      </c>
      <c r="J723" s="74">
        <f>INDEX('اکسسوری حذف از لیست اصلی'!J:J,MATCH(K723,'اکسسوری حذف از لیست اصلی'!T:T,0))</f>
        <v>76000000</v>
      </c>
      <c r="K723" s="64">
        <v>404</v>
      </c>
    </row>
    <row r="724" spans="1:11">
      <c r="A724" s="60"/>
      <c r="B724" s="61"/>
      <c r="D724" s="79">
        <v>2</v>
      </c>
      <c r="E724" s="109">
        <f>INDEX('اکسسوری حذف از لیست اصلی'!C:C,MATCH(K724,'اکسسوری حذف از لیست اصلی'!T:T,0))</f>
        <v>9901050002</v>
      </c>
      <c r="F724" s="109" t="str">
        <f>INDEX('اکسسوری حذف از لیست اصلی'!D:D,MATCH(K724,'اکسسوری حذف از لیست اصلی'!T:T,0))</f>
        <v>عطرخانگیHP-N002</v>
      </c>
      <c r="G724" s="110" t="str">
        <f>INDEX('اکسسوری حذف از لیست اصلی'!E:E,MATCH(K724,'اکسسوری حذف از لیست اصلی'!T:T,0))</f>
        <v>7/5*7/5*8</v>
      </c>
      <c r="H724" s="110">
        <f>INDEX('اکسسوری حذف از لیست اصلی'!F:F,MATCH(K724,'اکسسوری حذف از لیست اصلی'!T:T,0))</f>
        <v>0</v>
      </c>
      <c r="I724" s="110">
        <f>INDEX('اکسسوری حذف از لیست اصلی'!G:G,MATCH(K724,'اکسسوری حذف از لیست اصلی'!T:T,0))</f>
        <v>0</v>
      </c>
      <c r="J724" s="74">
        <f>INDEX('اکسسوری حذف از لیست اصلی'!J:J,MATCH(K724,'اکسسوری حذف از لیست اصلی'!T:T,0))</f>
        <v>78000000</v>
      </c>
      <c r="K724" s="64">
        <v>405</v>
      </c>
    </row>
    <row r="725" spans="1:11">
      <c r="A725" s="60"/>
      <c r="B725" s="61"/>
      <c r="D725" s="79">
        <v>3</v>
      </c>
      <c r="E725" s="109">
        <f>INDEX('اکسسوری حذف از لیست اصلی'!C:C,MATCH(K725,'اکسسوری حذف از لیست اصلی'!T:T,0))</f>
        <v>9901050003</v>
      </c>
      <c r="F725" s="109" t="str">
        <f>INDEX('اکسسوری حذف از لیست اصلی'!D:D,MATCH(K725,'اکسسوری حذف از لیست اصلی'!T:T,0))</f>
        <v>عطرخانگیHP-N003</v>
      </c>
      <c r="G725" s="110" t="str">
        <f>INDEX('اکسسوری حذف از لیست اصلی'!E:E,MATCH(K725,'اکسسوری حذف از لیست اصلی'!T:T,0))</f>
        <v>7/5*7/5*8</v>
      </c>
      <c r="H725" s="110">
        <f>INDEX('اکسسوری حذف از لیست اصلی'!F:F,MATCH(K725,'اکسسوری حذف از لیست اصلی'!T:T,0))</f>
        <v>0</v>
      </c>
      <c r="I725" s="110">
        <f>INDEX('اکسسوری حذف از لیست اصلی'!G:G,MATCH(K725,'اکسسوری حذف از لیست اصلی'!T:T,0))</f>
        <v>0</v>
      </c>
      <c r="J725" s="74">
        <f>INDEX('اکسسوری حذف از لیست اصلی'!J:J,MATCH(K725,'اکسسوری حذف از لیست اصلی'!T:T,0))</f>
        <v>69000000</v>
      </c>
      <c r="K725" s="64">
        <v>406</v>
      </c>
    </row>
    <row r="726" spans="1:11">
      <c r="A726" s="60"/>
      <c r="B726" s="61"/>
      <c r="D726" s="79">
        <v>4</v>
      </c>
      <c r="E726" s="109">
        <f>INDEX('اکسسوری حذف از لیست اصلی'!C:C,MATCH(K726,'اکسسوری حذف از لیست اصلی'!T:T,0))</f>
        <v>9901050004</v>
      </c>
      <c r="F726" s="109" t="str">
        <f>INDEX('اکسسوری حذف از لیست اصلی'!D:D,MATCH(K726,'اکسسوری حذف از لیست اصلی'!T:T,0))</f>
        <v>عطرخانگیHP-N004</v>
      </c>
      <c r="G726" s="110" t="str">
        <f>INDEX('اکسسوری حذف از لیست اصلی'!E:E,MATCH(K726,'اکسسوری حذف از لیست اصلی'!T:T,0))</f>
        <v>6/5*6/5*15</v>
      </c>
      <c r="H726" s="110">
        <f>INDEX('اکسسوری حذف از لیست اصلی'!F:F,MATCH(K726,'اکسسوری حذف از لیست اصلی'!T:T,0))</f>
        <v>0</v>
      </c>
      <c r="I726" s="110">
        <f>INDEX('اکسسوری حذف از لیست اصلی'!G:G,MATCH(K726,'اکسسوری حذف از لیست اصلی'!T:T,0))</f>
        <v>0</v>
      </c>
      <c r="J726" s="74">
        <f>INDEX('اکسسوری حذف از لیست اصلی'!J:J,MATCH(K726,'اکسسوری حذف از لیست اصلی'!T:T,0))</f>
        <v>62000000</v>
      </c>
      <c r="K726" s="64">
        <v>407</v>
      </c>
    </row>
    <row r="727" spans="1:11">
      <c r="A727" s="60"/>
      <c r="B727" s="61"/>
      <c r="D727" s="79">
        <v>5</v>
      </c>
      <c r="E727" s="109">
        <f>INDEX('اکسسوری حذف از لیست اصلی'!C:C,MATCH(K727,'اکسسوری حذف از لیست اصلی'!T:T,0))</f>
        <v>9901050005</v>
      </c>
      <c r="F727" s="109" t="str">
        <f>INDEX('اکسسوری حذف از لیست اصلی'!D:D,MATCH(K727,'اکسسوری حذف از لیست اصلی'!T:T,0))</f>
        <v>عطرخانگیHP-N005</v>
      </c>
      <c r="G727" s="110" t="str">
        <f>INDEX('اکسسوری حذف از لیست اصلی'!E:E,MATCH(K727,'اکسسوری حذف از لیست اصلی'!T:T,0))</f>
        <v>7/5*7/5*8</v>
      </c>
      <c r="H727" s="110">
        <f>INDEX('اکسسوری حذف از لیست اصلی'!F:F,MATCH(K727,'اکسسوری حذف از لیست اصلی'!T:T,0))</f>
        <v>0</v>
      </c>
      <c r="I727" s="110">
        <f>INDEX('اکسسوری حذف از لیست اصلی'!G:G,MATCH(K727,'اکسسوری حذف از لیست اصلی'!T:T,0))</f>
        <v>0</v>
      </c>
      <c r="J727" s="74">
        <f>INDEX('اکسسوری حذف از لیست اصلی'!J:J,MATCH(K727,'اکسسوری حذف از لیست اصلی'!T:T,0))</f>
        <v>56000000</v>
      </c>
      <c r="K727" s="64">
        <v>408</v>
      </c>
    </row>
    <row r="728" spans="1:11">
      <c r="A728" s="60"/>
      <c r="B728" s="61"/>
      <c r="D728" s="28"/>
      <c r="E728" s="65"/>
      <c r="G728" s="28"/>
      <c r="H728" s="28"/>
      <c r="I728" s="28"/>
      <c r="J728" s="74"/>
    </row>
    <row r="729" spans="1:11">
      <c r="A729" s="60"/>
      <c r="B729" s="61"/>
      <c r="D729" s="28"/>
      <c r="E729" s="65"/>
      <c r="G729" s="28"/>
      <c r="H729" s="28"/>
      <c r="I729" s="28"/>
      <c r="J729" s="74"/>
    </row>
    <row r="730" spans="1:11">
      <c r="A730" s="60"/>
      <c r="B730" s="61"/>
      <c r="D730" s="28"/>
      <c r="E730" s="65"/>
      <c r="G730" s="28"/>
      <c r="H730" s="28"/>
      <c r="I730" s="28"/>
      <c r="J730" s="74"/>
    </row>
    <row r="731" spans="1:11">
      <c r="A731" s="60"/>
      <c r="B731" s="61"/>
      <c r="J731" s="74">
        <v>26</v>
      </c>
    </row>
    <row r="732" spans="1:11">
      <c r="A732" s="70"/>
      <c r="B732" s="71"/>
      <c r="C732" s="183"/>
      <c r="D732" s="184"/>
      <c r="E732" s="184"/>
      <c r="F732" s="184"/>
      <c r="G732" s="184"/>
      <c r="H732" s="184"/>
      <c r="I732" s="184"/>
      <c r="J732" s="184"/>
    </row>
    <row r="733" spans="1:11">
      <c r="A733" s="70"/>
      <c r="B733" s="71"/>
      <c r="C733" s="183"/>
      <c r="D733" s="184"/>
      <c r="E733" s="184"/>
      <c r="F733" s="184"/>
      <c r="G733" s="184"/>
      <c r="H733" s="184"/>
      <c r="I733" s="184"/>
      <c r="J733" s="184"/>
    </row>
    <row r="734" spans="1:11" ht="27.75">
      <c r="A734" s="70"/>
      <c r="B734" s="71"/>
      <c r="C734" s="72"/>
      <c r="D734" s="67" t="s">
        <v>1145</v>
      </c>
      <c r="J734" s="68" t="str">
        <f>$N$1</f>
        <v>1405/02/23</v>
      </c>
    </row>
    <row r="735" spans="1:11" ht="36">
      <c r="A735" s="70"/>
      <c r="B735" s="71"/>
      <c r="C735" s="77"/>
      <c r="D735" s="75" t="s">
        <v>0</v>
      </c>
      <c r="E735" s="69" t="s">
        <v>1</v>
      </c>
      <c r="F735" s="107" t="s">
        <v>448</v>
      </c>
      <c r="G735" s="108" t="s">
        <v>1141</v>
      </c>
      <c r="H735" s="108" t="s">
        <v>1142</v>
      </c>
      <c r="I735" s="108" t="s">
        <v>1143</v>
      </c>
      <c r="J735" s="68" t="s">
        <v>251</v>
      </c>
    </row>
    <row r="736" spans="1:11" ht="21" customHeight="1">
      <c r="A736" s="60"/>
      <c r="B736" s="61"/>
      <c r="D736" s="73">
        <v>1</v>
      </c>
      <c r="E736" s="109">
        <f>INDEX('اکسسوری حذف از لیست اصلی'!C:C,MATCH(K736,'اکسسوری حذف از لیست اصلی'!T:T,0))</f>
        <v>9901030137</v>
      </c>
      <c r="F736" s="109" t="str">
        <f>INDEX('اکسسوری حذف از لیست اصلی'!D:D,MATCH(K736,'اکسسوری حذف از لیست اصلی'!T:T,0))</f>
        <v>عودسوز چوبی خودرنگDC-W137</v>
      </c>
      <c r="G736" s="110" t="str">
        <f>INDEX('اکسسوری حذف از لیست اصلی'!E:E,MATCH(K736,'اکسسوری حذف از لیست اصلی'!T:T,0))</f>
        <v>-</v>
      </c>
      <c r="H736" s="110">
        <f>INDEX('اکسسوری حذف از لیست اصلی'!F:F,MATCH(K736,'اکسسوری حذف از لیست اصلی'!T:T,0))</f>
        <v>0</v>
      </c>
      <c r="I736" s="110">
        <f>INDEX('اکسسوری حذف از لیست اصلی'!G:G,MATCH(K736,'اکسسوری حذف از لیست اصلی'!T:T,0))</f>
        <v>0</v>
      </c>
      <c r="J736" s="74">
        <f>INDEX('اکسسوری حذف از لیست اصلی'!J:J,MATCH(K736,'اکسسوری حذف از لیست اصلی'!T:T,0))</f>
        <v>71000000</v>
      </c>
      <c r="K736" s="64">
        <v>409</v>
      </c>
    </row>
    <row r="737" spans="1:11" ht="21" customHeight="1">
      <c r="A737" s="60"/>
      <c r="B737" s="61"/>
      <c r="C737" s="78"/>
      <c r="D737" s="79">
        <v>2</v>
      </c>
      <c r="E737" s="109">
        <f>INDEX('اکسسوری حذف از لیست اصلی'!C:C,MATCH(K737,'اکسسوری حذف از لیست اصلی'!T:T,0))</f>
        <v>9901030138</v>
      </c>
      <c r="F737" s="109" t="str">
        <f>INDEX('اکسسوری حذف از لیست اصلی'!D:D,MATCH(K737,'اکسسوری حذف از لیست اصلی'!T:T,0))</f>
        <v>عودسوز چوبی متوسط خودرنگ DC-W138</v>
      </c>
      <c r="G737" s="110" t="str">
        <f>INDEX('اکسسوری حذف از لیست اصلی'!E:E,MATCH(K737,'اکسسوری حذف از لیست اصلی'!T:T,0))</f>
        <v>-</v>
      </c>
      <c r="H737" s="110">
        <f>INDEX('اکسسوری حذف از لیست اصلی'!F:F,MATCH(K737,'اکسسوری حذف از لیست اصلی'!T:T,0))</f>
        <v>0</v>
      </c>
      <c r="I737" s="110">
        <f>INDEX('اکسسوری حذف از لیست اصلی'!G:G,MATCH(K737,'اکسسوری حذف از لیست اصلی'!T:T,0))</f>
        <v>0</v>
      </c>
      <c r="J737" s="74">
        <f>INDEX('اکسسوری حذف از لیست اصلی'!J:J,MATCH(K737,'اکسسوری حذف از لیست اصلی'!T:T,0))</f>
        <v>71000000</v>
      </c>
      <c r="K737" s="64">
        <v>410</v>
      </c>
    </row>
    <row r="738" spans="1:11" ht="21" customHeight="1">
      <c r="A738" s="60"/>
      <c r="B738" s="61"/>
      <c r="D738" s="79">
        <v>3</v>
      </c>
      <c r="E738" s="109">
        <f>INDEX('اکسسوری حذف از لیست اصلی'!C:C,MATCH(K738,'اکسسوری حذف از لیست اصلی'!T:T,0))</f>
        <v>9901030139</v>
      </c>
      <c r="F738" s="109" t="str">
        <f>INDEX('اکسسوری حذف از لیست اصلی'!D:D,MATCH(K738,'اکسسوری حذف از لیست اصلی'!T:T,0))</f>
        <v>عودسوز چوبی کوچک خودرنگ DC-W139</v>
      </c>
      <c r="G738" s="110" t="str">
        <f>INDEX('اکسسوری حذف از لیست اصلی'!E:E,MATCH(K738,'اکسسوری حذف از لیست اصلی'!T:T,0))</f>
        <v>-</v>
      </c>
      <c r="H738" s="110">
        <f>INDEX('اکسسوری حذف از لیست اصلی'!F:F,MATCH(K738,'اکسسوری حذف از لیست اصلی'!T:T,0))</f>
        <v>0</v>
      </c>
      <c r="I738" s="110">
        <f>INDEX('اکسسوری حذف از لیست اصلی'!G:G,MATCH(K738,'اکسسوری حذف از لیست اصلی'!T:T,0))</f>
        <v>0</v>
      </c>
      <c r="J738" s="74">
        <f>INDEX('اکسسوری حذف از لیست اصلی'!J:J,MATCH(K738,'اکسسوری حذف از لیست اصلی'!T:T,0))</f>
        <v>59000000</v>
      </c>
      <c r="K738" s="64">
        <v>411</v>
      </c>
    </row>
    <row r="739" spans="1:11" ht="21" customHeight="1">
      <c r="A739" s="60"/>
      <c r="B739" s="61"/>
      <c r="D739" s="73">
        <v>4</v>
      </c>
      <c r="E739" s="109">
        <f>INDEX('اکسسوری حذف از لیست اصلی'!C:C,MATCH(K739,'اکسسوری حذف از لیست اصلی'!T:T,0))</f>
        <v>9901030239</v>
      </c>
      <c r="F739" s="109" t="str">
        <f>INDEX('اکسسوری حذف از لیست اصلی'!D:D,MATCH(K739,'اکسسوری حذف از لیست اصلی'!T:T,0))</f>
        <v>عودسوز چوبی بزرگ خودرنگ DC-W239</v>
      </c>
      <c r="G739" s="110" t="str">
        <f>INDEX('اکسسوری حذف از لیست اصلی'!E:E,MATCH(K739,'اکسسوری حذف از لیست اصلی'!T:T,0))</f>
        <v>-</v>
      </c>
      <c r="H739" s="110">
        <f>INDEX('اکسسوری حذف از لیست اصلی'!F:F,MATCH(K739,'اکسسوری حذف از لیست اصلی'!T:T,0))</f>
        <v>0</v>
      </c>
      <c r="I739" s="110">
        <f>INDEX('اکسسوری حذف از لیست اصلی'!G:G,MATCH(K739,'اکسسوری حذف از لیست اصلی'!T:T,0))</f>
        <v>0</v>
      </c>
      <c r="J739" s="74">
        <f>INDEX('اکسسوری حذف از لیست اصلی'!J:J,MATCH(K739,'اکسسوری حذف از لیست اصلی'!T:T,0))</f>
        <v>67000000</v>
      </c>
      <c r="K739" s="64">
        <v>412</v>
      </c>
    </row>
    <row r="740" spans="1:11" ht="21" customHeight="1">
      <c r="A740" s="60"/>
      <c r="B740" s="61"/>
      <c r="D740" s="79">
        <v>5</v>
      </c>
      <c r="E740" s="109">
        <f>INDEX('اکسسوری حذف از لیست اصلی'!C:C,MATCH(K740,'اکسسوری حذف از لیست اصلی'!T:T,0))</f>
        <v>9901030240</v>
      </c>
      <c r="F740" s="109" t="str">
        <f>INDEX('اکسسوری حذف از لیست اصلی'!D:D,MATCH(K740,'اکسسوری حذف از لیست اصلی'!T:T,0))</f>
        <v>عودسوز چوبی بزرگ خودرنگ DC-W240</v>
      </c>
      <c r="G740" s="110" t="str">
        <f>INDEX('اکسسوری حذف از لیست اصلی'!E:E,MATCH(K740,'اکسسوری حذف از لیست اصلی'!T:T,0))</f>
        <v>-</v>
      </c>
      <c r="H740" s="110">
        <f>INDEX('اکسسوری حذف از لیست اصلی'!F:F,MATCH(K740,'اکسسوری حذف از لیست اصلی'!T:T,0))</f>
        <v>0</v>
      </c>
      <c r="I740" s="110">
        <f>INDEX('اکسسوری حذف از لیست اصلی'!G:G,MATCH(K740,'اکسسوری حذف از لیست اصلی'!T:T,0))</f>
        <v>0</v>
      </c>
      <c r="J740" s="74">
        <f>INDEX('اکسسوری حذف از لیست اصلی'!J:J,MATCH(K740,'اکسسوری حذف از لیست اصلی'!T:T,0))</f>
        <v>81000000</v>
      </c>
      <c r="K740" s="64">
        <v>413</v>
      </c>
    </row>
    <row r="741" spans="1:11" ht="21" customHeight="1">
      <c r="A741" s="60"/>
      <c r="B741" s="61"/>
      <c r="D741" s="79">
        <v>6</v>
      </c>
      <c r="E741" s="109">
        <f>INDEX('اکسسوری حذف از لیست اصلی'!C:C,MATCH(K741,'اکسسوری حذف از لیست اصلی'!T:T,0))</f>
        <v>9901030322</v>
      </c>
      <c r="F741" s="109" t="str">
        <f>INDEX('اکسسوری حذف از لیست اصلی'!D:D,MATCH(K741,'اکسسوری حذف از لیست اصلی'!T:T,0))</f>
        <v>عودسوز و جاشمعی فلزی DC-M322</v>
      </c>
      <c r="G741" s="110" t="str">
        <f>INDEX('اکسسوری حذف از لیست اصلی'!E:E,MATCH(K741,'اکسسوری حذف از لیست اصلی'!T:T,0))</f>
        <v>-</v>
      </c>
      <c r="H741" s="110">
        <f>INDEX('اکسسوری حذف از لیست اصلی'!F:F,MATCH(K741,'اکسسوری حذف از لیست اصلی'!T:T,0))</f>
        <v>0</v>
      </c>
      <c r="I741" s="110">
        <f>INDEX('اکسسوری حذف از لیست اصلی'!G:G,MATCH(K741,'اکسسوری حذف از لیست اصلی'!T:T,0))</f>
        <v>0</v>
      </c>
      <c r="J741" s="74">
        <f>INDEX('اکسسوری حذف از لیست اصلی'!J:J,MATCH(K741,'اکسسوری حذف از لیست اصلی'!T:T,0))</f>
        <v>249000000</v>
      </c>
      <c r="K741" s="64">
        <v>414</v>
      </c>
    </row>
    <row r="742" spans="1:11" ht="21" customHeight="1">
      <c r="A742" s="60"/>
      <c r="B742" s="61"/>
      <c r="D742" s="73">
        <v>7</v>
      </c>
      <c r="E742" s="109">
        <f>INDEX('اکسسوری حذف از لیست اصلی'!C:C,MATCH(K742,'اکسسوری حذف از لیست اصلی'!T:T,0))</f>
        <v>9901030320</v>
      </c>
      <c r="F742" s="109" t="str">
        <f>INDEX('اکسسوری حذف از لیست اصلی'!D:D,MATCH(K742,'اکسسوری حذف از لیست اصلی'!T:T,0))</f>
        <v>عودسوز فلزی DC-M320</v>
      </c>
      <c r="G742" s="110" t="str">
        <f>INDEX('اکسسوری حذف از لیست اصلی'!E:E,MATCH(K742,'اکسسوری حذف از لیست اصلی'!T:T,0))</f>
        <v>-</v>
      </c>
      <c r="H742" s="110">
        <f>INDEX('اکسسوری حذف از لیست اصلی'!F:F,MATCH(K742,'اکسسوری حذف از لیست اصلی'!T:T,0))</f>
        <v>0</v>
      </c>
      <c r="I742" s="110">
        <f>INDEX('اکسسوری حذف از لیست اصلی'!G:G,MATCH(K742,'اکسسوری حذف از لیست اصلی'!T:T,0))</f>
        <v>0</v>
      </c>
      <c r="J742" s="74">
        <f>INDEX('اکسسوری حذف از لیست اصلی'!J:J,MATCH(K742,'اکسسوری حذف از لیست اصلی'!T:T,0))</f>
        <v>43000000</v>
      </c>
      <c r="K742" s="64">
        <v>415</v>
      </c>
    </row>
    <row r="743" spans="1:11">
      <c r="A743" s="60"/>
      <c r="B743" s="61"/>
      <c r="D743"/>
      <c r="E743"/>
      <c r="F743"/>
      <c r="G743"/>
      <c r="H743"/>
      <c r="I743"/>
      <c r="J743"/>
    </row>
    <row r="744" spans="1:11">
      <c r="A744" s="60"/>
      <c r="B744" s="61"/>
      <c r="D744"/>
      <c r="E744"/>
      <c r="F744"/>
      <c r="G744"/>
      <c r="H744"/>
      <c r="I744"/>
      <c r="J744"/>
    </row>
    <row r="745" spans="1:11" ht="27.75">
      <c r="A745" s="70"/>
      <c r="B745" s="71"/>
      <c r="C745" s="72"/>
      <c r="D745" s="67" t="s">
        <v>1033</v>
      </c>
      <c r="J745" s="68"/>
    </row>
    <row r="746" spans="1:11" ht="36">
      <c r="A746" s="70"/>
      <c r="B746" s="71"/>
      <c r="C746" s="77"/>
      <c r="D746" s="75" t="s">
        <v>0</v>
      </c>
      <c r="E746" s="69" t="s">
        <v>1</v>
      </c>
      <c r="F746" s="107" t="s">
        <v>448</v>
      </c>
      <c r="G746" s="108" t="s">
        <v>1141</v>
      </c>
      <c r="H746" s="108" t="s">
        <v>1142</v>
      </c>
      <c r="I746" s="108" t="s">
        <v>1143</v>
      </c>
      <c r="J746" s="68" t="s">
        <v>251</v>
      </c>
    </row>
    <row r="747" spans="1:11" ht="27.75" customHeight="1">
      <c r="A747" s="60"/>
      <c r="B747" s="61"/>
      <c r="D747" s="73">
        <v>1</v>
      </c>
      <c r="E747" s="109">
        <f>INDEX('اکسسوری حذف از لیست اصلی'!C:C,MATCH(K747,'اکسسوری حذف از لیست اصلی'!T:T,0))</f>
        <v>9901060001</v>
      </c>
      <c r="F747" s="109" t="str">
        <f>INDEX('اکسسوری حذف از لیست اصلی'!D:D,MATCH(K747,'اکسسوری حذف از لیست اصلی'!T:T,0))</f>
        <v>تابلو دکوراتیو دو تکه TD-P001</v>
      </c>
      <c r="G747" s="110" t="str">
        <f>INDEX('اکسسوری حذف از لیست اصلی'!E:E,MATCH(K747,'اکسسوری حذف از لیست اصلی'!T:T,0))</f>
        <v>100*100</v>
      </c>
      <c r="H747" s="110">
        <f>INDEX('اکسسوری حذف از لیست اصلی'!F:F,MATCH(K747,'اکسسوری حذف از لیست اصلی'!T:T,0))</f>
        <v>0</v>
      </c>
      <c r="I747" s="110">
        <f>INDEX('اکسسوری حذف از لیست اصلی'!G:G,MATCH(K747,'اکسسوری حذف از لیست اصلی'!T:T,0))</f>
        <v>0</v>
      </c>
      <c r="J747" s="74">
        <f>INDEX('اکسسوری حذف از لیست اصلی'!J:J,MATCH(K747,'اکسسوری حذف از لیست اصلی'!T:T,0))</f>
        <v>75000000</v>
      </c>
      <c r="K747" s="64">
        <v>416</v>
      </c>
    </row>
    <row r="748" spans="1:11" ht="27.75" customHeight="1">
      <c r="A748" s="60"/>
      <c r="B748" s="61"/>
      <c r="C748" s="78"/>
      <c r="D748" s="79">
        <v>2</v>
      </c>
      <c r="E748" s="109">
        <f>INDEX('اکسسوری حذف از لیست اصلی'!C:C,MATCH(K748,'اکسسوری حذف از لیست اصلی'!T:T,0))</f>
        <v>9901060002</v>
      </c>
      <c r="F748" s="109" t="str">
        <f>INDEX('اکسسوری حذف از لیست اصلی'!D:D,MATCH(K748,'اکسسوری حذف از لیست اصلی'!T:T,0))</f>
        <v>تابلو دکوراتیو TD-P002</v>
      </c>
      <c r="G748" s="110" t="str">
        <f>INDEX('اکسسوری حذف از لیست اصلی'!E:E,MATCH(K748,'اکسسوری حذف از لیست اصلی'!T:T,0))</f>
        <v>80*60</v>
      </c>
      <c r="H748" s="110">
        <f>INDEX('اکسسوری حذف از لیست اصلی'!F:F,MATCH(K748,'اکسسوری حذف از لیست اصلی'!T:T,0))</f>
        <v>0</v>
      </c>
      <c r="I748" s="110">
        <f>INDEX('اکسسوری حذف از لیست اصلی'!G:G,MATCH(K748,'اکسسوری حذف از لیست اصلی'!T:T,0))</f>
        <v>0</v>
      </c>
      <c r="J748" s="74">
        <f>INDEX('اکسسوری حذف از لیست اصلی'!J:J,MATCH(K748,'اکسسوری حذف از لیست اصلی'!T:T,0))</f>
        <v>28000000</v>
      </c>
      <c r="K748" s="64">
        <v>417</v>
      </c>
    </row>
    <row r="749" spans="1:11" ht="27.75" customHeight="1">
      <c r="A749" s="60"/>
      <c r="B749" s="61"/>
      <c r="D749" s="79">
        <v>3</v>
      </c>
      <c r="E749" s="109">
        <f>INDEX('اکسسوری حذف از لیست اصلی'!C:C,MATCH(K749,'اکسسوری حذف از لیست اصلی'!T:T,0))</f>
        <v>9901060003</v>
      </c>
      <c r="F749" s="109" t="str">
        <f>INDEX('اکسسوری حذف از لیست اصلی'!D:D,MATCH(K749,'اکسسوری حذف از لیست اصلی'!T:T,0))</f>
        <v>تابلو دکوراتیو TD-P003</v>
      </c>
      <c r="G749" s="110" t="str">
        <f>INDEX('اکسسوری حذف از لیست اصلی'!E:E,MATCH(K749,'اکسسوری حذف از لیست اصلی'!T:T,0))</f>
        <v>100*70</v>
      </c>
      <c r="H749" s="110">
        <f>INDEX('اکسسوری حذف از لیست اصلی'!F:F,MATCH(K749,'اکسسوری حذف از لیست اصلی'!T:T,0))</f>
        <v>0</v>
      </c>
      <c r="I749" s="110">
        <f>INDEX('اکسسوری حذف از لیست اصلی'!G:G,MATCH(K749,'اکسسوری حذف از لیست اصلی'!T:T,0))</f>
        <v>0</v>
      </c>
      <c r="J749" s="74">
        <f>INDEX('اکسسوری حذف از لیست اصلی'!J:J,MATCH(K749,'اکسسوری حذف از لیست اصلی'!T:T,0))</f>
        <v>36000000</v>
      </c>
      <c r="K749" s="64">
        <v>418</v>
      </c>
    </row>
    <row r="750" spans="1:11" ht="27.75" customHeight="1">
      <c r="A750" s="60"/>
      <c r="B750" s="61"/>
      <c r="D750" s="79">
        <v>4</v>
      </c>
      <c r="E750" s="109">
        <f>INDEX('اکسسوری حذف از لیست اصلی'!C:C,MATCH(K750,'اکسسوری حذف از لیست اصلی'!T:T,0))</f>
        <v>9901060015</v>
      </c>
      <c r="F750" s="109" t="str">
        <f>INDEX('اکسسوری حذف از لیست اصلی'!D:D,MATCH(K750,'اکسسوری حذف از لیست اصلی'!T:T,0))</f>
        <v>تابلو دکوراتیو دو تکه TD-W015</v>
      </c>
      <c r="G750" s="110" t="str">
        <f>INDEX('اکسسوری حذف از لیست اصلی'!E:E,MATCH(K750,'اکسسوری حذف از لیست اصلی'!T:T,0))</f>
        <v>80*80</v>
      </c>
      <c r="H750" s="110">
        <f>INDEX('اکسسوری حذف از لیست اصلی'!F:F,MATCH(K750,'اکسسوری حذف از لیست اصلی'!T:T,0))</f>
        <v>0</v>
      </c>
      <c r="I750" s="110">
        <f>INDEX('اکسسوری حذف از لیست اصلی'!G:G,MATCH(K750,'اکسسوری حذف از لیست اصلی'!T:T,0))</f>
        <v>0</v>
      </c>
      <c r="J750" s="74">
        <f>INDEX('اکسسوری حذف از لیست اصلی'!J:J,MATCH(K750,'اکسسوری حذف از لیست اصلی'!T:T,0))</f>
        <v>297000000</v>
      </c>
      <c r="K750" s="64">
        <v>419</v>
      </c>
    </row>
    <row r="751" spans="1:11" ht="27.75" customHeight="1">
      <c r="A751" s="60"/>
      <c r="B751" s="61"/>
      <c r="D751" s="73">
        <v>5</v>
      </c>
      <c r="E751" s="109">
        <f>INDEX('اکسسوری حذف از لیست اصلی'!C:C,MATCH(K751,'اکسسوری حذف از لیست اصلی'!T:T,0))</f>
        <v>9901060019</v>
      </c>
      <c r="F751" s="109" t="str">
        <f>INDEX('اکسسوری حذف از لیست اصلی'!D:D,MATCH(K751,'اکسسوری حذف از لیست اصلی'!T:T,0))</f>
        <v>تابلو نقاشی دکوراتیو(120*150)TD-P019</v>
      </c>
      <c r="G751" s="110">
        <f>INDEX('اکسسوری حذف از لیست اصلی'!E:E,MATCH(K751,'اکسسوری حذف از لیست اصلی'!T:T,0))</f>
        <v>0</v>
      </c>
      <c r="H751" s="110">
        <f>INDEX('اکسسوری حذف از لیست اصلی'!F:F,MATCH(K751,'اکسسوری حذف از لیست اصلی'!T:T,0))</f>
        <v>0</v>
      </c>
      <c r="I751" s="110">
        <f>INDEX('اکسسوری حذف از لیست اصلی'!G:G,MATCH(K751,'اکسسوری حذف از لیست اصلی'!T:T,0))</f>
        <v>0</v>
      </c>
      <c r="J751" s="74">
        <f>INDEX('اکسسوری حذف از لیست اصلی'!J:J,MATCH(K751,'اکسسوری حذف از لیست اصلی'!T:T,0))</f>
        <v>1019000000</v>
      </c>
      <c r="K751" s="64">
        <v>420</v>
      </c>
    </row>
    <row r="752" spans="1:11" ht="27.75" customHeight="1">
      <c r="A752" s="60"/>
      <c r="B752" s="61"/>
      <c r="D752" s="79">
        <v>6</v>
      </c>
      <c r="E752" s="109">
        <f>INDEX('اکسسوری حذف از لیست اصلی'!C:C,MATCH(K752,'اکسسوری حذف از لیست اصلی'!T:T,0))</f>
        <v>9901060020</v>
      </c>
      <c r="F752" s="109" t="str">
        <f>INDEX('اکسسوری حذف از لیست اصلی'!D:D,MATCH(K752,'اکسسوری حذف از لیست اصلی'!T:T,0))</f>
        <v>تابلو نقاشی دکوراتیو(100*150)TD-P020</v>
      </c>
      <c r="G752" s="110">
        <f>INDEX('اکسسوری حذف از لیست اصلی'!E:E,MATCH(K752,'اکسسوری حذف از لیست اصلی'!T:T,0))</f>
        <v>0</v>
      </c>
      <c r="H752" s="110">
        <f>INDEX('اکسسوری حذف از لیست اصلی'!F:F,MATCH(K752,'اکسسوری حذف از لیست اصلی'!T:T,0))</f>
        <v>0</v>
      </c>
      <c r="I752" s="110">
        <f>INDEX('اکسسوری حذف از لیست اصلی'!G:G,MATCH(K752,'اکسسوری حذف از لیست اصلی'!T:T,0))</f>
        <v>0</v>
      </c>
      <c r="J752" s="74">
        <f>INDEX('اکسسوری حذف از لیست اصلی'!J:J,MATCH(K752,'اکسسوری حذف از لیست اصلی'!T:T,0))</f>
        <v>1019000000</v>
      </c>
      <c r="K752" s="64">
        <v>421</v>
      </c>
    </row>
    <row r="753" spans="1:11" ht="27.75" customHeight="1">
      <c r="A753" s="60"/>
      <c r="B753" s="61"/>
      <c r="D753" s="79">
        <v>7</v>
      </c>
      <c r="E753" s="109">
        <f>INDEX('اکسسوری حذف از لیست اصلی'!C:C,MATCH(K753,'اکسسوری حذف از لیست اصلی'!T:T,0))</f>
        <v>9901060021</v>
      </c>
      <c r="F753" s="109" t="str">
        <f>INDEX('اکسسوری حذف از لیست اصلی'!D:D,MATCH(K753,'اکسسوری حذف از لیست اصلی'!T:T,0))</f>
        <v>تابلو نقاشی دکوراتیو(130*180)TD-P021</v>
      </c>
      <c r="G753" s="110">
        <f>INDEX('اکسسوری حذف از لیست اصلی'!E:E,MATCH(K753,'اکسسوری حذف از لیست اصلی'!T:T,0))</f>
        <v>0</v>
      </c>
      <c r="H753" s="110">
        <f>INDEX('اکسسوری حذف از لیست اصلی'!F:F,MATCH(K753,'اکسسوری حذف از لیست اصلی'!T:T,0))</f>
        <v>0</v>
      </c>
      <c r="I753" s="110">
        <f>INDEX('اکسسوری حذف از لیست اصلی'!G:G,MATCH(K753,'اکسسوری حذف از لیست اصلی'!T:T,0))</f>
        <v>0</v>
      </c>
      <c r="J753" s="74">
        <f>INDEX('اکسسوری حذف از لیست اصلی'!J:J,MATCH(K753,'اکسسوری حذف از لیست اصلی'!T:T,0))</f>
        <v>1160000000</v>
      </c>
      <c r="K753" s="64">
        <v>422</v>
      </c>
    </row>
    <row r="754" spans="1:11" ht="27.75" customHeight="1">
      <c r="A754" s="60"/>
      <c r="B754" s="61"/>
      <c r="D754" s="79">
        <v>8</v>
      </c>
      <c r="E754" s="109">
        <f>INDEX('اکسسوری حذف از لیست اصلی'!C:C,MATCH(K754,'اکسسوری حذف از لیست اصلی'!T:T,0))</f>
        <v>9901060022</v>
      </c>
      <c r="F754" s="109" t="str">
        <f>INDEX('اکسسوری حذف از لیست اصلی'!D:D,MATCH(K754,'اکسسوری حذف از لیست اصلی'!T:T,0))</f>
        <v>تابلو نقاشی دکوراتیو(150*150)TD-P022</v>
      </c>
      <c r="G754" s="110">
        <f>INDEX('اکسسوری حذف از لیست اصلی'!E:E,MATCH(K754,'اکسسوری حذف از لیست اصلی'!T:T,0))</f>
        <v>0</v>
      </c>
      <c r="H754" s="110">
        <f>INDEX('اکسسوری حذف از لیست اصلی'!F:F,MATCH(K754,'اکسسوری حذف از لیست اصلی'!T:T,0))</f>
        <v>0</v>
      </c>
      <c r="I754" s="110">
        <f>INDEX('اکسسوری حذف از لیست اصلی'!G:G,MATCH(K754,'اکسسوری حذف از لیست اصلی'!T:T,0))</f>
        <v>0</v>
      </c>
      <c r="J754" s="74">
        <f>INDEX('اکسسوری حذف از لیست اصلی'!J:J,MATCH(K754,'اکسسوری حذف از لیست اصلی'!T:T,0))</f>
        <v>1415000000</v>
      </c>
      <c r="K754" s="64">
        <v>423</v>
      </c>
    </row>
    <row r="755" spans="1:11" ht="27.75" customHeight="1">
      <c r="A755" s="60"/>
      <c r="B755" s="61"/>
      <c r="D755" s="73">
        <v>9</v>
      </c>
      <c r="E755" s="109">
        <f>INDEX('اکسسوری حذف از لیست اصلی'!C:C,MATCH(K755,'اکسسوری حذف از لیست اصلی'!T:T,0))</f>
        <v>9901060024</v>
      </c>
      <c r="F755" s="109" t="str">
        <f>INDEX('اکسسوری حذف از لیست اصلی'!D:D,MATCH(K755,'اکسسوری حذف از لیست اصلی'!T:T,0))</f>
        <v xml:space="preserve"> تابلو پاپیه ماشه دکوراتیو (150*150)TD-P024</v>
      </c>
      <c r="G755" s="110">
        <f>INDEX('اکسسوری حذف از لیست اصلی'!E:E,MATCH(K755,'اکسسوری حذف از لیست اصلی'!T:T,0))</f>
        <v>0</v>
      </c>
      <c r="H755" s="110">
        <f>INDEX('اکسسوری حذف از لیست اصلی'!F:F,MATCH(K755,'اکسسوری حذف از لیست اصلی'!T:T,0))</f>
        <v>0</v>
      </c>
      <c r="I755" s="110">
        <f>INDEX('اکسسوری حذف از لیست اصلی'!G:G,MATCH(K755,'اکسسوری حذف از لیست اصلی'!T:T,0))</f>
        <v>0</v>
      </c>
      <c r="J755" s="74">
        <f>INDEX('اکسسوری حذف از لیست اصلی'!J:J,MATCH(K755,'اکسسوری حذف از لیست اصلی'!T:T,0))</f>
        <v>719000000</v>
      </c>
      <c r="K755" s="64">
        <v>424</v>
      </c>
    </row>
    <row r="756" spans="1:11" ht="27.75" customHeight="1">
      <c r="A756" s="60"/>
      <c r="B756" s="61"/>
      <c r="D756" s="79">
        <v>10</v>
      </c>
      <c r="E756" s="109">
        <f>INDEX('اکسسوری حذف از لیست اصلی'!C:C,MATCH(K756,'اکسسوری حذف از لیست اصلی'!T:T,0))</f>
        <v>9901060025</v>
      </c>
      <c r="F756" s="109" t="str">
        <f>INDEX('اکسسوری حذف از لیست اصلی'!D:D,MATCH(K756,'اکسسوری حذف از لیست اصلی'!T:T,0))</f>
        <v xml:space="preserve"> تابلو پاپیه ماشه دکوراتیو (150*100)TD-P025</v>
      </c>
      <c r="G756" s="110">
        <f>INDEX('اکسسوری حذف از لیست اصلی'!E:E,MATCH(K756,'اکسسوری حذف از لیست اصلی'!T:T,0))</f>
        <v>0</v>
      </c>
      <c r="H756" s="110">
        <f>INDEX('اکسسوری حذف از لیست اصلی'!F:F,MATCH(K756,'اکسسوری حذف از لیست اصلی'!T:T,0))</f>
        <v>0</v>
      </c>
      <c r="I756" s="110">
        <f>INDEX('اکسسوری حذف از لیست اصلی'!G:G,MATCH(K756,'اکسسوری حذف از لیست اصلی'!T:T,0))</f>
        <v>0</v>
      </c>
      <c r="J756" s="74">
        <f>INDEX('اکسسوری حذف از لیست اصلی'!J:J,MATCH(K756,'اکسسوری حذف از لیست اصلی'!T:T,0))</f>
        <v>660000000</v>
      </c>
      <c r="K756" s="64">
        <v>425</v>
      </c>
    </row>
    <row r="757" spans="1:11" ht="27.75" customHeight="1">
      <c r="A757" s="60"/>
      <c r="B757" s="61"/>
      <c r="D757" s="79">
        <v>11</v>
      </c>
      <c r="E757" s="109">
        <f>INDEX('اکسسوری حذف از لیست اصلی'!C:C,MATCH(K757,'اکسسوری حذف از لیست اصلی'!T:T,0))</f>
        <v>9901060026</v>
      </c>
      <c r="F757" s="109" t="str">
        <f>INDEX('اکسسوری حذف از لیست اصلی'!D:D,MATCH(K757,'اکسسوری حذف از لیست اصلی'!T:T,0))</f>
        <v xml:space="preserve"> تابلو پاپیه ماشه دکوراتیو (150*200)TD-P026</v>
      </c>
      <c r="G757" s="110">
        <f>INDEX('اکسسوری حذف از لیست اصلی'!E:E,MATCH(K757,'اکسسوری حذف از لیست اصلی'!T:T,0))</f>
        <v>0</v>
      </c>
      <c r="H757" s="110">
        <f>INDEX('اکسسوری حذف از لیست اصلی'!F:F,MATCH(K757,'اکسسوری حذف از لیست اصلی'!T:T,0))</f>
        <v>0</v>
      </c>
      <c r="I757" s="110">
        <f>INDEX('اکسسوری حذف از لیست اصلی'!G:G,MATCH(K757,'اکسسوری حذف از لیست اصلی'!T:T,0))</f>
        <v>0</v>
      </c>
      <c r="J757" s="74">
        <f>INDEX('اکسسوری حذف از لیست اصلی'!J:J,MATCH(K757,'اکسسوری حذف از لیست اصلی'!T:T,0))</f>
        <v>896000000</v>
      </c>
      <c r="K757" s="64">
        <v>426</v>
      </c>
    </row>
    <row r="758" spans="1:11" ht="23.25" customHeight="1">
      <c r="A758" s="60"/>
      <c r="B758" s="61"/>
      <c r="D758" s="28"/>
      <c r="E758" s="65"/>
      <c r="G758" s="28"/>
      <c r="H758" s="28"/>
      <c r="I758" s="28"/>
      <c r="J758" s="74"/>
    </row>
    <row r="759" spans="1:11" ht="24" customHeight="1">
      <c r="A759" s="60"/>
      <c r="B759" s="61"/>
      <c r="D759"/>
      <c r="E759"/>
      <c r="F759"/>
      <c r="G759"/>
      <c r="H759"/>
      <c r="I759"/>
      <c r="J759" s="74">
        <v>27</v>
      </c>
    </row>
    <row r="760" spans="1:11" ht="20.25" customHeight="1">
      <c r="A760" s="60"/>
      <c r="B760" s="61"/>
      <c r="C760" s="183"/>
      <c r="D760" s="184"/>
      <c r="E760" s="184"/>
      <c r="F760" s="184"/>
      <c r="G760" s="184"/>
      <c r="H760" s="184"/>
      <c r="I760" s="184"/>
      <c r="J760" s="184"/>
    </row>
    <row r="761" spans="1:11" ht="20.25" customHeight="1">
      <c r="A761" s="60"/>
      <c r="B761" s="61"/>
      <c r="C761" s="183"/>
      <c r="D761" s="184"/>
      <c r="E761" s="184"/>
      <c r="F761" s="184"/>
      <c r="G761" s="184"/>
      <c r="H761" s="184"/>
      <c r="I761" s="184"/>
      <c r="J761" s="184"/>
    </row>
    <row r="762" spans="1:11" ht="27.75">
      <c r="A762" s="70"/>
      <c r="B762" s="71"/>
      <c r="C762" s="72"/>
      <c r="D762" s="67" t="s">
        <v>1042</v>
      </c>
      <c r="J762" s="68" t="str">
        <f>$N$1</f>
        <v>1405/02/23</v>
      </c>
    </row>
    <row r="763" spans="1:11" ht="36">
      <c r="A763" s="70"/>
      <c r="B763" s="71"/>
      <c r="C763" s="77"/>
      <c r="D763" s="75" t="s">
        <v>0</v>
      </c>
      <c r="E763" s="69" t="s">
        <v>1</v>
      </c>
      <c r="F763" s="107" t="s">
        <v>448</v>
      </c>
      <c r="G763" s="108" t="s">
        <v>1141</v>
      </c>
      <c r="H763" s="108" t="s">
        <v>1142</v>
      </c>
      <c r="I763" s="108" t="s">
        <v>1143</v>
      </c>
      <c r="J763" s="68" t="s">
        <v>251</v>
      </c>
    </row>
    <row r="764" spans="1:11" ht="33.75" customHeight="1">
      <c r="A764" s="60"/>
      <c r="B764" s="61"/>
      <c r="D764" s="73">
        <v>1</v>
      </c>
      <c r="E764" s="109">
        <f>INDEX('اکسسوری حذف از لیست اصلی'!C:C,MATCH(K764,'اکسسوری حذف از لیست اصلی'!T:T,0))</f>
        <v>9901070002</v>
      </c>
      <c r="F764" s="109" t="str">
        <f>INDEX('اکسسوری حذف از لیست اصلی'!D:D,MATCH(K764,'اکسسوری حذف از لیست اصلی'!T:T,0))</f>
        <v>ساعت دیواری چوبی سبز آبی WC-W002</v>
      </c>
      <c r="G764" s="110" t="str">
        <f>INDEX('اکسسوری حذف از لیست اصلی'!E:E,MATCH(K764,'اکسسوری حذف از لیست اصلی'!T:T,0))</f>
        <v>30*30*3/5</v>
      </c>
      <c r="H764" s="110">
        <f>INDEX('اکسسوری حذف از لیست اصلی'!F:F,MATCH(K764,'اکسسوری حذف از لیست اصلی'!T:T,0))</f>
        <v>0</v>
      </c>
      <c r="I764" s="110">
        <f>INDEX('اکسسوری حذف از لیست اصلی'!G:G,MATCH(K764,'اکسسوری حذف از لیست اصلی'!T:T,0))</f>
        <v>0</v>
      </c>
      <c r="J764" s="74">
        <f>INDEX('اکسسوری حذف از لیست اصلی'!J:J,MATCH(K764,'اکسسوری حذف از لیست اصلی'!T:T,0))</f>
        <v>153000000</v>
      </c>
      <c r="K764" s="64">
        <v>427</v>
      </c>
    </row>
    <row r="765" spans="1:11" ht="33.75" customHeight="1">
      <c r="A765" s="60"/>
      <c r="B765" s="61"/>
      <c r="D765" s="73">
        <v>2</v>
      </c>
      <c r="E765" s="109">
        <f>INDEX('اکسسوری حذف از لیست اصلی'!C:C,MATCH(K765,'اکسسوری حذف از لیست اصلی'!T:T,0))</f>
        <v>9901070004</v>
      </c>
      <c r="F765" s="109" t="str">
        <f>INDEX('اکسسوری حذف از لیست اصلی'!D:D,MATCH(K765,'اکسسوری حذف از لیست اصلی'!T:T,0))</f>
        <v>ساعت رومیزی چوبی سبز آبی TC-W004</v>
      </c>
      <c r="G765" s="110" t="str">
        <f>INDEX('اکسسوری حذف از لیست اصلی'!E:E,MATCH(K765,'اکسسوری حذف از لیست اصلی'!T:T,0))</f>
        <v>13/5*13/5*3/5</v>
      </c>
      <c r="H765" s="110">
        <f>INDEX('اکسسوری حذف از لیست اصلی'!F:F,MATCH(K765,'اکسسوری حذف از لیست اصلی'!T:T,0))</f>
        <v>0</v>
      </c>
      <c r="I765" s="110">
        <f>INDEX('اکسسوری حذف از لیست اصلی'!G:G,MATCH(K765,'اکسسوری حذف از لیست اصلی'!T:T,0))</f>
        <v>0</v>
      </c>
      <c r="J765" s="74">
        <f>INDEX('اکسسوری حذف از لیست اصلی'!J:J,MATCH(K765,'اکسسوری حذف از لیست اصلی'!T:T,0))</f>
        <v>111000000</v>
      </c>
      <c r="K765" s="64">
        <v>428</v>
      </c>
    </row>
    <row r="766" spans="1:11" ht="33.75" customHeight="1">
      <c r="A766" s="60"/>
      <c r="B766" s="61"/>
      <c r="D766" s="73">
        <v>3</v>
      </c>
      <c r="E766" s="109">
        <f>INDEX('اکسسوری حذف از لیست اصلی'!C:C,MATCH(K766,'اکسسوری حذف از لیست اصلی'!T:T,0))</f>
        <v>9901070006</v>
      </c>
      <c r="F766" s="109" t="str">
        <f>INDEX('اکسسوری حذف از لیست اصلی'!D:D,MATCH(K766,'اکسسوری حذف از لیست اصلی'!T:T,0))</f>
        <v>ساعت دیواری چوبی خودرنگ WC-W006</v>
      </c>
      <c r="G766" s="110" t="str">
        <f>INDEX('اکسسوری حذف از لیست اصلی'!E:E,MATCH(K766,'اکسسوری حذف از لیست اصلی'!T:T,0))</f>
        <v>28*28*3/5</v>
      </c>
      <c r="H766" s="110">
        <f>INDEX('اکسسوری حذف از لیست اصلی'!F:F,MATCH(K766,'اکسسوری حذف از لیست اصلی'!T:T,0))</f>
        <v>0</v>
      </c>
      <c r="I766" s="110">
        <f>INDEX('اکسسوری حذف از لیست اصلی'!G:G,MATCH(K766,'اکسسوری حذف از لیست اصلی'!T:T,0))</f>
        <v>0</v>
      </c>
      <c r="J766" s="74">
        <f>INDEX('اکسسوری حذف از لیست اصلی'!J:J,MATCH(K766,'اکسسوری حذف از لیست اصلی'!T:T,0))</f>
        <v>130000000</v>
      </c>
      <c r="K766" s="64">
        <v>429</v>
      </c>
    </row>
    <row r="767" spans="1:11" ht="33.75" customHeight="1">
      <c r="A767" s="60"/>
      <c r="B767" s="61"/>
      <c r="D767" s="73">
        <v>4</v>
      </c>
      <c r="E767" s="109">
        <f>INDEX('اکسسوری حذف از لیست اصلی'!C:C,MATCH(K767,'اکسسوری حذف از لیست اصلی'!T:T,0))</f>
        <v>9901070008</v>
      </c>
      <c r="F767" s="109" t="str">
        <f>INDEX('اکسسوری حذف از لیست اصلی'!D:D,MATCH(K767,'اکسسوری حذف از لیست اصلی'!T:T,0))</f>
        <v>ساعت رومیزی چوبی خود رنگ TC-W008</v>
      </c>
      <c r="G767" s="110" t="str">
        <f>INDEX('اکسسوری حذف از لیست اصلی'!E:E,MATCH(K767,'اکسسوری حذف از لیست اصلی'!T:T,0))</f>
        <v>13*13*3/5</v>
      </c>
      <c r="H767" s="110">
        <f>INDEX('اکسسوری حذف از لیست اصلی'!F:F,MATCH(K767,'اکسسوری حذف از لیست اصلی'!T:T,0))</f>
        <v>0</v>
      </c>
      <c r="I767" s="110">
        <f>INDEX('اکسسوری حذف از لیست اصلی'!G:G,MATCH(K767,'اکسسوری حذف از لیست اصلی'!T:T,0))</f>
        <v>0</v>
      </c>
      <c r="J767" s="74">
        <f>INDEX('اکسسوری حذف از لیست اصلی'!J:J,MATCH(K767,'اکسسوری حذف از لیست اصلی'!T:T,0))</f>
        <v>111000000</v>
      </c>
      <c r="K767" s="64">
        <v>430</v>
      </c>
    </row>
    <row r="768" spans="1:11" ht="43.5" customHeight="1">
      <c r="A768" s="60"/>
      <c r="B768" s="61"/>
      <c r="D768" s="65"/>
      <c r="E768" s="65"/>
      <c r="G768" s="28"/>
      <c r="H768" s="28"/>
      <c r="I768" s="28"/>
      <c r="J768" s="74"/>
    </row>
    <row r="769" spans="1:11">
      <c r="A769" s="60"/>
      <c r="B769" s="61"/>
      <c r="J769" s="74"/>
    </row>
    <row r="770" spans="1:11" ht="27.75">
      <c r="A770" s="70"/>
      <c r="B770" s="71"/>
      <c r="C770" s="72"/>
      <c r="D770" s="67" t="s">
        <v>1045</v>
      </c>
      <c r="J770" s="68"/>
    </row>
    <row r="771" spans="1:11" ht="36">
      <c r="A771" s="70"/>
      <c r="B771" s="71"/>
      <c r="C771" s="77"/>
      <c r="D771" s="75" t="s">
        <v>0</v>
      </c>
      <c r="E771" s="69" t="s">
        <v>1</v>
      </c>
      <c r="F771" s="107" t="s">
        <v>448</v>
      </c>
      <c r="G771" s="108" t="s">
        <v>1141</v>
      </c>
      <c r="H771" s="108" t="s">
        <v>1142</v>
      </c>
      <c r="I771" s="108" t="s">
        <v>1143</v>
      </c>
      <c r="J771" s="68" t="s">
        <v>251</v>
      </c>
    </row>
    <row r="772" spans="1:11" ht="32.25" customHeight="1">
      <c r="A772" s="60"/>
      <c r="B772" s="61"/>
      <c r="D772" s="73">
        <v>1</v>
      </c>
      <c r="E772" s="109">
        <f>INDEX('اکسسوری حذف از لیست اصلی'!C:C,MATCH(K772,'اکسسوری حذف از لیست اصلی'!T:T,0))</f>
        <v>9901030250</v>
      </c>
      <c r="F772" s="109" t="str">
        <f>INDEX('اکسسوری حذف از لیست اصلی'!D:D,MATCH(K772,'اکسسوری حذف از لیست اصلی'!T:T,0))</f>
        <v>آینه استیل  طلایی DM-ST250</v>
      </c>
      <c r="G772" s="110" t="str">
        <f>INDEX('اکسسوری حذف از لیست اصلی'!E:E,MATCH(K772,'اکسسوری حذف از لیست اصلی'!T:T,0))</f>
        <v>-</v>
      </c>
      <c r="H772" s="110">
        <f>INDEX('اکسسوری حذف از لیست اصلی'!F:F,MATCH(K772,'اکسسوری حذف از لیست اصلی'!T:T,0))</f>
        <v>0</v>
      </c>
      <c r="I772" s="110">
        <f>INDEX('اکسسوری حذف از لیست اصلی'!G:G,MATCH(K772,'اکسسوری حذف از لیست اصلی'!T:T,0))</f>
        <v>0</v>
      </c>
      <c r="J772" s="74">
        <f>INDEX('اکسسوری حذف از لیست اصلی'!J:J,MATCH(K772,'اکسسوری حذف از لیست اصلی'!T:T,0))</f>
        <v>712000000</v>
      </c>
      <c r="K772" s="64">
        <v>431</v>
      </c>
    </row>
    <row r="773" spans="1:11" ht="32.25" customHeight="1">
      <c r="A773" s="60"/>
      <c r="B773" s="61"/>
      <c r="C773" s="78"/>
      <c r="D773" s="79">
        <v>2</v>
      </c>
      <c r="E773" s="109">
        <f>INDEX('اکسسوری حذف از لیست اصلی'!C:C,MATCH(K773,'اکسسوری حذف از لیست اصلی'!T:T,0))</f>
        <v>9901030251</v>
      </c>
      <c r="F773" s="109" t="str">
        <f>INDEX('اکسسوری حذف از لیست اصلی'!D:D,MATCH(K773,'اکسسوری حذف از لیست اصلی'!T:T,0))</f>
        <v>آینه فلزی مشکی DM-ST251</v>
      </c>
      <c r="G773" s="110" t="str">
        <f>INDEX('اکسسوری حذف از لیست اصلی'!E:E,MATCH(K773,'اکسسوری حذف از لیست اصلی'!T:T,0))</f>
        <v>-</v>
      </c>
      <c r="H773" s="110">
        <f>INDEX('اکسسوری حذف از لیست اصلی'!F:F,MATCH(K773,'اکسسوری حذف از لیست اصلی'!T:T,0))</f>
        <v>0</v>
      </c>
      <c r="I773" s="110">
        <f>INDEX('اکسسوری حذف از لیست اصلی'!G:G,MATCH(K773,'اکسسوری حذف از لیست اصلی'!T:T,0))</f>
        <v>0</v>
      </c>
      <c r="J773" s="74">
        <f>INDEX('اکسسوری حذف از لیست اصلی'!J:J,MATCH(K773,'اکسسوری حذف از لیست اصلی'!T:T,0))</f>
        <v>387000000</v>
      </c>
      <c r="K773" s="64">
        <v>432</v>
      </c>
    </row>
    <row r="774" spans="1:11" ht="32.25" customHeight="1">
      <c r="A774" s="60"/>
      <c r="B774" s="61"/>
      <c r="D774" s="79">
        <v>3</v>
      </c>
      <c r="E774" s="109">
        <f>INDEX('اکسسوری حذف از لیست اصلی'!C:C,MATCH(K774,'اکسسوری حذف از لیست اصلی'!T:T,0))</f>
        <v>9901030391</v>
      </c>
      <c r="F774" s="109" t="str">
        <f>INDEX('اکسسوری حذف از لیست اصلی'!D:D,MATCH(K774,'اکسسوری حذف از لیست اصلی'!T:T,0))</f>
        <v>آینه قدی مستطیل چوبی پتینه وایت واشDM-W391</v>
      </c>
      <c r="G774" s="110" t="str">
        <f>INDEX('اکسسوری حذف از لیست اصلی'!E:E,MATCH(K774,'اکسسوری حذف از لیست اصلی'!T:T,0))</f>
        <v>169*55*57</v>
      </c>
      <c r="H774" s="110">
        <f>INDEX('اکسسوری حذف از لیست اصلی'!F:F,MATCH(K774,'اکسسوری حذف از لیست اصلی'!T:T,0))</f>
        <v>0</v>
      </c>
      <c r="I774" s="110">
        <f>INDEX('اکسسوری حذف از لیست اصلی'!G:G,MATCH(K774,'اکسسوری حذف از لیست اصلی'!T:T,0))</f>
        <v>0</v>
      </c>
      <c r="J774" s="74">
        <f>INDEX('اکسسوری حذف از لیست اصلی'!J:J,MATCH(K774,'اکسسوری حذف از لیست اصلی'!T:T,0))</f>
        <v>1104000000</v>
      </c>
      <c r="K774" s="64">
        <v>433</v>
      </c>
    </row>
    <row r="775" spans="1:11" ht="32.25" customHeight="1">
      <c r="A775" s="60"/>
      <c r="B775" s="61"/>
      <c r="D775" s="79">
        <v>4</v>
      </c>
      <c r="E775" s="109">
        <f>INDEX('اکسسوری حذف از لیست اصلی'!C:C,MATCH(K775,'اکسسوری حذف از لیست اصلی'!T:T,0))</f>
        <v>9901030393</v>
      </c>
      <c r="F775" s="109" t="str">
        <f>INDEX('اکسسوری حذف از لیست اصلی'!D:D,MATCH(K775,'اکسسوری حذف از لیست اصلی'!T:T,0))</f>
        <v>آینه قدی مستطیل چوبی دودی DM-W393</v>
      </c>
      <c r="G775" s="110" t="str">
        <f>INDEX('اکسسوری حذف از لیست اصلی'!E:E,MATCH(K775,'اکسسوری حذف از لیست اصلی'!T:T,0))</f>
        <v>169*55*57</v>
      </c>
      <c r="H775" s="110">
        <f>INDEX('اکسسوری حذف از لیست اصلی'!F:F,MATCH(K775,'اکسسوری حذف از لیست اصلی'!T:T,0))</f>
        <v>0</v>
      </c>
      <c r="I775" s="110">
        <f>INDEX('اکسسوری حذف از لیست اصلی'!G:G,MATCH(K775,'اکسسوری حذف از لیست اصلی'!T:T,0))</f>
        <v>0</v>
      </c>
      <c r="J775" s="74">
        <f>INDEX('اکسسوری حذف از لیست اصلی'!J:J,MATCH(K775,'اکسسوری حذف از لیست اصلی'!T:T,0))</f>
        <v>1104000000</v>
      </c>
      <c r="K775" s="64">
        <v>434</v>
      </c>
    </row>
    <row r="776" spans="1:11" ht="32.25" customHeight="1">
      <c r="A776" s="60"/>
      <c r="B776" s="61"/>
      <c r="D776" s="73">
        <v>5</v>
      </c>
      <c r="E776" s="109">
        <f>INDEX('اکسسوری حذف از لیست اصلی'!C:C,MATCH(K776,'اکسسوری حذف از لیست اصلی'!T:T,0))</f>
        <v>9901030394</v>
      </c>
      <c r="F776" s="109" t="str">
        <f>INDEX('اکسسوری حذف از لیست اصلی'!D:D,MATCH(K776,'اکسسوری حذف از لیست اصلی'!T:T,0))</f>
        <v>آینه قدی مستطیل چوبی مشکی DM-W394</v>
      </c>
      <c r="G776" s="110" t="str">
        <f>INDEX('اکسسوری حذف از لیست اصلی'!E:E,MATCH(K776,'اکسسوری حذف از لیست اصلی'!T:T,0))</f>
        <v>169*55*57</v>
      </c>
      <c r="H776" s="110">
        <f>INDEX('اکسسوری حذف از لیست اصلی'!F:F,MATCH(K776,'اکسسوری حذف از لیست اصلی'!T:T,0))</f>
        <v>0</v>
      </c>
      <c r="I776" s="110">
        <f>INDEX('اکسسوری حذف از لیست اصلی'!G:G,MATCH(K776,'اکسسوری حذف از لیست اصلی'!T:T,0))</f>
        <v>0</v>
      </c>
      <c r="J776" s="74">
        <f>INDEX('اکسسوری حذف از لیست اصلی'!J:J,MATCH(K776,'اکسسوری حذف از لیست اصلی'!T:T,0))</f>
        <v>1104000000</v>
      </c>
      <c r="K776" s="64">
        <v>435</v>
      </c>
    </row>
    <row r="777" spans="1:11" ht="32.25" customHeight="1">
      <c r="A777" s="60"/>
      <c r="B777" s="61"/>
      <c r="D777" s="79">
        <v>6</v>
      </c>
      <c r="E777" s="109">
        <f>INDEX('اکسسوری حذف از لیست اصلی'!C:C,MATCH(K777,'اکسسوری حذف از لیست اصلی'!T:T,0))</f>
        <v>9901030426</v>
      </c>
      <c r="F777" s="109" t="str">
        <f>INDEX('اکسسوری حذف از لیست اصلی'!D:D,MATCH(K777,'اکسسوری حذف از لیست اصلی'!T:T,0))</f>
        <v>آینه سه تکه استیل رز گلدDM-ST426</v>
      </c>
      <c r="G777" s="110" t="str">
        <f>INDEX('اکسسوری حذف از لیست اصلی'!E:E,MATCH(K777,'اکسسوری حذف از لیست اصلی'!T:T,0))</f>
        <v>-</v>
      </c>
      <c r="H777" s="110">
        <f>INDEX('اکسسوری حذف از لیست اصلی'!F:F,MATCH(K777,'اکسسوری حذف از لیست اصلی'!T:T,0))</f>
        <v>0</v>
      </c>
      <c r="I777" s="110">
        <f>INDEX('اکسسوری حذف از لیست اصلی'!G:G,MATCH(K777,'اکسسوری حذف از لیست اصلی'!T:T,0))</f>
        <v>0</v>
      </c>
      <c r="J777" s="74">
        <f>INDEX('اکسسوری حذف از لیست اصلی'!J:J,MATCH(K777,'اکسسوری حذف از لیست اصلی'!T:T,0))</f>
        <v>739000000</v>
      </c>
      <c r="K777" s="64">
        <v>436</v>
      </c>
    </row>
    <row r="778" spans="1:11" ht="32.25" customHeight="1">
      <c r="A778" s="60"/>
      <c r="B778" s="61"/>
      <c r="D778" s="79">
        <v>7</v>
      </c>
      <c r="E778" s="109">
        <f>INDEX('اکسسوری حذف از لیست اصلی'!C:C,MATCH(K778,'اکسسوری حذف از لیست اصلی'!T:T,0))</f>
        <v>9901030434</v>
      </c>
      <c r="F778" s="109" t="str">
        <f>INDEX('اکسسوری حذف از لیست اصلی'!D:D,MATCH(K778,'اکسسوری حذف از لیست اصلی'!T:T,0))</f>
        <v>آینه قدی بیضی چوبی پتینه وایت واشDM-W434</v>
      </c>
      <c r="G778" s="110" t="str">
        <f>INDEX('اکسسوری حذف از لیست اصلی'!E:E,MATCH(K778,'اکسسوری حذف از لیست اصلی'!T:T,0))</f>
        <v>-</v>
      </c>
      <c r="H778" s="110">
        <f>INDEX('اکسسوری حذف از لیست اصلی'!F:F,MATCH(K778,'اکسسوری حذف از لیست اصلی'!T:T,0))</f>
        <v>0</v>
      </c>
      <c r="I778" s="110">
        <f>INDEX('اکسسوری حذف از لیست اصلی'!G:G,MATCH(K778,'اکسسوری حذف از لیست اصلی'!T:T,0))</f>
        <v>0</v>
      </c>
      <c r="J778" s="74">
        <f>INDEX('اکسسوری حذف از لیست اصلی'!J:J,MATCH(K778,'اکسسوری حذف از لیست اصلی'!T:T,0))</f>
        <v>1042000000</v>
      </c>
      <c r="K778" s="64">
        <v>437</v>
      </c>
    </row>
    <row r="779" spans="1:11" ht="32.25" customHeight="1">
      <c r="A779" s="60"/>
      <c r="B779" s="61"/>
      <c r="D779" s="79">
        <v>8</v>
      </c>
      <c r="E779" s="109">
        <f>INDEX('اکسسوری حذف از لیست اصلی'!C:C,MATCH(K779,'اکسسوری حذف از لیست اصلی'!T:T,0))</f>
        <v>9901030437</v>
      </c>
      <c r="F779" s="109" t="str">
        <f>INDEX('اکسسوری حذف از لیست اصلی'!D:D,MATCH(K779,'اکسسوری حذف از لیست اصلی'!T:T,0))</f>
        <v>آینه قدی بیضی چوبی مشکی DM-W437</v>
      </c>
      <c r="G779" s="110" t="str">
        <f>INDEX('اکسسوری حذف از لیست اصلی'!E:E,MATCH(K779,'اکسسوری حذف از لیست اصلی'!T:T,0))</f>
        <v>-</v>
      </c>
      <c r="H779" s="110">
        <f>INDEX('اکسسوری حذف از لیست اصلی'!F:F,MATCH(K779,'اکسسوری حذف از لیست اصلی'!T:T,0))</f>
        <v>0</v>
      </c>
      <c r="I779" s="110">
        <f>INDEX('اکسسوری حذف از لیست اصلی'!G:G,MATCH(K779,'اکسسوری حذف از لیست اصلی'!T:T,0))</f>
        <v>0</v>
      </c>
      <c r="J779" s="74">
        <f>INDEX('اکسسوری حذف از لیست اصلی'!J:J,MATCH(K779,'اکسسوری حذف از لیست اصلی'!T:T,0))</f>
        <v>1042000000</v>
      </c>
      <c r="K779" s="64">
        <v>438</v>
      </c>
    </row>
    <row r="780" spans="1:11" ht="32.25" customHeight="1">
      <c r="A780" s="60"/>
      <c r="B780" s="61"/>
      <c r="D780" s="73">
        <v>9</v>
      </c>
      <c r="E780" s="109">
        <f>INDEX('اکسسوری حذف از لیست اصلی'!C:C,MATCH(K780,'اکسسوری حذف از لیست اصلی'!T:T,0))</f>
        <v>9901030438</v>
      </c>
      <c r="F780" s="109" t="str">
        <f>INDEX('اکسسوری حذف از لیست اصلی'!D:D,MATCH(K780,'اکسسوری حذف از لیست اصلی'!T:T,0))</f>
        <v>آینه قدی دفرمه فلزی طلایی DM-M438</v>
      </c>
      <c r="G780" s="110" t="str">
        <f>INDEX('اکسسوری حذف از لیست اصلی'!E:E,MATCH(K780,'اکسسوری حذف از لیست اصلی'!T:T,0))</f>
        <v>-</v>
      </c>
      <c r="H780" s="110">
        <f>INDEX('اکسسوری حذف از لیست اصلی'!F:F,MATCH(K780,'اکسسوری حذف از لیست اصلی'!T:T,0))</f>
        <v>0</v>
      </c>
      <c r="I780" s="110">
        <f>INDEX('اکسسوری حذف از لیست اصلی'!G:G,MATCH(K780,'اکسسوری حذف از لیست اصلی'!T:T,0))</f>
        <v>0</v>
      </c>
      <c r="J780" s="74">
        <f>INDEX('اکسسوری حذف از لیست اصلی'!J:J,MATCH(K780,'اکسسوری حذف از لیست اصلی'!T:T,0))</f>
        <v>627000000</v>
      </c>
      <c r="K780" s="64">
        <v>439</v>
      </c>
    </row>
    <row r="781" spans="1:11" ht="22.5" customHeight="1">
      <c r="A781" s="60"/>
      <c r="B781" s="61"/>
      <c r="D781"/>
      <c r="E781"/>
      <c r="F781"/>
      <c r="G781"/>
      <c r="H781"/>
      <c r="I781"/>
      <c r="J781"/>
    </row>
    <row r="782" spans="1:11">
      <c r="A782" s="60"/>
      <c r="B782" s="61"/>
      <c r="J782" s="74">
        <v>28</v>
      </c>
    </row>
    <row r="783" spans="1:11" ht="20.25" customHeight="1">
      <c r="A783" s="60"/>
      <c r="B783" s="61"/>
      <c r="C783" s="183"/>
      <c r="D783" s="184"/>
      <c r="E783" s="184"/>
      <c r="F783" s="184"/>
      <c r="G783" s="184"/>
      <c r="H783" s="184"/>
      <c r="I783" s="184"/>
      <c r="J783" s="184"/>
    </row>
    <row r="784" spans="1:11" ht="20.25" customHeight="1">
      <c r="A784" s="60"/>
      <c r="B784" s="61"/>
      <c r="C784" s="183"/>
      <c r="D784" s="184"/>
      <c r="E784" s="184"/>
      <c r="F784" s="184"/>
      <c r="G784" s="184"/>
      <c r="H784" s="184"/>
      <c r="I784" s="184"/>
      <c r="J784" s="184"/>
    </row>
    <row r="785" spans="1:11" ht="27.75">
      <c r="A785" s="70"/>
      <c r="B785" s="71"/>
      <c r="C785" s="72"/>
      <c r="D785" s="67" t="s">
        <v>1050</v>
      </c>
      <c r="J785" s="68" t="str">
        <f>$N$1</f>
        <v>1405/02/23</v>
      </c>
    </row>
    <row r="786" spans="1:11" ht="36">
      <c r="A786" s="70"/>
      <c r="B786" s="71"/>
      <c r="C786" s="77"/>
      <c r="D786" s="75" t="s">
        <v>0</v>
      </c>
      <c r="E786" s="69" t="s">
        <v>1</v>
      </c>
      <c r="F786" s="107" t="s">
        <v>448</v>
      </c>
      <c r="G786" s="108" t="s">
        <v>1141</v>
      </c>
      <c r="H786" s="108" t="s">
        <v>1142</v>
      </c>
      <c r="I786" s="108" t="s">
        <v>1143</v>
      </c>
      <c r="J786" s="68" t="s">
        <v>251</v>
      </c>
    </row>
    <row r="787" spans="1:11" ht="42" customHeight="1">
      <c r="A787" s="60"/>
      <c r="B787" s="61"/>
      <c r="D787" s="73">
        <v>1</v>
      </c>
      <c r="E787" s="109">
        <f>INDEX('اکسسوری حذف از لیست اصلی'!C:C,MATCH(K787,'اکسسوری حذف از لیست اصلی'!T:T,0))</f>
        <v>9901030014</v>
      </c>
      <c r="F787" s="109" t="str">
        <f>INDEX('اکسسوری حذف از لیست اصلی'!D:D,MATCH(K787,'اکسسوری حذف از لیست اصلی'!T:T,0))</f>
        <v>استند اسب DS-R014</v>
      </c>
      <c r="G787" s="110" t="str">
        <f>INDEX('اکسسوری حذف از لیست اصلی'!E:E,MATCH(K787,'اکسسوری حذف از لیست اصلی'!T:T,0))</f>
        <v>-</v>
      </c>
      <c r="H787" s="110">
        <f>INDEX('اکسسوری حذف از لیست اصلی'!F:F,MATCH(K787,'اکسسوری حذف از لیست اصلی'!T:T,0))</f>
        <v>0</v>
      </c>
      <c r="I787" s="110">
        <f>INDEX('اکسسوری حذف از لیست اصلی'!G:G,MATCH(K787,'اکسسوری حذف از لیست اصلی'!T:T,0))</f>
        <v>0</v>
      </c>
      <c r="J787" s="74">
        <f>INDEX('اکسسوری حذف از لیست اصلی'!J:J,MATCH(K787,'اکسسوری حذف از لیست اصلی'!T:T,0))</f>
        <v>98000000</v>
      </c>
      <c r="K787" s="64">
        <v>440</v>
      </c>
    </row>
    <row r="788" spans="1:11" ht="42" customHeight="1">
      <c r="A788" s="60"/>
      <c r="B788" s="61"/>
      <c r="C788" s="78"/>
      <c r="D788" s="79">
        <v>2</v>
      </c>
      <c r="E788" s="109">
        <f>INDEX('اکسسوری حذف از لیست اصلی'!C:C,MATCH(K788,'اکسسوری حذف از لیست اصلی'!T:T,0))</f>
        <v>9901030015</v>
      </c>
      <c r="F788" s="109" t="str">
        <f>INDEX('اکسسوری حذف از لیست اصلی'!D:D,MATCH(K788,'اکسسوری حذف از لیست اصلی'!T:T,0))</f>
        <v>استند زِئوس DS-R015</v>
      </c>
      <c r="G788" s="110" t="str">
        <f>INDEX('اکسسوری حذف از لیست اصلی'!E:E,MATCH(K788,'اکسسوری حذف از لیست اصلی'!T:T,0))</f>
        <v>-</v>
      </c>
      <c r="H788" s="110">
        <f>INDEX('اکسسوری حذف از لیست اصلی'!F:F,MATCH(K788,'اکسسوری حذف از لیست اصلی'!T:T,0))</f>
        <v>0</v>
      </c>
      <c r="I788" s="110">
        <f>INDEX('اکسسوری حذف از لیست اصلی'!G:G,MATCH(K788,'اکسسوری حذف از لیست اصلی'!T:T,0))</f>
        <v>0</v>
      </c>
      <c r="J788" s="74">
        <f>INDEX('اکسسوری حذف از لیست اصلی'!J:J,MATCH(K788,'اکسسوری حذف از لیست اصلی'!T:T,0))</f>
        <v>98000000</v>
      </c>
      <c r="K788" s="64">
        <v>441</v>
      </c>
    </row>
    <row r="789" spans="1:11" ht="42" customHeight="1">
      <c r="A789" s="60"/>
      <c r="B789" s="61"/>
      <c r="D789" s="79">
        <v>3</v>
      </c>
      <c r="E789" s="109">
        <f>INDEX('اکسسوری حذف از لیست اصلی'!C:C,MATCH(K789,'اکسسوری حذف از لیست اصلی'!T:T,0))</f>
        <v>9901030016</v>
      </c>
      <c r="F789" s="109" t="str">
        <f>INDEX('اکسسوری حذف از لیست اصلی'!D:D,MATCH(K789,'اکسسوری حذف از لیست اصلی'!T:T,0))</f>
        <v>استند کوین بزرگ DS-R016</v>
      </c>
      <c r="G789" s="110" t="str">
        <f>INDEX('اکسسوری حذف از لیست اصلی'!E:E,MATCH(K789,'اکسسوری حذف از لیست اصلی'!T:T,0))</f>
        <v>-</v>
      </c>
      <c r="H789" s="110">
        <f>INDEX('اکسسوری حذف از لیست اصلی'!F:F,MATCH(K789,'اکسسوری حذف از لیست اصلی'!T:T,0))</f>
        <v>0</v>
      </c>
      <c r="I789" s="110">
        <f>INDEX('اکسسوری حذف از لیست اصلی'!G:G,MATCH(K789,'اکسسوری حذف از لیست اصلی'!T:T,0))</f>
        <v>0</v>
      </c>
      <c r="J789" s="74">
        <f>INDEX('اکسسوری حذف از لیست اصلی'!J:J,MATCH(K789,'اکسسوری حذف از لیست اصلی'!T:T,0))</f>
        <v>156000000</v>
      </c>
      <c r="K789" s="64">
        <v>442</v>
      </c>
    </row>
    <row r="790" spans="1:11" ht="42" customHeight="1">
      <c r="A790" s="60"/>
      <c r="B790" s="61"/>
      <c r="D790" s="73">
        <v>4</v>
      </c>
      <c r="E790" s="109">
        <f>INDEX('اکسسوری حذف از لیست اصلی'!C:C,MATCH(K790,'اکسسوری حذف از لیست اصلی'!T:T,0))</f>
        <v>9901030017</v>
      </c>
      <c r="F790" s="109" t="str">
        <f>INDEX('اکسسوری حذف از لیست اصلی'!D:D,MATCH(K790,'اکسسوری حذف از لیست اصلی'!T:T,0))</f>
        <v>استند کوین کوچک DS-R017</v>
      </c>
      <c r="G790" s="110" t="str">
        <f>INDEX('اکسسوری حذف از لیست اصلی'!E:E,MATCH(K790,'اکسسوری حذف از لیست اصلی'!T:T,0))</f>
        <v>-</v>
      </c>
      <c r="H790" s="110">
        <f>INDEX('اکسسوری حذف از لیست اصلی'!F:F,MATCH(K790,'اکسسوری حذف از لیست اصلی'!T:T,0))</f>
        <v>0</v>
      </c>
      <c r="I790" s="110">
        <f>INDEX('اکسسوری حذف از لیست اصلی'!G:G,MATCH(K790,'اکسسوری حذف از لیست اصلی'!T:T,0))</f>
        <v>0</v>
      </c>
      <c r="J790" s="74">
        <f>INDEX('اکسسوری حذف از لیست اصلی'!J:J,MATCH(K790,'اکسسوری حذف از لیست اصلی'!T:T,0))</f>
        <v>144000000</v>
      </c>
      <c r="K790" s="64">
        <v>443</v>
      </c>
    </row>
    <row r="791" spans="1:11" ht="42" customHeight="1">
      <c r="A791" s="60"/>
      <c r="B791" s="61"/>
      <c r="D791" s="79">
        <v>5</v>
      </c>
      <c r="E791" s="109">
        <f>INDEX('اکسسوری حذف از لیست اصلی'!C:C,MATCH(K791,'اکسسوری حذف از لیست اصلی'!T:T,0))</f>
        <v>9901030021</v>
      </c>
      <c r="F791" s="109" t="str">
        <f>INDEX('اکسسوری حذف از لیست اصلی'!D:D,MATCH(K791,'اکسسوری حذف از لیست اصلی'!T:T,0))</f>
        <v>استند درخت آلومنیومی نقره ای DS-A021</v>
      </c>
      <c r="G791" s="110" t="str">
        <f>INDEX('اکسسوری حذف از لیست اصلی'!E:E,MATCH(K791,'اکسسوری حذف از لیست اصلی'!T:T,0))</f>
        <v>-</v>
      </c>
      <c r="H791" s="110">
        <f>INDEX('اکسسوری حذف از لیست اصلی'!F:F,MATCH(K791,'اکسسوری حذف از لیست اصلی'!T:T,0))</f>
        <v>0</v>
      </c>
      <c r="I791" s="110">
        <f>INDEX('اکسسوری حذف از لیست اصلی'!G:G,MATCH(K791,'اکسسوری حذف از لیست اصلی'!T:T,0))</f>
        <v>0</v>
      </c>
      <c r="J791" s="74">
        <f>INDEX('اکسسوری حذف از لیست اصلی'!J:J,MATCH(K791,'اکسسوری حذف از لیست اصلی'!T:T,0))</f>
        <v>104000000</v>
      </c>
      <c r="K791" s="64">
        <v>444</v>
      </c>
    </row>
    <row r="792" spans="1:11" ht="42" customHeight="1">
      <c r="A792" s="60"/>
      <c r="B792" s="61"/>
      <c r="D792" s="79">
        <v>6</v>
      </c>
      <c r="E792" s="109">
        <f>INDEX('اکسسوری حذف از لیست اصلی'!C:C,MATCH(K792,'اکسسوری حذف از لیست اصلی'!T:T,0))</f>
        <v>9901030195</v>
      </c>
      <c r="F792" s="109" t="str">
        <f>INDEX('اکسسوری حذف از لیست اصلی'!D:D,MATCH(K792,'اکسسوری حذف از لیست اصلی'!T:T,0))</f>
        <v>استند فلزی مشکی DS-M195</v>
      </c>
      <c r="G792" s="110" t="str">
        <f>INDEX('اکسسوری حذف از لیست اصلی'!E:E,MATCH(K792,'اکسسوری حذف از لیست اصلی'!T:T,0))</f>
        <v>-</v>
      </c>
      <c r="H792" s="110">
        <f>INDEX('اکسسوری حذف از لیست اصلی'!F:F,MATCH(K792,'اکسسوری حذف از لیست اصلی'!T:T,0))</f>
        <v>0</v>
      </c>
      <c r="I792" s="110">
        <f>INDEX('اکسسوری حذف از لیست اصلی'!G:G,MATCH(K792,'اکسسوری حذف از لیست اصلی'!T:T,0))</f>
        <v>0</v>
      </c>
      <c r="J792" s="74">
        <f>INDEX('اکسسوری حذف از لیست اصلی'!J:J,MATCH(K792,'اکسسوری حذف از لیست اصلی'!T:T,0))</f>
        <v>221000000</v>
      </c>
      <c r="K792" s="64">
        <v>445</v>
      </c>
    </row>
    <row r="793" spans="1:11" ht="42" customHeight="1">
      <c r="A793" s="60"/>
      <c r="B793" s="61"/>
      <c r="D793" s="73">
        <v>7</v>
      </c>
      <c r="E793" s="109">
        <f>INDEX('اکسسوری حذف از لیست اصلی'!C:C,MATCH(K793,'اکسسوری حذف از لیست اصلی'!T:T,0))</f>
        <v>9901030197</v>
      </c>
      <c r="F793" s="109" t="str">
        <f>INDEX('اکسسوری حذف از لیست اصلی'!D:D,MATCH(K793,'اکسسوری حذف از لیست اصلی'!T:T,0))</f>
        <v>استند فلزی مشکی DS-M197</v>
      </c>
      <c r="G793" s="110" t="str">
        <f>INDEX('اکسسوری حذف از لیست اصلی'!E:E,MATCH(K793,'اکسسوری حذف از لیست اصلی'!T:T,0))</f>
        <v>-</v>
      </c>
      <c r="H793" s="110">
        <f>INDEX('اکسسوری حذف از لیست اصلی'!F:F,MATCH(K793,'اکسسوری حذف از لیست اصلی'!T:T,0))</f>
        <v>0</v>
      </c>
      <c r="I793" s="110">
        <f>INDEX('اکسسوری حذف از لیست اصلی'!G:G,MATCH(K793,'اکسسوری حذف از لیست اصلی'!T:T,0))</f>
        <v>0</v>
      </c>
      <c r="J793" s="74">
        <f>INDEX('اکسسوری حذف از لیست اصلی'!J:J,MATCH(K793,'اکسسوری حذف از لیست اصلی'!T:T,0))</f>
        <v>377000000</v>
      </c>
      <c r="K793" s="64">
        <v>446</v>
      </c>
    </row>
    <row r="794" spans="1:11" ht="42" customHeight="1">
      <c r="A794" s="60"/>
      <c r="B794" s="61"/>
      <c r="D794" s="79">
        <v>8</v>
      </c>
      <c r="E794" s="109">
        <f>INDEX('اکسسوری حذف از لیست اصلی'!C:C,MATCH(K794,'اکسسوری حذف از لیست اصلی'!T:T,0))</f>
        <v>9901030198</v>
      </c>
      <c r="F794" s="109" t="str">
        <f>INDEX('اکسسوری حذف از لیست اصلی'!D:D,MATCH(K794,'اکسسوری حذف از لیست اصلی'!T:T,0))</f>
        <v>استند فلزی طلایی DS-M198</v>
      </c>
      <c r="G794" s="110" t="str">
        <f>INDEX('اکسسوری حذف از لیست اصلی'!E:E,MATCH(K794,'اکسسوری حذف از لیست اصلی'!T:T,0))</f>
        <v>-</v>
      </c>
      <c r="H794" s="110">
        <f>INDEX('اکسسوری حذف از لیست اصلی'!F:F,MATCH(K794,'اکسسوری حذف از لیست اصلی'!T:T,0))</f>
        <v>0</v>
      </c>
      <c r="I794" s="110">
        <f>INDEX('اکسسوری حذف از لیست اصلی'!G:G,MATCH(K794,'اکسسوری حذف از لیست اصلی'!T:T,0))</f>
        <v>0</v>
      </c>
      <c r="J794" s="74">
        <f>INDEX('اکسسوری حذف از لیست اصلی'!J:J,MATCH(K794,'اکسسوری حذف از لیست اصلی'!T:T,0))</f>
        <v>377000000</v>
      </c>
      <c r="K794" s="64">
        <v>447</v>
      </c>
    </row>
    <row r="795" spans="1:11" ht="42" customHeight="1">
      <c r="A795" s="60"/>
      <c r="B795" s="61"/>
      <c r="D795" s="79">
        <v>9</v>
      </c>
      <c r="E795" s="109">
        <f>INDEX('اکسسوری حذف از لیست اصلی'!C:C,MATCH(K795,'اکسسوری حذف از لیست اصلی'!T:T,0))</f>
        <v>9901030199</v>
      </c>
      <c r="F795" s="109" t="str">
        <f>INDEX('اکسسوری حذف از لیست اصلی'!D:D,MATCH(K795,'اکسسوری حذف از لیست اصلی'!T:T,0))</f>
        <v>استند فلزی مشکی DS-M199</v>
      </c>
      <c r="G795" s="110" t="str">
        <f>INDEX('اکسسوری حذف از لیست اصلی'!E:E,MATCH(K795,'اکسسوری حذف از لیست اصلی'!T:T,0))</f>
        <v>-</v>
      </c>
      <c r="H795" s="110">
        <f>INDEX('اکسسوری حذف از لیست اصلی'!F:F,MATCH(K795,'اکسسوری حذف از لیست اصلی'!T:T,0))</f>
        <v>0</v>
      </c>
      <c r="I795" s="110">
        <f>INDEX('اکسسوری حذف از لیست اصلی'!G:G,MATCH(K795,'اکسسوری حذف از لیست اصلی'!T:T,0))</f>
        <v>0</v>
      </c>
      <c r="J795" s="74">
        <f>INDEX('اکسسوری حذف از لیست اصلی'!J:J,MATCH(K795,'اکسسوری حذف از لیست اصلی'!T:T,0))</f>
        <v>298000000</v>
      </c>
      <c r="K795" s="64">
        <v>448</v>
      </c>
    </row>
    <row r="796" spans="1:11" ht="42" customHeight="1">
      <c r="A796" s="60"/>
      <c r="B796" s="61"/>
      <c r="D796" s="73">
        <v>10</v>
      </c>
      <c r="E796" s="109">
        <f>INDEX('اکسسوری حذف از لیست اصلی'!C:C,MATCH(K796,'اکسسوری حذف از لیست اصلی'!T:T,0))</f>
        <v>9901030201</v>
      </c>
      <c r="F796" s="109" t="str">
        <f>INDEX('اکسسوری حذف از لیست اصلی'!D:D,MATCH(K796,'اکسسوری حذف از لیست اصلی'!T:T,0))</f>
        <v>استند اسب چوبی مشکی DS-W201</v>
      </c>
      <c r="G796" s="110" t="str">
        <f>INDEX('اکسسوری حذف از لیست اصلی'!E:E,MATCH(K796,'اکسسوری حذف از لیست اصلی'!T:T,0))</f>
        <v>-</v>
      </c>
      <c r="H796" s="110">
        <f>INDEX('اکسسوری حذف از لیست اصلی'!F:F,MATCH(K796,'اکسسوری حذف از لیست اصلی'!T:T,0))</f>
        <v>0</v>
      </c>
      <c r="I796" s="110">
        <f>INDEX('اکسسوری حذف از لیست اصلی'!G:G,MATCH(K796,'اکسسوری حذف از لیست اصلی'!T:T,0))</f>
        <v>0</v>
      </c>
      <c r="J796" s="74">
        <f>INDEX('اکسسوری حذف از لیست اصلی'!J:J,MATCH(K796,'اکسسوری حذف از لیست اصلی'!T:T,0))</f>
        <v>260000000</v>
      </c>
      <c r="K796" s="64">
        <v>449</v>
      </c>
    </row>
    <row r="797" spans="1:11" ht="42" customHeight="1">
      <c r="A797" s="60"/>
      <c r="B797" s="61"/>
      <c r="D797" s="79">
        <v>11</v>
      </c>
      <c r="E797" s="109">
        <f>INDEX('اکسسوری حذف از لیست اصلی'!C:C,MATCH(K797,'اکسسوری حذف از لیست اصلی'!T:T,0))</f>
        <v>9901030202</v>
      </c>
      <c r="F797" s="109" t="str">
        <f>INDEX('اکسسوری حذف از لیست اصلی'!D:D,MATCH(K797,'اکسسوری حذف از لیست اصلی'!T:T,0))</f>
        <v>استند اسب چوبی صدفیDS-W202</v>
      </c>
      <c r="G797" s="110" t="str">
        <f>INDEX('اکسسوری حذف از لیست اصلی'!E:E,MATCH(K797,'اکسسوری حذف از لیست اصلی'!T:T,0))</f>
        <v>-</v>
      </c>
      <c r="H797" s="110">
        <f>INDEX('اکسسوری حذف از لیست اصلی'!F:F,MATCH(K797,'اکسسوری حذف از لیست اصلی'!T:T,0))</f>
        <v>0</v>
      </c>
      <c r="I797" s="110">
        <f>INDEX('اکسسوری حذف از لیست اصلی'!G:G,MATCH(K797,'اکسسوری حذف از لیست اصلی'!T:T,0))</f>
        <v>0</v>
      </c>
      <c r="J797" s="74">
        <f>INDEX('اکسسوری حذف از لیست اصلی'!J:J,MATCH(K797,'اکسسوری حذف از لیست اصلی'!T:T,0))</f>
        <v>199000000</v>
      </c>
      <c r="K797" s="64">
        <v>450</v>
      </c>
    </row>
    <row r="798" spans="1:11" ht="42" customHeight="1">
      <c r="A798" s="60"/>
      <c r="B798" s="61"/>
      <c r="D798" s="79">
        <v>12</v>
      </c>
      <c r="E798" s="109">
        <f>INDEX('اکسسوری حذف از لیست اصلی'!C:C,MATCH(K798,'اکسسوری حذف از لیست اصلی'!T:T,0))</f>
        <v>9901030263</v>
      </c>
      <c r="F798" s="109" t="str">
        <f>INDEX('اکسسوری حذف از لیست اصلی'!D:D,MATCH(K798,'اکسسوری حذف از لیست اصلی'!T:T,0))</f>
        <v>استند دکوراتیو چوبی DS-W263</v>
      </c>
      <c r="G798" s="110" t="str">
        <f>INDEX('اکسسوری حذف از لیست اصلی'!E:E,MATCH(K798,'اکسسوری حذف از لیست اصلی'!T:T,0))</f>
        <v>-</v>
      </c>
      <c r="H798" s="110">
        <f>INDEX('اکسسوری حذف از لیست اصلی'!F:F,MATCH(K798,'اکسسوری حذف از لیست اصلی'!T:T,0))</f>
        <v>0</v>
      </c>
      <c r="I798" s="110">
        <f>INDEX('اکسسوری حذف از لیست اصلی'!G:G,MATCH(K798,'اکسسوری حذف از لیست اصلی'!T:T,0))</f>
        <v>0</v>
      </c>
      <c r="J798" s="74">
        <f>INDEX('اکسسوری حذف از لیست اصلی'!J:J,MATCH(K798,'اکسسوری حذف از لیست اصلی'!T:T,0))</f>
        <v>68000000</v>
      </c>
      <c r="K798" s="64">
        <v>451</v>
      </c>
    </row>
    <row r="799" spans="1:11" ht="42" customHeight="1">
      <c r="A799" s="60"/>
      <c r="B799" s="61"/>
      <c r="D799" s="73">
        <v>13</v>
      </c>
      <c r="E799" s="109">
        <f>INDEX('اکسسوری حذف از لیست اصلی'!C:C,MATCH(K799,'اکسسوری حذف از لیست اصلی'!T:T,0))</f>
        <v>9901030264</v>
      </c>
      <c r="F799" s="109" t="str">
        <f>INDEX('اکسسوری حذف از لیست اصلی'!D:D,MATCH(K799,'اکسسوری حذف از لیست اصلی'!T:T,0))</f>
        <v>استند ستاره دریایی DS-N263</v>
      </c>
      <c r="G799" s="110" t="str">
        <f>INDEX('اکسسوری حذف از لیست اصلی'!E:E,MATCH(K799,'اکسسوری حذف از لیست اصلی'!T:T,0))</f>
        <v>-</v>
      </c>
      <c r="H799" s="110">
        <f>INDEX('اکسسوری حذف از لیست اصلی'!F:F,MATCH(K799,'اکسسوری حذف از لیست اصلی'!T:T,0))</f>
        <v>0</v>
      </c>
      <c r="I799" s="110">
        <f>INDEX('اکسسوری حذف از لیست اصلی'!G:G,MATCH(K799,'اکسسوری حذف از لیست اصلی'!T:T,0))</f>
        <v>0</v>
      </c>
      <c r="J799" s="74">
        <f>INDEX('اکسسوری حذف از لیست اصلی'!J:J,MATCH(K799,'اکسسوری حذف از لیست اصلی'!T:T,0))</f>
        <v>45000000</v>
      </c>
      <c r="K799" s="64">
        <v>452</v>
      </c>
    </row>
    <row r="800" spans="1:11" ht="16.5" customHeight="1">
      <c r="A800" s="60"/>
      <c r="B800" s="61"/>
      <c r="D800"/>
      <c r="E800"/>
      <c r="F800"/>
      <c r="G800"/>
      <c r="H800"/>
      <c r="I800"/>
      <c r="J800"/>
    </row>
    <row r="801" spans="1:11" ht="16.5" customHeight="1">
      <c r="A801" s="60"/>
      <c r="B801" s="61"/>
      <c r="D801"/>
      <c r="E801"/>
      <c r="F801"/>
      <c r="G801"/>
      <c r="H801"/>
      <c r="I801"/>
      <c r="J801"/>
    </row>
    <row r="802" spans="1:11" ht="16.5" customHeight="1">
      <c r="A802" s="60"/>
      <c r="B802" s="61"/>
      <c r="D802"/>
      <c r="E802"/>
      <c r="F802"/>
      <c r="G802"/>
      <c r="H802"/>
      <c r="I802"/>
      <c r="J802" s="74">
        <v>29</v>
      </c>
    </row>
    <row r="803" spans="1:11" ht="19.5" customHeight="1">
      <c r="A803" s="60"/>
      <c r="B803" s="61"/>
      <c r="C803" s="183"/>
      <c r="D803" s="184"/>
      <c r="E803" s="184"/>
      <c r="F803" s="184"/>
      <c r="G803" s="184"/>
      <c r="H803" s="184"/>
      <c r="I803" s="184"/>
      <c r="J803" s="184"/>
    </row>
    <row r="804" spans="1:11" ht="19.5" customHeight="1">
      <c r="A804" s="60"/>
      <c r="B804" s="61"/>
      <c r="C804" s="183"/>
      <c r="D804" s="184"/>
      <c r="E804" s="184"/>
      <c r="F804" s="184"/>
      <c r="G804" s="184"/>
      <c r="H804" s="184"/>
      <c r="I804" s="184"/>
      <c r="J804" s="184"/>
    </row>
    <row r="805" spans="1:11" ht="33.75" customHeight="1">
      <c r="A805" s="60"/>
      <c r="B805" s="61"/>
      <c r="D805" s="67" t="s">
        <v>1187</v>
      </c>
      <c r="J805" s="68" t="str">
        <f>$N$1</f>
        <v>1405/02/23</v>
      </c>
    </row>
    <row r="806" spans="1:11" ht="33.75" customHeight="1">
      <c r="A806" s="60"/>
      <c r="B806" s="61"/>
      <c r="D806" s="75" t="s">
        <v>0</v>
      </c>
      <c r="E806" s="69" t="s">
        <v>1</v>
      </c>
      <c r="F806" s="107" t="s">
        <v>448</v>
      </c>
      <c r="G806" s="108" t="s">
        <v>1141</v>
      </c>
      <c r="H806" s="108" t="s">
        <v>1142</v>
      </c>
      <c r="I806" s="108" t="s">
        <v>1143</v>
      </c>
      <c r="J806" s="68" t="s">
        <v>251</v>
      </c>
    </row>
    <row r="807" spans="1:11" ht="45" customHeight="1">
      <c r="A807" s="60"/>
      <c r="B807" s="61"/>
      <c r="D807" s="73">
        <v>1</v>
      </c>
      <c r="E807" s="109">
        <f>INDEX('اکسسوری حذف از لیست اصلی'!C:C,MATCH(K807,'اکسسوری حذف از لیست اصلی'!T:T,0))</f>
        <v>9901030439</v>
      </c>
      <c r="F807" s="109" t="str">
        <f>INDEX('اکسسوری حذف از لیست اصلی'!D:D,MATCH(K807,'اکسسوری حذف از لیست اصلی'!T:T,0))</f>
        <v>آویز کت چوب و استیل -دودی DH-W439</v>
      </c>
      <c r="G807" s="110" t="str">
        <f>INDEX('اکسسوری حذف از لیست اصلی'!E:E,MATCH(K807,'اکسسوری حذف از لیست اصلی'!T:T,0))</f>
        <v>-</v>
      </c>
      <c r="H807" s="110">
        <f>INDEX('اکسسوری حذف از لیست اصلی'!F:F,MATCH(K807,'اکسسوری حذف از لیست اصلی'!T:T,0))</f>
        <v>0</v>
      </c>
      <c r="I807" s="110">
        <f>INDEX('اکسسوری حذف از لیست اصلی'!G:G,MATCH(K807,'اکسسوری حذف از لیست اصلی'!T:T,0))</f>
        <v>0</v>
      </c>
      <c r="J807" s="74">
        <f>INDEX('اکسسوری حذف از لیست اصلی'!J:J,MATCH(K807,'اکسسوری حذف از لیست اصلی'!T:T,0))</f>
        <v>991000000</v>
      </c>
      <c r="K807" s="64">
        <v>453</v>
      </c>
    </row>
    <row r="808" spans="1:11" ht="45" customHeight="1">
      <c r="A808" s="60"/>
      <c r="B808" s="61"/>
      <c r="D808" s="79">
        <v>2</v>
      </c>
      <c r="E808" s="109">
        <f>INDEX('اکسسوری حذف از لیست اصلی'!C:C,MATCH(K808,'اکسسوری حذف از لیست اصلی'!T:T,0))</f>
        <v>9901030398</v>
      </c>
      <c r="F808" s="109" t="str">
        <f>INDEX('اکسسوری حذف از لیست اصلی'!D:D,MATCH(K808,'اکسسوری حذف از لیست اصلی'!T:T,0))</f>
        <v>جا لباسی چوبی بادامی DH-W398</v>
      </c>
      <c r="G808" s="110" t="str">
        <f>INDEX('اکسسوری حذف از لیست اصلی'!E:E,MATCH(K808,'اکسسوری حذف از لیست اصلی'!T:T,0))</f>
        <v>160*60*60</v>
      </c>
      <c r="H808" s="110">
        <f>INDEX('اکسسوری حذف از لیست اصلی'!F:F,MATCH(K808,'اکسسوری حذف از لیست اصلی'!T:T,0))</f>
        <v>0</v>
      </c>
      <c r="I808" s="110">
        <f>INDEX('اکسسوری حذف از لیست اصلی'!G:G,MATCH(K808,'اکسسوری حذف از لیست اصلی'!T:T,0))</f>
        <v>0</v>
      </c>
      <c r="J808" s="74">
        <f>INDEX('اکسسوری حذف از لیست اصلی'!J:J,MATCH(K808,'اکسسوری حذف از لیست اصلی'!T:T,0))</f>
        <v>1076000000</v>
      </c>
      <c r="K808" s="64">
        <v>454</v>
      </c>
    </row>
    <row r="809" spans="1:11" ht="45" customHeight="1">
      <c r="A809" s="60"/>
      <c r="B809" s="61"/>
      <c r="D809" s="79">
        <v>3</v>
      </c>
      <c r="E809" s="109">
        <f>INDEX('اکسسوری حذف از لیست اصلی'!C:C,MATCH(K809,'اکسسوری حذف از لیست اصلی'!T:T,0))</f>
        <v>9901030401</v>
      </c>
      <c r="F809" s="109" t="str">
        <f>INDEX('اکسسوری حذف از لیست اصلی'!D:D,MATCH(K809,'اکسسوری حذف از لیست اصلی'!T:T,0))</f>
        <v>جا لباسی چوبی مشکی DH-W401</v>
      </c>
      <c r="G809" s="110" t="str">
        <f>INDEX('اکسسوری حذف از لیست اصلی'!E:E,MATCH(K809,'اکسسوری حذف از لیست اصلی'!T:T,0))</f>
        <v>160*60*60</v>
      </c>
      <c r="H809" s="110">
        <f>INDEX('اکسسوری حذف از لیست اصلی'!F:F,MATCH(K809,'اکسسوری حذف از لیست اصلی'!T:T,0))</f>
        <v>0</v>
      </c>
      <c r="I809" s="110">
        <f>INDEX('اکسسوری حذف از لیست اصلی'!G:G,MATCH(K809,'اکسسوری حذف از لیست اصلی'!T:T,0))</f>
        <v>0</v>
      </c>
      <c r="J809" s="74">
        <f>INDEX('اکسسوری حذف از لیست اصلی'!J:J,MATCH(K809,'اکسسوری حذف از لیست اصلی'!T:T,0))</f>
        <v>1076000000</v>
      </c>
      <c r="K809" s="64">
        <v>455</v>
      </c>
    </row>
    <row r="810" spans="1:11" ht="33.75" customHeight="1">
      <c r="A810" s="60"/>
      <c r="B810" s="61"/>
      <c r="D810" s="28"/>
      <c r="E810" s="65"/>
      <c r="G810" s="28"/>
      <c r="H810" s="28"/>
      <c r="I810" s="28"/>
      <c r="J810" s="74"/>
    </row>
    <row r="811" spans="1:11" ht="33.75" customHeight="1">
      <c r="A811" s="60"/>
      <c r="B811" s="61"/>
      <c r="D811"/>
      <c r="E811"/>
      <c r="F811"/>
      <c r="G811"/>
      <c r="H811"/>
      <c r="I811"/>
      <c r="J811"/>
    </row>
    <row r="812" spans="1:11" ht="35.25" customHeight="1">
      <c r="A812" s="70"/>
      <c r="B812" s="71"/>
      <c r="C812" s="72"/>
      <c r="D812" s="67" t="s">
        <v>1054</v>
      </c>
      <c r="J812" s="68"/>
    </row>
    <row r="813" spans="1:11" ht="36">
      <c r="A813" s="70"/>
      <c r="B813" s="71"/>
      <c r="C813" s="77"/>
      <c r="D813" s="75" t="s">
        <v>0</v>
      </c>
      <c r="E813" s="69" t="s">
        <v>1</v>
      </c>
      <c r="F813" s="107" t="s">
        <v>448</v>
      </c>
      <c r="G813" s="108" t="s">
        <v>1141</v>
      </c>
      <c r="H813" s="108" t="s">
        <v>1142</v>
      </c>
      <c r="I813" s="108" t="s">
        <v>1143</v>
      </c>
      <c r="J813" s="68" t="s">
        <v>251</v>
      </c>
    </row>
    <row r="814" spans="1:11" ht="44.25" customHeight="1">
      <c r="A814" s="60"/>
      <c r="B814" s="61"/>
      <c r="D814" s="73">
        <v>1</v>
      </c>
      <c r="E814" s="109">
        <f>INDEX('اکسسوری حذف از لیست اصلی'!C:C,MATCH(K814,'اکسسوری حذف از لیست اصلی'!T:T,0))</f>
        <v>9901030200</v>
      </c>
      <c r="F814" s="109" t="str">
        <f>INDEX('اکسسوری حذف از لیست اصلی'!D:D,MATCH(K814,'اکسسوری حذف از لیست اصلی'!T:T,0))</f>
        <v>استند روزنامه DS-PL200</v>
      </c>
      <c r="G814" s="110" t="str">
        <f>INDEX('اکسسوری حذف از لیست اصلی'!E:E,MATCH(K814,'اکسسوری حذف از لیست اصلی'!T:T,0))</f>
        <v>-</v>
      </c>
      <c r="H814" s="110">
        <f>INDEX('اکسسوری حذف از لیست اصلی'!F:F,MATCH(K814,'اکسسوری حذف از لیست اصلی'!T:T,0))</f>
        <v>0</v>
      </c>
      <c r="I814" s="110">
        <f>INDEX('اکسسوری حذف از لیست اصلی'!G:G,MATCH(K814,'اکسسوری حذف از لیست اصلی'!T:T,0))</f>
        <v>0</v>
      </c>
      <c r="J814" s="74">
        <f>INDEX('اکسسوری حذف از لیست اصلی'!J:J,MATCH(K814,'اکسسوری حذف از لیست اصلی'!T:T,0))</f>
        <v>216000000</v>
      </c>
      <c r="K814" s="64">
        <v>456</v>
      </c>
    </row>
    <row r="815" spans="1:11" ht="44.25" customHeight="1">
      <c r="A815" s="60"/>
      <c r="B815" s="61"/>
      <c r="C815" s="78"/>
      <c r="D815" s="79">
        <v>2</v>
      </c>
      <c r="E815" s="109">
        <f>INDEX('اکسسوری حذف از لیست اصلی'!C:C,MATCH(K815,'اکسسوری حذف از لیست اصلی'!T:T,0))</f>
        <v>9901030325</v>
      </c>
      <c r="F815" s="109" t="str">
        <f>INDEX('اکسسوری حذف از لیست اصلی'!D:D,MATCH(K815,'اکسسوری حذف از لیست اصلی'!T:T,0))</f>
        <v>استند روزنامه فلز و چرم قهوه ای DS-L/M325</v>
      </c>
      <c r="G815" s="110" t="str">
        <f>INDEX('اکسسوری حذف از لیست اصلی'!E:E,MATCH(K815,'اکسسوری حذف از لیست اصلی'!T:T,0))</f>
        <v>-</v>
      </c>
      <c r="H815" s="110">
        <f>INDEX('اکسسوری حذف از لیست اصلی'!F:F,MATCH(K815,'اکسسوری حذف از لیست اصلی'!T:T,0))</f>
        <v>0</v>
      </c>
      <c r="I815" s="110">
        <f>INDEX('اکسسوری حذف از لیست اصلی'!G:G,MATCH(K815,'اکسسوری حذف از لیست اصلی'!T:T,0))</f>
        <v>0</v>
      </c>
      <c r="J815" s="74">
        <f>INDEX('اکسسوری حذف از لیست اصلی'!J:J,MATCH(K815,'اکسسوری حذف از لیست اصلی'!T:T,0))</f>
        <v>472000000</v>
      </c>
      <c r="K815" s="64">
        <v>457</v>
      </c>
    </row>
    <row r="816" spans="1:11" ht="44.25" customHeight="1">
      <c r="A816" s="60"/>
      <c r="B816" s="61"/>
      <c r="D816" s="79">
        <v>3</v>
      </c>
      <c r="E816" s="109">
        <f>INDEX('اکسسوری حذف از لیست اصلی'!C:C,MATCH(K816,'اکسسوری حذف از لیست اصلی'!T:T,0))</f>
        <v>9901030402</v>
      </c>
      <c r="F816" s="109" t="str">
        <f>INDEX('اکسسوری حذف از لیست اصلی'!D:D,MATCH(K816,'اکسسوری حذف از لیست اصلی'!T:T,0))</f>
        <v>استند جامجله ای(U) چوبی پتینه وایت واش DS-W402</v>
      </c>
      <c r="G816" s="110" t="str">
        <f>INDEX('اکسسوری حذف از لیست اصلی'!E:E,MATCH(K816,'اکسسوری حذف از لیست اصلی'!T:T,0))</f>
        <v>26*55*45</v>
      </c>
      <c r="H816" s="110">
        <f>INDEX('اکسسوری حذف از لیست اصلی'!F:F,MATCH(K816,'اکسسوری حذف از لیست اصلی'!T:T,0))</f>
        <v>0</v>
      </c>
      <c r="I816" s="110">
        <f>INDEX('اکسسوری حذف از لیست اصلی'!G:G,MATCH(K816,'اکسسوری حذف از لیست اصلی'!T:T,0))</f>
        <v>0</v>
      </c>
      <c r="J816" s="74">
        <f>INDEX('اکسسوری حذف از لیست اصلی'!J:J,MATCH(K816,'اکسسوری حذف از لیست اصلی'!T:T,0))</f>
        <v>387000000</v>
      </c>
      <c r="K816" s="64">
        <v>458</v>
      </c>
    </row>
    <row r="817" spans="1:11" ht="44.25" customHeight="1">
      <c r="A817" s="60"/>
      <c r="B817" s="61"/>
      <c r="D817" s="79">
        <v>4</v>
      </c>
      <c r="E817" s="109">
        <f>INDEX('اکسسوری حذف از لیست اصلی'!C:C,MATCH(K817,'اکسسوری حذف از لیست اصلی'!T:T,0))</f>
        <v>9901030403</v>
      </c>
      <c r="F817" s="109" t="str">
        <f>INDEX('اکسسوری حذف از لیست اصلی'!D:D,MATCH(K817,'اکسسوری حذف از لیست اصلی'!T:T,0))</f>
        <v>استند جامجله ای(U) چوبی بادامی DS-W403</v>
      </c>
      <c r="G817" s="110" t="str">
        <f>INDEX('اکسسوری حذف از لیست اصلی'!E:E,MATCH(K817,'اکسسوری حذف از لیست اصلی'!T:T,0))</f>
        <v>26*55*45</v>
      </c>
      <c r="H817" s="110">
        <f>INDEX('اکسسوری حذف از لیست اصلی'!F:F,MATCH(K817,'اکسسوری حذف از لیست اصلی'!T:T,0))</f>
        <v>0</v>
      </c>
      <c r="I817" s="110">
        <f>INDEX('اکسسوری حذف از لیست اصلی'!G:G,MATCH(K817,'اکسسوری حذف از لیست اصلی'!T:T,0))</f>
        <v>0</v>
      </c>
      <c r="J817" s="74">
        <f>INDEX('اکسسوری حذف از لیست اصلی'!J:J,MATCH(K817,'اکسسوری حذف از لیست اصلی'!T:T,0))</f>
        <v>387000000</v>
      </c>
      <c r="K817" s="64">
        <v>459</v>
      </c>
    </row>
    <row r="818" spans="1:11" ht="44.25" customHeight="1">
      <c r="A818" s="60"/>
      <c r="B818" s="61"/>
      <c r="D818" s="79">
        <v>5</v>
      </c>
      <c r="E818" s="109">
        <f>INDEX('اکسسوری حذف از لیست اصلی'!C:C,MATCH(K818,'اکسسوری حذف از لیست اصلی'!T:T,0))</f>
        <v>9901030404</v>
      </c>
      <c r="F818" s="109" t="str">
        <f>INDEX('اکسسوری حذف از لیست اصلی'!D:D,MATCH(K818,'اکسسوری حذف از لیست اصلی'!T:T,0))</f>
        <v>استند جامجله ای(U) چوبی دودی DS-W404</v>
      </c>
      <c r="G818" s="110" t="str">
        <f>INDEX('اکسسوری حذف از لیست اصلی'!E:E,MATCH(K818,'اکسسوری حذف از لیست اصلی'!T:T,0))</f>
        <v>26*55*45</v>
      </c>
      <c r="H818" s="110">
        <f>INDEX('اکسسوری حذف از لیست اصلی'!F:F,MATCH(K818,'اکسسوری حذف از لیست اصلی'!T:T,0))</f>
        <v>0</v>
      </c>
      <c r="I818" s="110">
        <f>INDEX('اکسسوری حذف از لیست اصلی'!G:G,MATCH(K818,'اکسسوری حذف از لیست اصلی'!T:T,0))</f>
        <v>0</v>
      </c>
      <c r="J818" s="74">
        <f>INDEX('اکسسوری حذف از لیست اصلی'!J:J,MATCH(K818,'اکسسوری حذف از لیست اصلی'!T:T,0))</f>
        <v>507000000</v>
      </c>
      <c r="K818" s="64">
        <v>460</v>
      </c>
    </row>
    <row r="819" spans="1:11" ht="19.5" customHeight="1">
      <c r="A819" s="60"/>
      <c r="B819" s="61"/>
      <c r="D819" s="28"/>
      <c r="E819" s="65"/>
      <c r="G819" s="28"/>
      <c r="H819" s="28"/>
      <c r="I819" s="28"/>
      <c r="J819" s="74"/>
    </row>
    <row r="820" spans="1:11" ht="19.5" customHeight="1">
      <c r="A820" s="60"/>
      <c r="B820" s="61"/>
      <c r="D820" s="28"/>
      <c r="E820" s="65"/>
      <c r="G820" s="28"/>
      <c r="H820" s="28"/>
      <c r="I820" s="28"/>
      <c r="J820" s="74"/>
    </row>
    <row r="821" spans="1:11" ht="19.5" customHeight="1">
      <c r="A821" s="60"/>
      <c r="B821" s="61"/>
      <c r="D821" s="28"/>
      <c r="E821" s="65"/>
      <c r="G821" s="28"/>
      <c r="H821" s="28"/>
      <c r="I821" s="28"/>
      <c r="J821" s="74"/>
    </row>
    <row r="822" spans="1:11" ht="19.5" customHeight="1">
      <c r="A822" s="60"/>
      <c r="B822" s="61"/>
      <c r="D822" s="28"/>
      <c r="E822" s="65"/>
      <c r="G822" s="28"/>
      <c r="H822" s="28"/>
      <c r="I822" s="28"/>
      <c r="J822" s="74"/>
    </row>
    <row r="823" spans="1:11" ht="18" customHeight="1">
      <c r="A823" s="60"/>
      <c r="B823" s="61"/>
      <c r="D823"/>
      <c r="E823"/>
      <c r="F823"/>
      <c r="G823"/>
      <c r="H823"/>
      <c r="I823"/>
      <c r="J823"/>
    </row>
    <row r="824" spans="1:11" ht="18" customHeight="1">
      <c r="A824" s="60"/>
      <c r="B824" s="61"/>
      <c r="D824"/>
      <c r="E824"/>
      <c r="F824"/>
      <c r="G824"/>
      <c r="H824"/>
      <c r="I824"/>
      <c r="J824" s="74">
        <v>30</v>
      </c>
    </row>
    <row r="825" spans="1:11" ht="18" customHeight="1">
      <c r="A825" s="60"/>
      <c r="B825" s="61"/>
      <c r="C825" s="183"/>
      <c r="D825" s="184"/>
      <c r="E825" s="184"/>
      <c r="F825" s="184"/>
      <c r="G825" s="184"/>
      <c r="H825" s="184"/>
      <c r="I825" s="184"/>
      <c r="J825" s="184"/>
    </row>
    <row r="826" spans="1:11" ht="18" customHeight="1">
      <c r="A826" s="60"/>
      <c r="B826" s="61"/>
      <c r="C826" s="183"/>
      <c r="D826" s="184"/>
      <c r="E826" s="184"/>
      <c r="F826" s="184"/>
      <c r="G826" s="184"/>
      <c r="H826" s="184"/>
      <c r="I826" s="184"/>
      <c r="J826" s="184"/>
    </row>
    <row r="827" spans="1:11" ht="18" customHeight="1">
      <c r="A827" s="60"/>
      <c r="B827" s="61"/>
      <c r="C827" s="72"/>
      <c r="D827" s="67" t="s">
        <v>1192</v>
      </c>
      <c r="J827" s="68" t="str">
        <f>$N$1</f>
        <v>1405/02/23</v>
      </c>
    </row>
    <row r="828" spans="1:11" ht="18" customHeight="1">
      <c r="A828" s="60"/>
      <c r="B828" s="61"/>
      <c r="C828" s="77"/>
      <c r="D828" s="75" t="s">
        <v>0</v>
      </c>
      <c r="E828" s="69" t="s">
        <v>1</v>
      </c>
      <c r="F828" s="107" t="s">
        <v>448</v>
      </c>
      <c r="G828" s="108" t="s">
        <v>1141</v>
      </c>
      <c r="H828" s="108" t="s">
        <v>1142</v>
      </c>
      <c r="I828" s="108" t="s">
        <v>1143</v>
      </c>
      <c r="J828" s="68" t="s">
        <v>251</v>
      </c>
    </row>
    <row r="829" spans="1:11" ht="30.75" customHeight="1">
      <c r="A829" s="60"/>
      <c r="B829" s="61"/>
      <c r="D829" s="73">
        <v>1</v>
      </c>
      <c r="E829" s="109">
        <f>INDEX('اکسسوری حذف از لیست اصلی'!C:C,MATCH(K829,'اکسسوری حذف از لیست اصلی'!T:T,0))</f>
        <v>9901080001</v>
      </c>
      <c r="F829" s="109" t="str">
        <f>INDEX('اکسسوری حذف از لیست اصلی'!D:D,MATCH(K829,'اکسسوری حذف از لیست اصلی'!T:T,0))</f>
        <v>فرش ماشینی BC-M001</v>
      </c>
      <c r="G829" s="110" t="str">
        <f>INDEX('اکسسوری حذف از لیست اصلی'!E:E,MATCH(K829,'اکسسوری حذف از لیست اصلی'!T:T,0))</f>
        <v>230*160</v>
      </c>
      <c r="H829" s="110">
        <f>INDEX('اکسسوری حذف از لیست اصلی'!F:F,MATCH(K829,'اکسسوری حذف از لیست اصلی'!T:T,0))</f>
        <v>0</v>
      </c>
      <c r="I829" s="110">
        <f>INDEX('اکسسوری حذف از لیست اصلی'!G:G,MATCH(K829,'اکسسوری حذف از لیست اصلی'!T:T,0))</f>
        <v>0</v>
      </c>
      <c r="J829" s="74">
        <f>INDEX('اکسسوری حذف از لیست اصلی'!J:J,MATCH(K829,'اکسسوری حذف از لیست اصلی'!T:T,0))</f>
        <v>1014000000</v>
      </c>
      <c r="K829" s="64">
        <v>461</v>
      </c>
    </row>
    <row r="830" spans="1:11" ht="30.75" customHeight="1">
      <c r="A830" s="60"/>
      <c r="B830" s="61"/>
      <c r="C830" s="78"/>
      <c r="D830" s="79">
        <v>2</v>
      </c>
      <c r="E830" s="109">
        <f>INDEX('اکسسوری حذف از لیست اصلی'!C:C,MATCH(K830,'اکسسوری حذف از لیست اصلی'!T:T,0))</f>
        <v>9901080003</v>
      </c>
      <c r="F830" s="109" t="str">
        <f>INDEX('اکسسوری حذف از لیست اصلی'!D:D,MATCH(K830,'اکسسوری حذف از لیست اصلی'!T:T,0))</f>
        <v>فرش ماشینی BC-M003</v>
      </c>
      <c r="G830" s="110" t="str">
        <f>INDEX('اکسسوری حذف از لیست اصلی'!E:E,MATCH(K830,'اکسسوری حذف از لیست اصلی'!T:T,0))</f>
        <v>230*160</v>
      </c>
      <c r="H830" s="110">
        <f>INDEX('اکسسوری حذف از لیست اصلی'!F:F,MATCH(K830,'اکسسوری حذف از لیست اصلی'!T:T,0))</f>
        <v>0</v>
      </c>
      <c r="I830" s="110">
        <f>INDEX('اکسسوری حذف از لیست اصلی'!G:G,MATCH(K830,'اکسسوری حذف از لیست اصلی'!T:T,0))</f>
        <v>0</v>
      </c>
      <c r="J830" s="74">
        <f>INDEX('اکسسوری حذف از لیست اصلی'!J:J,MATCH(K830,'اکسسوری حذف از لیست اصلی'!T:T,0))</f>
        <v>1014000000</v>
      </c>
      <c r="K830" s="64">
        <v>462</v>
      </c>
    </row>
    <row r="831" spans="1:11" ht="30.75" customHeight="1">
      <c r="A831" s="60"/>
      <c r="B831" s="61"/>
      <c r="D831" s="79">
        <v>3</v>
      </c>
      <c r="E831" s="109">
        <f>INDEX('اکسسوری حذف از لیست اصلی'!C:C,MATCH(K831,'اکسسوری حذف از لیست اصلی'!T:T,0))</f>
        <v>9901080004</v>
      </c>
      <c r="F831" s="109" t="str">
        <f>INDEX('اکسسوری حذف از لیست اصلی'!D:D,MATCH(K831,'اکسسوری حذف از لیست اصلی'!T:T,0))</f>
        <v>فرش ماشینی BC-M004</v>
      </c>
      <c r="G831" s="110" t="str">
        <f>INDEX('اکسسوری حذف از لیست اصلی'!E:E,MATCH(K831,'اکسسوری حذف از لیست اصلی'!T:T,0))</f>
        <v>230*160</v>
      </c>
      <c r="H831" s="110">
        <f>INDEX('اکسسوری حذف از لیست اصلی'!F:F,MATCH(K831,'اکسسوری حذف از لیست اصلی'!T:T,0))</f>
        <v>0</v>
      </c>
      <c r="I831" s="110">
        <f>INDEX('اکسسوری حذف از لیست اصلی'!G:G,MATCH(K831,'اکسسوری حذف از لیست اصلی'!T:T,0))</f>
        <v>0</v>
      </c>
      <c r="J831" s="74">
        <f>INDEX('اکسسوری حذف از لیست اصلی'!J:J,MATCH(K831,'اکسسوری حذف از لیست اصلی'!T:T,0))</f>
        <v>1014000000</v>
      </c>
      <c r="K831" s="64">
        <v>463</v>
      </c>
    </row>
    <row r="832" spans="1:11" ht="30.75" customHeight="1">
      <c r="A832" s="60"/>
      <c r="B832" s="61"/>
      <c r="D832" s="79">
        <v>4</v>
      </c>
      <c r="E832" s="109">
        <f>INDEX('اکسسوری حذف از لیست اصلی'!C:C,MATCH(K832,'اکسسوری حذف از لیست اصلی'!T:T,0))</f>
        <v>9901080005</v>
      </c>
      <c r="F832" s="109" t="str">
        <f>INDEX('اکسسوری حذف از لیست اصلی'!D:D,MATCH(K832,'اکسسوری حذف از لیست اصلی'!T:T,0))</f>
        <v>فرش گلیم خردلی KC-R005</v>
      </c>
      <c r="G832" s="110" t="str">
        <f>INDEX('اکسسوری حذف از لیست اصلی'!E:E,MATCH(K832,'اکسسوری حذف از لیست اصلی'!T:T,0))</f>
        <v>230*160</v>
      </c>
      <c r="H832" s="110">
        <f>INDEX('اکسسوری حذف از لیست اصلی'!F:F,MATCH(K832,'اکسسوری حذف از لیست اصلی'!T:T,0))</f>
        <v>0</v>
      </c>
      <c r="I832" s="110">
        <f>INDEX('اکسسوری حذف از لیست اصلی'!G:G,MATCH(K832,'اکسسوری حذف از لیست اصلی'!T:T,0))</f>
        <v>0</v>
      </c>
      <c r="J832" s="74">
        <f>INDEX('اکسسوری حذف از لیست اصلی'!J:J,MATCH(K832,'اکسسوری حذف از لیست اصلی'!T:T,0))</f>
        <v>826000000</v>
      </c>
      <c r="K832" s="64">
        <v>464</v>
      </c>
    </row>
    <row r="833" spans="1:11" ht="30.75" customHeight="1">
      <c r="A833" s="60"/>
      <c r="B833" s="61"/>
      <c r="D833" s="73">
        <v>5</v>
      </c>
      <c r="E833" s="109">
        <f>INDEX('اکسسوری حذف از لیست اصلی'!C:C,MATCH(K833,'اکسسوری حذف از لیست اصلی'!T:T,0))</f>
        <v>9901080006</v>
      </c>
      <c r="F833" s="109" t="str">
        <f>INDEX('اکسسوری حذف از لیست اصلی'!D:D,MATCH(K833,'اکسسوری حذف از لیست اصلی'!T:T,0))</f>
        <v>فرش گلیم خردلی KC-R006</v>
      </c>
      <c r="G833" s="110" t="str">
        <f>INDEX('اکسسوری حذف از لیست اصلی'!E:E,MATCH(K833,'اکسسوری حذف از لیست اصلی'!T:T,0))</f>
        <v>200*300</v>
      </c>
      <c r="H833" s="110">
        <f>INDEX('اکسسوری حذف از لیست اصلی'!F:F,MATCH(K833,'اکسسوری حذف از لیست اصلی'!T:T,0))</f>
        <v>0</v>
      </c>
      <c r="I833" s="110">
        <f>INDEX('اکسسوری حذف از لیست اصلی'!G:G,MATCH(K833,'اکسسوری حذف از لیست اصلی'!T:T,0))</f>
        <v>0</v>
      </c>
      <c r="J833" s="74">
        <f>INDEX('اکسسوری حذف از لیست اصلی'!J:J,MATCH(K833,'اکسسوری حذف از لیست اصلی'!T:T,0))</f>
        <v>1014000000</v>
      </c>
      <c r="K833" s="64">
        <v>465</v>
      </c>
    </row>
    <row r="834" spans="1:11" ht="30.75" customHeight="1">
      <c r="A834" s="60"/>
      <c r="B834" s="61"/>
      <c r="D834" s="79">
        <v>6</v>
      </c>
      <c r="E834" s="109">
        <f>INDEX('اکسسوری حذف از لیست اصلی'!C:C,MATCH(K834,'اکسسوری حذف از لیست اصلی'!T:T,0))</f>
        <v>9901080007</v>
      </c>
      <c r="F834" s="109" t="str">
        <f>INDEX('اکسسوری حذف از لیست اصلی'!D:D,MATCH(K834,'اکسسوری حذف از لیست اصلی'!T:T,0))</f>
        <v>فرش ماشینی BC-M007</v>
      </c>
      <c r="G834" s="110" t="str">
        <f>INDEX('اکسسوری حذف از لیست اصلی'!E:E,MATCH(K834,'اکسسوری حذف از لیست اصلی'!T:T,0))</f>
        <v>230*160</v>
      </c>
      <c r="H834" s="110">
        <f>INDEX('اکسسوری حذف از لیست اصلی'!F:F,MATCH(K834,'اکسسوری حذف از لیست اصلی'!T:T,0))</f>
        <v>0</v>
      </c>
      <c r="I834" s="110">
        <f>INDEX('اکسسوری حذف از لیست اصلی'!G:G,MATCH(K834,'اکسسوری حذف از لیست اصلی'!T:T,0))</f>
        <v>0</v>
      </c>
      <c r="J834" s="74">
        <f>INDEX('اکسسوری حذف از لیست اصلی'!J:J,MATCH(K834,'اکسسوری حذف از لیست اصلی'!T:T,0))</f>
        <v>1014000000</v>
      </c>
      <c r="K834" s="64">
        <v>466</v>
      </c>
    </row>
    <row r="835" spans="1:11" ht="30.75" customHeight="1">
      <c r="A835" s="60"/>
      <c r="B835" s="61"/>
      <c r="D835" s="79">
        <v>7</v>
      </c>
      <c r="E835" s="109">
        <f>INDEX('اکسسوری حذف از لیست اصلی'!C:C,MATCH(K835,'اکسسوری حذف از لیست اصلی'!T:T,0))</f>
        <v>9901080008</v>
      </c>
      <c r="F835" s="109" t="str">
        <f>INDEX('اکسسوری حذف از لیست اصلی'!D:D,MATCH(K835,'اکسسوری حذف از لیست اصلی'!T:T,0))</f>
        <v>فرش گلیم  کرم KC-R008</v>
      </c>
      <c r="G835" s="110" t="str">
        <f>INDEX('اکسسوری حذف از لیست اصلی'!E:E,MATCH(K835,'اکسسوری حذف از لیست اصلی'!T:T,0))</f>
        <v>230*160</v>
      </c>
      <c r="H835" s="110">
        <f>INDEX('اکسسوری حذف از لیست اصلی'!F:F,MATCH(K835,'اکسسوری حذف از لیست اصلی'!T:T,0))</f>
        <v>0</v>
      </c>
      <c r="I835" s="110">
        <f>INDEX('اکسسوری حذف از لیست اصلی'!G:G,MATCH(K835,'اکسسوری حذف از لیست اصلی'!T:T,0))</f>
        <v>0</v>
      </c>
      <c r="J835" s="74">
        <f>INDEX('اکسسوری حذف از لیست اصلی'!J:J,MATCH(K835,'اکسسوری حذف از لیست اصلی'!T:T,0))</f>
        <v>885000000</v>
      </c>
      <c r="K835" s="64">
        <v>467</v>
      </c>
    </row>
    <row r="836" spans="1:11" ht="30.75" customHeight="1">
      <c r="A836" s="60"/>
      <c r="B836" s="61"/>
      <c r="D836" s="79">
        <v>8</v>
      </c>
      <c r="E836" s="109">
        <f>INDEX('اکسسوری حذف از لیست اصلی'!C:C,MATCH(K836,'اکسسوری حذف از لیست اصلی'!T:T,0))</f>
        <v>9901080009</v>
      </c>
      <c r="F836" s="109" t="str">
        <f>INDEX('اکسسوری حذف از لیست اصلی'!D:D,MATCH(K836,'اکسسوری حذف از لیست اصلی'!T:T,0))</f>
        <v>فرش گلیم  کرم KC-R009</v>
      </c>
      <c r="G836" s="110" t="str">
        <f>INDEX('اکسسوری حذف از لیست اصلی'!E:E,MATCH(K836,'اکسسوری حذف از لیست اصلی'!T:T,0))</f>
        <v>200*300</v>
      </c>
      <c r="H836" s="110">
        <f>INDEX('اکسسوری حذف از لیست اصلی'!F:F,MATCH(K836,'اکسسوری حذف از لیست اصلی'!T:T,0))</f>
        <v>0</v>
      </c>
      <c r="I836" s="110">
        <f>INDEX('اکسسوری حذف از لیست اصلی'!G:G,MATCH(K836,'اکسسوری حذف از لیست اصلی'!T:T,0))</f>
        <v>0</v>
      </c>
      <c r="J836" s="74">
        <f>INDEX('اکسسوری حذف از لیست اصلی'!J:J,MATCH(K836,'اکسسوری حذف از لیست اصلی'!T:T,0))</f>
        <v>1297000000</v>
      </c>
      <c r="K836" s="64">
        <v>468</v>
      </c>
    </row>
    <row r="837" spans="1:11" ht="30.75" customHeight="1">
      <c r="A837" s="60"/>
      <c r="B837" s="61"/>
      <c r="D837" s="73">
        <v>9</v>
      </c>
      <c r="E837" s="109">
        <f>INDEX('اکسسوری حذف از لیست اصلی'!C:C,MATCH(K837,'اکسسوری حذف از لیست اصلی'!T:T,0))</f>
        <v>9901080010</v>
      </c>
      <c r="F837" s="109" t="str">
        <f>INDEX('اکسسوری حذف از لیست اصلی'!D:D,MATCH(K837,'اکسسوری حذف از لیست اصلی'!T:T,0))</f>
        <v>فرش گلیم  کرم KC-R010</v>
      </c>
      <c r="G837" s="110" t="str">
        <f>INDEX('اکسسوری حذف از لیست اصلی'!E:E,MATCH(K837,'اکسسوری حذف از لیست اصلی'!T:T,0))</f>
        <v>230*160</v>
      </c>
      <c r="H837" s="110">
        <f>INDEX('اکسسوری حذف از لیست اصلی'!F:F,MATCH(K837,'اکسسوری حذف از لیست اصلی'!T:T,0))</f>
        <v>0</v>
      </c>
      <c r="I837" s="110">
        <f>INDEX('اکسسوری حذف از لیست اصلی'!G:G,MATCH(K837,'اکسسوری حذف از لیست اصلی'!T:T,0))</f>
        <v>0</v>
      </c>
      <c r="J837" s="74">
        <f>INDEX('اکسسوری حذف از لیست اصلی'!J:J,MATCH(K837,'اکسسوری حذف از لیست اصلی'!T:T,0))</f>
        <v>885000000</v>
      </c>
      <c r="K837" s="64">
        <v>469</v>
      </c>
    </row>
    <row r="838" spans="1:11" ht="30.75" customHeight="1">
      <c r="A838" s="60"/>
      <c r="B838" s="61"/>
      <c r="D838" s="79">
        <v>10</v>
      </c>
      <c r="E838" s="109">
        <f>INDEX('اکسسوری حذف از لیست اصلی'!C:C,MATCH(K838,'اکسسوری حذف از لیست اصلی'!T:T,0))</f>
        <v>9901080011</v>
      </c>
      <c r="F838" s="109" t="str">
        <f>INDEX('اکسسوری حذف از لیست اصلی'!D:D,MATCH(K838,'اکسسوری حذف از لیست اصلی'!T:T,0))</f>
        <v>فرش گلیم  کرم KC-R011</v>
      </c>
      <c r="G838" s="110" t="str">
        <f>INDEX('اکسسوری حذف از لیست اصلی'!E:E,MATCH(K838,'اکسسوری حذف از لیست اصلی'!T:T,0))</f>
        <v>200*300</v>
      </c>
      <c r="H838" s="110">
        <f>INDEX('اکسسوری حذف از لیست اصلی'!F:F,MATCH(K838,'اکسسوری حذف از لیست اصلی'!T:T,0))</f>
        <v>0</v>
      </c>
      <c r="I838" s="110">
        <f>INDEX('اکسسوری حذف از لیست اصلی'!G:G,MATCH(K838,'اکسسوری حذف از لیست اصلی'!T:T,0))</f>
        <v>0</v>
      </c>
      <c r="J838" s="74">
        <f>INDEX('اکسسوری حذف از لیست اصلی'!J:J,MATCH(K838,'اکسسوری حذف از لیست اصلی'!T:T,0))</f>
        <v>1297000000</v>
      </c>
      <c r="K838" s="64">
        <v>470</v>
      </c>
    </row>
    <row r="839" spans="1:11" ht="30.75" customHeight="1">
      <c r="A839" s="60"/>
      <c r="B839" s="61"/>
      <c r="D839" s="79">
        <v>11</v>
      </c>
      <c r="E839" s="109">
        <f>INDEX('اکسسوری حذف از لیست اصلی'!C:C,MATCH(K839,'اکسسوری حذف از لیست اصلی'!T:T,0))</f>
        <v>9901080012</v>
      </c>
      <c r="F839" s="109" t="str">
        <f>INDEX('اکسسوری حذف از لیست اصلی'!D:D,MATCH(K839,'اکسسوری حذف از لیست اصلی'!T:T,0))</f>
        <v>فرش دست بافت AC-R012</v>
      </c>
      <c r="G839" s="110" t="str">
        <f>INDEX('اکسسوری حذف از لیست اصلی'!E:E,MATCH(K839,'اکسسوری حذف از لیست اصلی'!T:T,0))</f>
        <v>230*160</v>
      </c>
      <c r="H839" s="110">
        <f>INDEX('اکسسوری حذف از لیست اصلی'!F:F,MATCH(K839,'اکسسوری حذف از لیست اصلی'!T:T,0))</f>
        <v>0</v>
      </c>
      <c r="I839" s="110">
        <f>INDEX('اکسسوری حذف از لیست اصلی'!G:G,MATCH(K839,'اکسسوری حذف از لیست اصلی'!T:T,0))</f>
        <v>0</v>
      </c>
      <c r="J839" s="74">
        <f>INDEX('اکسسوری حذف از لیست اصلی'!J:J,MATCH(K839,'اکسسوری حذف از لیست اصلی'!T:T,0))</f>
        <v>2830000000</v>
      </c>
      <c r="K839" s="64">
        <v>471</v>
      </c>
    </row>
    <row r="840" spans="1:11" ht="30.75" customHeight="1">
      <c r="A840" s="60"/>
      <c r="B840" s="61"/>
      <c r="D840" s="73">
        <v>12</v>
      </c>
      <c r="E840" s="109">
        <f>INDEX('اکسسوری حذف از لیست اصلی'!C:C,MATCH(K840,'اکسسوری حذف از لیست اصلی'!T:T,0))</f>
        <v>9901080013</v>
      </c>
      <c r="F840" s="109" t="str">
        <f>INDEX('اکسسوری حذف از لیست اصلی'!D:D,MATCH(K840,'اکسسوری حذف از لیست اصلی'!T:T,0))</f>
        <v>فرش دست بافت AC-R013</v>
      </c>
      <c r="G840" s="110" t="str">
        <f>INDEX('اکسسوری حذف از لیست اصلی'!E:E,MATCH(K840,'اکسسوری حذف از لیست اصلی'!T:T,0))</f>
        <v>230*240</v>
      </c>
      <c r="H840" s="110">
        <f>INDEX('اکسسوری حذف از لیست اصلی'!F:F,MATCH(K840,'اکسسوری حذف از لیست اصلی'!T:T,0))</f>
        <v>0</v>
      </c>
      <c r="I840" s="110">
        <f>INDEX('اکسسوری حذف از لیست اصلی'!G:G,MATCH(K840,'اکسسوری حذف از لیست اصلی'!T:T,0))</f>
        <v>0</v>
      </c>
      <c r="J840" s="74">
        <f>INDEX('اکسسوری حذف از لیست اصلی'!J:J,MATCH(K840,'اکسسوری حذف از لیست اصلی'!T:T,0))</f>
        <v>3774000000</v>
      </c>
      <c r="K840" s="64">
        <v>472</v>
      </c>
    </row>
    <row r="841" spans="1:11" ht="30.75" customHeight="1">
      <c r="A841" s="60"/>
      <c r="B841" s="61"/>
      <c r="D841" s="79">
        <v>13</v>
      </c>
      <c r="E841" s="109">
        <f>INDEX('اکسسوری حذف از لیست اصلی'!C:C,MATCH(K841,'اکسسوری حذف از لیست اصلی'!T:T,0))</f>
        <v>9901080014</v>
      </c>
      <c r="F841" s="109" t="str">
        <f>INDEX('اکسسوری حذف از لیست اصلی'!D:D,MATCH(K841,'اکسسوری حذف از لیست اصلی'!T:T,0))</f>
        <v>فرش دست بافت AC-R014</v>
      </c>
      <c r="G841" s="110" t="str">
        <f>INDEX('اکسسوری حذف از لیست اصلی'!E:E,MATCH(K841,'اکسسوری حذف از لیست اصلی'!T:T,0))</f>
        <v>230*160</v>
      </c>
      <c r="H841" s="110">
        <f>INDEX('اکسسوری حذف از لیست اصلی'!F:F,MATCH(K841,'اکسسوری حذف از لیست اصلی'!T:T,0))</f>
        <v>0</v>
      </c>
      <c r="I841" s="110">
        <f>INDEX('اکسسوری حذف از لیست اصلی'!G:G,MATCH(K841,'اکسسوری حذف از لیست اصلی'!T:T,0))</f>
        <v>0</v>
      </c>
      <c r="J841" s="74">
        <f>INDEX('اکسسوری حذف از لیست اصلی'!J:J,MATCH(K841,'اکسسوری حذف از لیست اصلی'!T:T,0))</f>
        <v>2099000000</v>
      </c>
      <c r="K841" s="64">
        <v>473</v>
      </c>
    </row>
    <row r="842" spans="1:11" ht="30.75" customHeight="1">
      <c r="A842" s="60"/>
      <c r="B842" s="61"/>
      <c r="D842" s="79">
        <v>14</v>
      </c>
      <c r="E842" s="109">
        <f>INDEX('اکسسوری حذف از لیست اصلی'!C:C,MATCH(K842,'اکسسوری حذف از لیست اصلی'!T:T,0))</f>
        <v>9901080015</v>
      </c>
      <c r="F842" s="109" t="str">
        <f>INDEX('اکسسوری حذف از لیست اصلی'!D:D,MATCH(K842,'اکسسوری حذف از لیست اصلی'!T:T,0))</f>
        <v>فرش دست بافت AC-R015</v>
      </c>
      <c r="G842" s="110" t="str">
        <f>INDEX('اکسسوری حذف از لیست اصلی'!E:E,MATCH(K842,'اکسسوری حذف از لیست اصلی'!T:T,0))</f>
        <v>190*130</v>
      </c>
      <c r="H842" s="110">
        <f>INDEX('اکسسوری حذف از لیست اصلی'!F:F,MATCH(K842,'اکسسوری حذف از لیست اصلی'!T:T,0))</f>
        <v>0</v>
      </c>
      <c r="I842" s="110">
        <f>INDEX('اکسسوری حذف از لیست اصلی'!G:G,MATCH(K842,'اکسسوری حذف از لیست اصلی'!T:T,0))</f>
        <v>0</v>
      </c>
      <c r="J842" s="74">
        <f>INDEX('اکسسوری حذف از لیست اصلی'!J:J,MATCH(K842,'اکسسوری حذف از لیست اصلی'!T:T,0))</f>
        <v>1344000000</v>
      </c>
      <c r="K842" s="64">
        <v>474</v>
      </c>
    </row>
    <row r="843" spans="1:11" ht="30.75" customHeight="1">
      <c r="A843" s="60"/>
      <c r="B843" s="61"/>
      <c r="D843" s="73">
        <v>15</v>
      </c>
      <c r="E843" s="109">
        <f>INDEX('اکسسوری حذف از لیست اصلی'!C:C,MATCH(K843,'اکسسوری حذف از لیست اصلی'!T:T,0))</f>
        <v>9901080016</v>
      </c>
      <c r="F843" s="109" t="str">
        <f>INDEX('اکسسوری حذف از لیست اصلی'!D:D,MATCH(K843,'اکسسوری حذف از لیست اصلی'!T:T,0))</f>
        <v>فرش دست بافت AC-R016</v>
      </c>
      <c r="G843" s="110" t="str">
        <f>INDEX('اکسسوری حذف از لیست اصلی'!E:E,MATCH(K843,'اکسسوری حذف از لیست اصلی'!T:T,0))</f>
        <v>190*130</v>
      </c>
      <c r="H843" s="110">
        <f>INDEX('اکسسوری حذف از لیست اصلی'!F:F,MATCH(K843,'اکسسوری حذف از لیست اصلی'!T:T,0))</f>
        <v>0</v>
      </c>
      <c r="I843" s="110">
        <f>INDEX('اکسسوری حذف از لیست اصلی'!G:G,MATCH(K843,'اکسسوری حذف از لیست اصلی'!T:T,0))</f>
        <v>0</v>
      </c>
      <c r="J843" s="74">
        <f>INDEX('اکسسوری حذف از لیست اصلی'!J:J,MATCH(K843,'اکسسوری حذف از لیست اصلی'!T:T,0))</f>
        <v>1344000000</v>
      </c>
      <c r="K843" s="64">
        <v>475</v>
      </c>
    </row>
    <row r="844" spans="1:11" ht="30.75" customHeight="1">
      <c r="A844" s="60"/>
      <c r="B844" s="61"/>
      <c r="D844" s="79">
        <v>16</v>
      </c>
      <c r="E844" s="109">
        <f>INDEX('اکسسوری حذف از لیست اصلی'!C:C,MATCH(K844,'اکسسوری حذف از لیست اصلی'!T:T,0))</f>
        <v>9901080017</v>
      </c>
      <c r="F844" s="109" t="str">
        <f>INDEX('اکسسوری حذف از لیست اصلی'!D:D,MATCH(K844,'اکسسوری حذف از لیست اصلی'!T:T,0))</f>
        <v>فرش ماشینی BC-M017</v>
      </c>
      <c r="G844" s="110" t="str">
        <f>INDEX('اکسسوری حذف از لیست اصلی'!E:E,MATCH(K844,'اکسسوری حذف از لیست اصلی'!T:T,0))</f>
        <v>240*340</v>
      </c>
      <c r="H844" s="110">
        <f>INDEX('اکسسوری حذف از لیست اصلی'!F:F,MATCH(K844,'اکسسوری حذف از لیست اصلی'!T:T,0))</f>
        <v>0</v>
      </c>
      <c r="I844" s="110">
        <f>INDEX('اکسسوری حذف از لیست اصلی'!G:G,MATCH(K844,'اکسسوری حذف از لیست اصلی'!T:T,0))</f>
        <v>0</v>
      </c>
      <c r="J844" s="74">
        <f>INDEX('اکسسوری حذف از لیست اصلی'!J:J,MATCH(K844,'اکسسوری حذف از لیست اصلی'!T:T,0))</f>
        <v>2028000000</v>
      </c>
      <c r="K844" s="64">
        <v>476</v>
      </c>
    </row>
    <row r="845" spans="1:11" ht="30.75" customHeight="1">
      <c r="A845" s="60"/>
      <c r="B845" s="61"/>
      <c r="D845" s="79">
        <v>17</v>
      </c>
      <c r="E845" s="109">
        <f>INDEX('اکسسوری حذف از لیست اصلی'!C:C,MATCH(K845,'اکسسوری حذف از لیست اصلی'!T:T,0))</f>
        <v>9901080018</v>
      </c>
      <c r="F845" s="109" t="str">
        <f>INDEX('اکسسوری حذف از لیست اصلی'!D:D,MATCH(K845,'اکسسوری حذف از لیست اصلی'!T:T,0))</f>
        <v>فرش ماشینی BC-M018</v>
      </c>
      <c r="G845" s="110" t="str">
        <f>INDEX('اکسسوری حذف از لیست اصلی'!E:E,MATCH(K845,'اکسسوری حذف از لیست اصلی'!T:T,0))</f>
        <v>200*300</v>
      </c>
      <c r="H845" s="110">
        <f>INDEX('اکسسوری حذف از لیست اصلی'!F:F,MATCH(K845,'اکسسوری حذف از لیست اصلی'!T:T,0))</f>
        <v>0</v>
      </c>
      <c r="I845" s="110">
        <f>INDEX('اکسسوری حذف از لیست اصلی'!G:G,MATCH(K845,'اکسسوری حذف از لیست اصلی'!T:T,0))</f>
        <v>0</v>
      </c>
      <c r="J845" s="74">
        <f>INDEX('اکسسوری حذف از لیست اصلی'!J:J,MATCH(K845,'اکسسوری حذف از لیست اصلی'!T:T,0))</f>
        <v>1462000000</v>
      </c>
      <c r="K845" s="64">
        <v>477</v>
      </c>
    </row>
    <row r="846" spans="1:11" ht="30.75" customHeight="1">
      <c r="A846" s="60"/>
      <c r="B846" s="61"/>
      <c r="D846" s="73">
        <v>18</v>
      </c>
      <c r="E846" s="109">
        <f>INDEX('اکسسوری حذف از لیست اصلی'!C:C,MATCH(K846,'اکسسوری حذف از لیست اصلی'!T:T,0))</f>
        <v>9901080019</v>
      </c>
      <c r="F846" s="109" t="str">
        <f>INDEX('اکسسوری حذف از لیست اصلی'!D:D,MATCH(K846,'اکسسوری حذف از لیست اصلی'!T:T,0))</f>
        <v>فرش ماشینی BC-M019</v>
      </c>
      <c r="G846" s="110" t="str">
        <f>INDEX('اکسسوری حذف از لیست اصلی'!E:E,MATCH(K846,'اکسسوری حذف از لیست اصلی'!T:T,0))</f>
        <v>230*160</v>
      </c>
      <c r="H846" s="110">
        <f>INDEX('اکسسوری حذف از لیست اصلی'!F:F,MATCH(K846,'اکسسوری حذف از لیست اصلی'!T:T,0))</f>
        <v>0</v>
      </c>
      <c r="I846" s="110">
        <f>INDEX('اکسسوری حذف از لیست اصلی'!G:G,MATCH(K846,'اکسسوری حذف از لیست اصلی'!T:T,0))</f>
        <v>0</v>
      </c>
      <c r="J846" s="74">
        <f>INDEX('اکسسوری حذف از لیست اصلی'!J:J,MATCH(K846,'اکسسوری حذف از لیست اصلی'!T:T,0))</f>
        <v>1014000000</v>
      </c>
      <c r="K846" s="64">
        <v>478</v>
      </c>
    </row>
    <row r="847" spans="1:11" ht="30.75" customHeight="1">
      <c r="A847" s="60"/>
      <c r="B847" s="61"/>
      <c r="D847" s="79">
        <v>19</v>
      </c>
      <c r="E847" s="109">
        <f>INDEX('اکسسوری حذف از لیست اصلی'!C:C,MATCH(K847,'اکسسوری حذف از لیست اصلی'!T:T,0))</f>
        <v>9901080020</v>
      </c>
      <c r="F847" s="109" t="str">
        <f>INDEX('اکسسوری حذف از لیست اصلی'!D:D,MATCH(K847,'اکسسوری حذف از لیست اصلی'!T:T,0))</f>
        <v>فرش ماشینی BC-M020</v>
      </c>
      <c r="G847" s="110" t="str">
        <f>INDEX('اکسسوری حذف از لیست اصلی'!E:E,MATCH(K847,'اکسسوری حذف از لیست اصلی'!T:T,0))</f>
        <v>300*200</v>
      </c>
      <c r="H847" s="110">
        <f>INDEX('اکسسوری حذف از لیست اصلی'!F:F,MATCH(K847,'اکسسوری حذف از لیست اصلی'!T:T,0))</f>
        <v>0</v>
      </c>
      <c r="I847" s="110">
        <f>INDEX('اکسسوری حذف از لیست اصلی'!G:G,MATCH(K847,'اکسسوری حذف از لیست اصلی'!T:T,0))</f>
        <v>0</v>
      </c>
      <c r="J847" s="74">
        <f>INDEX('اکسسوری حذف از لیست اصلی'!J:J,MATCH(K847,'اکسسوری حذف از لیست اصلی'!T:T,0))</f>
        <v>1462000000</v>
      </c>
      <c r="K847" s="64">
        <v>479</v>
      </c>
    </row>
    <row r="848" spans="1:11" ht="30.75" customHeight="1">
      <c r="A848" s="60"/>
      <c r="B848" s="61"/>
      <c r="D848" s="79">
        <v>20</v>
      </c>
      <c r="E848" s="109">
        <f>INDEX('اکسسوری حذف از لیست اصلی'!C:C,MATCH(K848,'اکسسوری حذف از لیست اصلی'!T:T,0))</f>
        <v>9901080021</v>
      </c>
      <c r="F848" s="109" t="str">
        <f>INDEX('اکسسوری حذف از لیست اصلی'!D:D,MATCH(K848,'اکسسوری حذف از لیست اصلی'!T:T,0))</f>
        <v>فرش ماشینی BC-M021</v>
      </c>
      <c r="G848" s="110" t="str">
        <f>INDEX('اکسسوری حذف از لیست اصلی'!E:E,MATCH(K848,'اکسسوری حذف از لیست اصلی'!T:T,0))</f>
        <v>230*160</v>
      </c>
      <c r="H848" s="110">
        <f>INDEX('اکسسوری حذف از لیست اصلی'!F:F,MATCH(K848,'اکسسوری حذف از لیست اصلی'!T:T,0))</f>
        <v>0</v>
      </c>
      <c r="I848" s="110">
        <f>INDEX('اکسسوری حذف از لیست اصلی'!G:G,MATCH(K848,'اکسسوری حذف از لیست اصلی'!T:T,0))</f>
        <v>0</v>
      </c>
      <c r="J848" s="74">
        <f>INDEX('اکسسوری حذف از لیست اصلی'!J:J,MATCH(K848,'اکسسوری حذف از لیست اصلی'!T:T,0))</f>
        <v>1014000000</v>
      </c>
      <c r="K848" s="64">
        <v>480</v>
      </c>
    </row>
    <row r="849" spans="1:11" ht="18" customHeight="1">
      <c r="A849" s="60"/>
      <c r="B849" s="61"/>
      <c r="D849"/>
      <c r="E849"/>
      <c r="F849"/>
      <c r="G849"/>
      <c r="H849"/>
      <c r="I849"/>
      <c r="J849" s="74">
        <v>31</v>
      </c>
    </row>
    <row r="850" spans="1:11" ht="18" customHeight="1">
      <c r="A850" s="60"/>
      <c r="B850" s="61"/>
      <c r="C850" s="183"/>
      <c r="D850" s="184"/>
      <c r="E850" s="184"/>
      <c r="F850" s="184"/>
      <c r="G850" s="184"/>
      <c r="H850" s="184"/>
      <c r="I850" s="184"/>
      <c r="J850" s="184"/>
    </row>
    <row r="851" spans="1:11" ht="18" customHeight="1">
      <c r="A851" s="60"/>
      <c r="B851" s="61"/>
      <c r="C851" s="183"/>
      <c r="D851" s="184"/>
      <c r="E851" s="184"/>
      <c r="F851" s="184"/>
      <c r="G851" s="184"/>
      <c r="H851" s="184"/>
      <c r="I851" s="184"/>
      <c r="J851" s="184"/>
    </row>
    <row r="852" spans="1:11" ht="18" customHeight="1">
      <c r="A852" s="60"/>
      <c r="B852" s="61"/>
      <c r="C852" s="72"/>
      <c r="D852" s="67" t="s">
        <v>1192</v>
      </c>
      <c r="J852" s="68" t="str">
        <f>$N$1</f>
        <v>1405/02/23</v>
      </c>
    </row>
    <row r="853" spans="1:11" ht="18" customHeight="1">
      <c r="A853" s="60"/>
      <c r="B853" s="61"/>
      <c r="C853" s="77"/>
      <c r="D853" s="75" t="s">
        <v>0</v>
      </c>
      <c r="E853" s="69" t="s">
        <v>1</v>
      </c>
      <c r="F853" s="107" t="s">
        <v>448</v>
      </c>
      <c r="G853" s="108" t="s">
        <v>1141</v>
      </c>
      <c r="H853" s="108" t="s">
        <v>1142</v>
      </c>
      <c r="I853" s="108" t="s">
        <v>1143</v>
      </c>
      <c r="J853" s="68" t="s">
        <v>251</v>
      </c>
    </row>
    <row r="854" spans="1:11" ht="30.75" customHeight="1">
      <c r="A854" s="60"/>
      <c r="B854" s="61"/>
      <c r="D854" s="73">
        <v>21</v>
      </c>
      <c r="E854" s="109">
        <f>INDEX('اکسسوری حذف از لیست اصلی'!C:C,MATCH(K854,'اکسسوری حذف از لیست اصلی'!T:T,0))</f>
        <v>9901080022</v>
      </c>
      <c r="F854" s="109" t="str">
        <f>INDEX('اکسسوری حذف از لیست اصلی'!D:D,MATCH(K854,'اکسسوری حذف از لیست اصلی'!T:T,0))</f>
        <v>فرش گلیم  کرم KC-R022</v>
      </c>
      <c r="G854" s="110" t="str">
        <f>INDEX('اکسسوری حذف از لیست اصلی'!E:E,MATCH(K854,'اکسسوری حذف از لیست اصلی'!T:T,0))</f>
        <v>340*240</v>
      </c>
      <c r="H854" s="110">
        <f>INDEX('اکسسوری حذف از لیست اصلی'!F:F,MATCH(K854,'اکسسوری حذف از لیست اصلی'!T:T,0))</f>
        <v>0</v>
      </c>
      <c r="I854" s="110">
        <f>INDEX('اکسسوری حذف از لیست اصلی'!G:G,MATCH(K854,'اکسسوری حذف از لیست اصلی'!T:T,0))</f>
        <v>0</v>
      </c>
      <c r="J854" s="74">
        <f>INDEX('اکسسوری حذف از لیست اصلی'!J:J,MATCH(K854,'اکسسوری حذف از لیست اصلی'!T:T,0))</f>
        <v>1809000000</v>
      </c>
      <c r="K854" s="64">
        <v>481</v>
      </c>
    </row>
    <row r="855" spans="1:11" ht="30.75" customHeight="1">
      <c r="A855" s="60"/>
      <c r="B855" s="61"/>
      <c r="C855" s="78"/>
      <c r="D855" s="79">
        <v>22</v>
      </c>
      <c r="E855" s="109">
        <f>INDEX('اکسسوری حذف از لیست اصلی'!C:C,MATCH(K855,'اکسسوری حذف از لیست اصلی'!T:T,0))</f>
        <v>9901080023</v>
      </c>
      <c r="F855" s="109" t="str">
        <f>INDEX('اکسسوری حذف از لیست اصلی'!D:D,MATCH(K855,'اکسسوری حذف از لیست اصلی'!T:T,0))</f>
        <v>فرش گلیم  کرم KC-R023</v>
      </c>
      <c r="G855" s="110" t="str">
        <f>INDEX('اکسسوری حذف از لیست اصلی'!E:E,MATCH(K855,'اکسسوری حذف از لیست اصلی'!T:T,0))</f>
        <v>340*240</v>
      </c>
      <c r="H855" s="110">
        <f>INDEX('اکسسوری حذف از لیست اصلی'!F:F,MATCH(K855,'اکسسوری حذف از لیست اصلی'!T:T,0))</f>
        <v>0</v>
      </c>
      <c r="I855" s="110">
        <f>INDEX('اکسسوری حذف از لیست اصلی'!G:G,MATCH(K855,'اکسسوری حذف از لیست اصلی'!T:T,0))</f>
        <v>0</v>
      </c>
      <c r="J855" s="74">
        <f>INDEX('اکسسوری حذف از لیست اصلی'!J:J,MATCH(K855,'اکسسوری حذف از لیست اصلی'!T:T,0))</f>
        <v>1809000000</v>
      </c>
      <c r="K855" s="64">
        <v>482</v>
      </c>
    </row>
    <row r="856" spans="1:11" ht="30.75" customHeight="1">
      <c r="A856" s="60"/>
      <c r="B856" s="61"/>
      <c r="D856" s="73">
        <v>23</v>
      </c>
      <c r="E856" s="109">
        <f>INDEX('اکسسوری حذف از لیست اصلی'!C:C,MATCH(K856,'اکسسوری حذف از لیست اصلی'!T:T,0))</f>
        <v>9901080024</v>
      </c>
      <c r="F856" s="109" t="str">
        <f>INDEX('اکسسوری حذف از لیست اصلی'!D:D,MATCH(K856,'اکسسوری حذف از لیست اصلی'!T:T,0))</f>
        <v>فرش ماشینیBC-M0024</v>
      </c>
      <c r="G856" s="110" t="str">
        <f>INDEX('اکسسوری حذف از لیست اصلی'!E:E,MATCH(K856,'اکسسوری حذف از لیست اصلی'!T:T,0))</f>
        <v>230*160</v>
      </c>
      <c r="H856" s="110">
        <f>INDEX('اکسسوری حذف از لیست اصلی'!F:F,MATCH(K856,'اکسسوری حذف از لیست اصلی'!T:T,0))</f>
        <v>0</v>
      </c>
      <c r="I856" s="110">
        <f>INDEX('اکسسوری حذف از لیست اصلی'!G:G,MATCH(K856,'اکسسوری حذف از لیست اصلی'!T:T,0))</f>
        <v>0</v>
      </c>
      <c r="J856" s="74">
        <f>INDEX('اکسسوری حذف از لیست اصلی'!J:J,MATCH(K856,'اکسسوری حذف از لیست اصلی'!T:T,0))</f>
        <v>1014000000</v>
      </c>
      <c r="K856" s="64">
        <v>483</v>
      </c>
    </row>
    <row r="857" spans="1:11" ht="30.75" customHeight="1">
      <c r="A857" s="60"/>
      <c r="B857" s="61"/>
      <c r="D857" s="79">
        <v>24</v>
      </c>
      <c r="E857" s="109">
        <f>INDEX('اکسسوری حذف از لیست اصلی'!C:C,MATCH(K857,'اکسسوری حذف از لیست اصلی'!T:T,0))</f>
        <v>9901080025</v>
      </c>
      <c r="F857" s="109" t="str">
        <f>INDEX('اکسسوری حذف از لیست اصلی'!D:D,MATCH(K857,'اکسسوری حذف از لیست اصلی'!T:T,0))</f>
        <v>فرش ماشینی TMC-M025</v>
      </c>
      <c r="G857" s="110" t="str">
        <f>INDEX('اکسسوری حذف از لیست اصلی'!E:E,MATCH(K857,'اکسسوری حذف از لیست اصلی'!T:T,0))</f>
        <v>230*160</v>
      </c>
      <c r="H857" s="110">
        <f>INDEX('اکسسوری حذف از لیست اصلی'!F:F,MATCH(K857,'اکسسوری حذف از لیست اصلی'!T:T,0))</f>
        <v>0</v>
      </c>
      <c r="I857" s="110">
        <f>INDEX('اکسسوری حذف از لیست اصلی'!G:G,MATCH(K857,'اکسسوری حذف از لیست اصلی'!T:T,0))</f>
        <v>0</v>
      </c>
      <c r="J857" s="74">
        <f>INDEX('اکسسوری حذف از لیست اصلی'!J:J,MATCH(K857,'اکسسوری حذف از لیست اصلی'!T:T,0))</f>
        <v>920000000</v>
      </c>
      <c r="K857" s="64">
        <v>484</v>
      </c>
    </row>
    <row r="858" spans="1:11" ht="30.75" customHeight="1">
      <c r="A858" s="60"/>
      <c r="B858" s="61"/>
      <c r="D858" s="73">
        <v>25</v>
      </c>
      <c r="E858" s="109">
        <f>INDEX('اکسسوری حذف از لیست اصلی'!C:C,MATCH(K858,'اکسسوری حذف از لیست اصلی'!T:T,0))</f>
        <v>9901080026</v>
      </c>
      <c r="F858" s="109" t="str">
        <f>INDEX('اکسسوری حذف از لیست اصلی'!D:D,MATCH(K858,'اکسسوری حذف از لیست اصلی'!T:T,0))</f>
        <v>فرش ماشینی BC-M026</v>
      </c>
      <c r="G858" s="110" t="str">
        <f>INDEX('اکسسوری حذف از لیست اصلی'!E:E,MATCH(K858,'اکسسوری حذف از لیست اصلی'!T:T,0))</f>
        <v>230*160</v>
      </c>
      <c r="H858" s="110">
        <f>INDEX('اکسسوری حذف از لیست اصلی'!F:F,MATCH(K858,'اکسسوری حذف از لیست اصلی'!T:T,0))</f>
        <v>0</v>
      </c>
      <c r="I858" s="110">
        <f>INDEX('اکسسوری حذف از لیست اصلی'!G:G,MATCH(K858,'اکسسوری حذف از لیست اصلی'!T:T,0))</f>
        <v>0</v>
      </c>
      <c r="J858" s="74">
        <f>INDEX('اکسسوری حذف از لیست اصلی'!J:J,MATCH(K858,'اکسسوری حذف از لیست اصلی'!T:T,0))</f>
        <v>1014000000</v>
      </c>
      <c r="K858" s="64">
        <v>485</v>
      </c>
    </row>
    <row r="859" spans="1:11" ht="30.75" customHeight="1">
      <c r="A859" s="60"/>
      <c r="B859" s="61"/>
      <c r="D859" s="79">
        <v>26</v>
      </c>
      <c r="E859" s="109">
        <f>INDEX('اکسسوری حذف از لیست اصلی'!C:C,MATCH(K859,'اکسسوری حذف از لیست اصلی'!T:T,0))</f>
        <v>9901080027</v>
      </c>
      <c r="F859" s="109" t="str">
        <f>INDEX('اکسسوری حذف از لیست اصلی'!D:D,MATCH(K859,'اکسسوری حذف از لیست اصلی'!T:T,0))</f>
        <v>فرش گلیم BC-R027</v>
      </c>
      <c r="G859" s="110" t="str">
        <f>INDEX('اکسسوری حذف از لیست اصلی'!E:E,MATCH(K859,'اکسسوری حذف از لیست اصلی'!T:T,0))</f>
        <v>230*160</v>
      </c>
      <c r="H859" s="110">
        <f>INDEX('اکسسوری حذف از لیست اصلی'!F:F,MATCH(K859,'اکسسوری حذف از لیست اصلی'!T:T,0))</f>
        <v>0</v>
      </c>
      <c r="I859" s="110">
        <f>INDEX('اکسسوری حذف از لیست اصلی'!G:G,MATCH(K859,'اکسسوری حذف از لیست اصلی'!T:T,0))</f>
        <v>0</v>
      </c>
      <c r="J859" s="74">
        <f>INDEX('اکسسوری حذف از لیست اصلی'!J:J,MATCH(K859,'اکسسوری حذف از لیست اصلی'!T:T,0))</f>
        <v>1014000000</v>
      </c>
      <c r="K859" s="64">
        <v>486</v>
      </c>
    </row>
    <row r="860" spans="1:11" ht="30.75" customHeight="1">
      <c r="A860" s="60"/>
      <c r="B860" s="61"/>
      <c r="D860" s="73">
        <v>27</v>
      </c>
      <c r="E860" s="109">
        <f>INDEX('اکسسوری حذف از لیست اصلی'!C:C,MATCH(K860,'اکسسوری حذف از لیست اصلی'!T:T,0))</f>
        <v>9901080028</v>
      </c>
      <c r="F860" s="109" t="str">
        <f>INDEX('اکسسوری حذف از لیست اصلی'!D:D,MATCH(K860,'اکسسوری حذف از لیست اصلی'!T:T,0))</f>
        <v>فرش گلیم BC-R028</v>
      </c>
      <c r="G860" s="110" t="str">
        <f>INDEX('اکسسوری حذف از لیست اصلی'!E:E,MATCH(K860,'اکسسوری حذف از لیست اصلی'!T:T,0))</f>
        <v>230*160</v>
      </c>
      <c r="H860" s="110">
        <f>INDEX('اکسسوری حذف از لیست اصلی'!F:F,MATCH(K860,'اکسسوری حذف از لیست اصلی'!T:T,0))</f>
        <v>0</v>
      </c>
      <c r="I860" s="110">
        <f>INDEX('اکسسوری حذف از لیست اصلی'!G:G,MATCH(K860,'اکسسوری حذف از لیست اصلی'!T:T,0))</f>
        <v>0</v>
      </c>
      <c r="J860" s="74">
        <f>INDEX('اکسسوری حذف از لیست اصلی'!J:J,MATCH(K860,'اکسسوری حذف از لیست اصلی'!T:T,0))</f>
        <v>1014000000</v>
      </c>
      <c r="K860" s="64">
        <v>487</v>
      </c>
    </row>
    <row r="861" spans="1:11" ht="30.75" customHeight="1">
      <c r="A861" s="60"/>
      <c r="B861" s="61"/>
      <c r="D861" s="79">
        <v>28</v>
      </c>
      <c r="E861" s="109">
        <f>INDEX('اکسسوری حذف از لیست اصلی'!C:C,MATCH(K861,'اکسسوری حذف از لیست اصلی'!T:T,0))</f>
        <v>9901080030</v>
      </c>
      <c r="F861" s="109" t="str">
        <f>INDEX('اکسسوری حذف از لیست اصلی'!D:D,MATCH(K861,'اکسسوری حذف از لیست اصلی'!T:T,0))</f>
        <v>فرش گلیم  BC-R030</v>
      </c>
      <c r="G861" s="110" t="str">
        <f>INDEX('اکسسوری حذف از لیست اصلی'!E:E,MATCH(K861,'اکسسوری حذف از لیست اصلی'!T:T,0))</f>
        <v>230*160</v>
      </c>
      <c r="H861" s="110">
        <f>INDEX('اکسسوری حذف از لیست اصلی'!F:F,MATCH(K861,'اکسسوری حذف از لیست اصلی'!T:T,0))</f>
        <v>0</v>
      </c>
      <c r="I861" s="110">
        <f>INDEX('اکسسوری حذف از لیست اصلی'!G:G,MATCH(K861,'اکسسوری حذف از لیست اصلی'!T:T,0))</f>
        <v>0</v>
      </c>
      <c r="J861" s="74">
        <f>INDEX('اکسسوری حذف از لیست اصلی'!J:J,MATCH(K861,'اکسسوری حذف از لیست اصلی'!T:T,0))</f>
        <v>1014000000</v>
      </c>
      <c r="K861" s="64">
        <v>488</v>
      </c>
    </row>
    <row r="862" spans="1:11" ht="30.75" customHeight="1">
      <c r="A862" s="60"/>
      <c r="B862" s="61"/>
      <c r="D862" s="73">
        <v>29</v>
      </c>
      <c r="E862" s="109">
        <f>INDEX('اکسسوری حذف از لیست اصلی'!C:C,MATCH(K862,'اکسسوری حذف از لیست اصلی'!T:T,0))</f>
        <v>9901080031</v>
      </c>
      <c r="F862" s="109" t="str">
        <f>INDEX('اکسسوری حذف از لیست اصلی'!D:D,MATCH(K862,'اکسسوری حذف از لیست اصلی'!T:T,0))</f>
        <v>فرش گلیم BC-R031</v>
      </c>
      <c r="G862" s="110" t="str">
        <f>INDEX('اکسسوری حذف از لیست اصلی'!E:E,MATCH(K862,'اکسسوری حذف از لیست اصلی'!T:T,0))</f>
        <v>180*120</v>
      </c>
      <c r="H862" s="110">
        <f>INDEX('اکسسوری حذف از لیست اصلی'!F:F,MATCH(K862,'اکسسوری حذف از لیست اصلی'!T:T,0))</f>
        <v>0</v>
      </c>
      <c r="I862" s="110">
        <f>INDEX('اکسسوری حذف از لیست اصلی'!G:G,MATCH(K862,'اکسسوری حذف از لیست اصلی'!T:T,0))</f>
        <v>0</v>
      </c>
      <c r="J862" s="74">
        <f>INDEX('اکسسوری حذف از لیست اصلی'!J:J,MATCH(K862,'اکسسوری حذف از لیست اصلی'!T:T,0))</f>
        <v>885000000</v>
      </c>
      <c r="K862" s="64">
        <v>489</v>
      </c>
    </row>
    <row r="863" spans="1:11" ht="30.75" customHeight="1">
      <c r="A863" s="60"/>
      <c r="B863" s="61"/>
      <c r="D863" s="79">
        <v>30</v>
      </c>
      <c r="E863" s="109">
        <f>INDEX('اکسسوری حذف از لیست اصلی'!C:C,MATCH(K863,'اکسسوری حذف از لیست اصلی'!T:T,0))</f>
        <v>9901080032</v>
      </c>
      <c r="F863" s="109" t="str">
        <f>INDEX('اکسسوری حذف از لیست اصلی'!D:D,MATCH(K863,'اکسسوری حذف از لیست اصلی'!T:T,0))</f>
        <v>فرش ماشینی BC-M032</v>
      </c>
      <c r="G863" s="110" t="str">
        <f>INDEX('اکسسوری حذف از لیست اصلی'!E:E,MATCH(K863,'اکسسوری حذف از لیست اصلی'!T:T,0))</f>
        <v>180*120</v>
      </c>
      <c r="H863" s="110">
        <f>INDEX('اکسسوری حذف از لیست اصلی'!F:F,MATCH(K863,'اکسسوری حذف از لیست اصلی'!T:T,0))</f>
        <v>0</v>
      </c>
      <c r="I863" s="110">
        <f>INDEX('اکسسوری حذف از لیست اصلی'!G:G,MATCH(K863,'اکسسوری حذف از لیست اصلی'!T:T,0))</f>
        <v>0</v>
      </c>
      <c r="J863" s="74">
        <f>INDEX('اکسسوری حذف از لیست اصلی'!J:J,MATCH(K863,'اکسسوری حذف از لیست اصلی'!T:T,0))</f>
        <v>625000000</v>
      </c>
      <c r="K863" s="64">
        <v>490</v>
      </c>
    </row>
    <row r="864" spans="1:11" ht="30.75" customHeight="1">
      <c r="A864" s="60"/>
      <c r="B864" s="61"/>
      <c r="D864" s="73">
        <v>31</v>
      </c>
      <c r="E864" s="109">
        <f>INDEX('اکسسوری حذف از لیست اصلی'!C:C,MATCH(K864,'اکسسوری حذف از لیست اصلی'!T:T,0))</f>
        <v>9901080033</v>
      </c>
      <c r="F864" s="109" t="str">
        <f>INDEX('اکسسوری حذف از لیست اصلی'!D:D,MATCH(K864,'اکسسوری حذف از لیست اصلی'!T:T,0))</f>
        <v>فرش ماشینی BC-M033</v>
      </c>
      <c r="G864" s="110" t="str">
        <f>INDEX('اکسسوری حذف از لیست اصلی'!E:E,MATCH(K864,'اکسسوری حذف از لیست اصلی'!T:T,0))</f>
        <v>180*120</v>
      </c>
      <c r="H864" s="110">
        <f>INDEX('اکسسوری حذف از لیست اصلی'!F:F,MATCH(K864,'اکسسوری حذف از لیست اصلی'!T:T,0))</f>
        <v>0</v>
      </c>
      <c r="I864" s="110">
        <f>INDEX('اکسسوری حذف از لیست اصلی'!G:G,MATCH(K864,'اکسسوری حذف از لیست اصلی'!T:T,0))</f>
        <v>0</v>
      </c>
      <c r="J864" s="74">
        <f>INDEX('اکسسوری حذف از لیست اصلی'!J:J,MATCH(K864,'اکسسوری حذف از لیست اصلی'!T:T,0))</f>
        <v>625000000</v>
      </c>
      <c r="K864" s="64">
        <v>491</v>
      </c>
    </row>
    <row r="865" spans="1:11" ht="30.75" customHeight="1">
      <c r="A865" s="60"/>
      <c r="B865" s="61"/>
      <c r="D865" s="79">
        <v>32</v>
      </c>
      <c r="E865" s="109">
        <f>INDEX('اکسسوری حذف از لیست اصلی'!C:C,MATCH(K865,'اکسسوری حذف از لیست اصلی'!T:T,0))</f>
        <v>9901080034</v>
      </c>
      <c r="F865" s="109" t="str">
        <f>INDEX('اکسسوری حذف از لیست اصلی'!D:D,MATCH(K865,'اکسسوری حذف از لیست اصلی'!T:T,0))</f>
        <v>فرش ماشینی BC-M034</v>
      </c>
      <c r="G865" s="110" t="str">
        <f>INDEX('اکسسوری حذف از لیست اصلی'!E:E,MATCH(K865,'اکسسوری حذف از لیست اصلی'!T:T,0))</f>
        <v>180*120</v>
      </c>
      <c r="H865" s="110">
        <f>INDEX('اکسسوری حذف از لیست اصلی'!F:F,MATCH(K865,'اکسسوری حذف از لیست اصلی'!T:T,0))</f>
        <v>0</v>
      </c>
      <c r="I865" s="110">
        <f>INDEX('اکسسوری حذف از لیست اصلی'!G:G,MATCH(K865,'اکسسوری حذف از لیست اصلی'!T:T,0))</f>
        <v>0</v>
      </c>
      <c r="J865" s="74">
        <f>INDEX('اکسسوری حذف از لیست اصلی'!J:J,MATCH(K865,'اکسسوری حذف از لیست اصلی'!T:T,0))</f>
        <v>625000000</v>
      </c>
      <c r="K865" s="64">
        <v>492</v>
      </c>
    </row>
    <row r="866" spans="1:11" ht="30.75" customHeight="1">
      <c r="A866" s="60"/>
      <c r="B866" s="61"/>
      <c r="D866" s="73">
        <v>33</v>
      </c>
      <c r="E866" s="109">
        <f>INDEX('اکسسوری حذف از لیست اصلی'!C:C,MATCH(K866,'اکسسوری حذف از لیست اصلی'!T:T,0))</f>
        <v>9901080035</v>
      </c>
      <c r="F866" s="109" t="str">
        <f>INDEX('اکسسوری حذف از لیست اصلی'!D:D,MATCH(K866,'اکسسوری حذف از لیست اصلی'!T:T,0))</f>
        <v>فرش ماشینی  آبی TC-M035</v>
      </c>
      <c r="G866" s="110" t="str">
        <f>INDEX('اکسسوری حذف از لیست اصلی'!E:E,MATCH(K866,'اکسسوری حذف از لیست اصلی'!T:T,0))</f>
        <v>230*160</v>
      </c>
      <c r="H866" s="110">
        <f>INDEX('اکسسوری حذف از لیست اصلی'!F:F,MATCH(K866,'اکسسوری حذف از لیست اصلی'!T:T,0))</f>
        <v>0</v>
      </c>
      <c r="I866" s="110">
        <f>INDEX('اکسسوری حذف از لیست اصلی'!G:G,MATCH(K866,'اکسسوری حذف از لیست اصلی'!T:T,0))</f>
        <v>0</v>
      </c>
      <c r="J866" s="74">
        <f>INDEX('اکسسوری حذف از لیست اصلی'!J:J,MATCH(K866,'اکسسوری حذف از لیست اصلی'!T:T,0))</f>
        <v>920000000</v>
      </c>
      <c r="K866" s="64">
        <v>493</v>
      </c>
    </row>
    <row r="867" spans="1:11" ht="30.75" customHeight="1">
      <c r="A867" s="60"/>
      <c r="B867" s="61"/>
      <c r="D867" s="79">
        <v>34</v>
      </c>
      <c r="E867" s="109">
        <f>INDEX('اکسسوری حذف از لیست اصلی'!C:C,MATCH(K867,'اکسسوری حذف از لیست اصلی'!T:T,0))</f>
        <v>9901080036</v>
      </c>
      <c r="F867" s="109" t="str">
        <f>INDEX('اکسسوری حذف از لیست اصلی'!D:D,MATCH(K867,'اکسسوری حذف از لیست اصلی'!T:T,0))</f>
        <v>فرش گلیم  ذغالی KC-M036</v>
      </c>
      <c r="G867" s="110" t="str">
        <f>INDEX('اکسسوری حذف از لیست اصلی'!E:E,MATCH(K867,'اکسسوری حذف از لیست اصلی'!T:T,0))</f>
        <v>230*160</v>
      </c>
      <c r="H867" s="110">
        <f>INDEX('اکسسوری حذف از لیست اصلی'!F:F,MATCH(K867,'اکسسوری حذف از لیست اصلی'!T:T,0))</f>
        <v>0</v>
      </c>
      <c r="I867" s="110">
        <f>INDEX('اکسسوری حذف از لیست اصلی'!G:G,MATCH(K867,'اکسسوری حذف از لیست اصلی'!T:T,0))</f>
        <v>0</v>
      </c>
      <c r="J867" s="74">
        <f>INDEX('اکسسوری حذف از لیست اصلی'!J:J,MATCH(K867,'اکسسوری حذف از لیست اصلی'!T:T,0))</f>
        <v>826000000</v>
      </c>
      <c r="K867" s="64">
        <v>494</v>
      </c>
    </row>
    <row r="868" spans="1:11" ht="30.75" customHeight="1">
      <c r="A868" s="60"/>
      <c r="B868" s="61"/>
      <c r="D868" s="73">
        <v>35</v>
      </c>
      <c r="E868" s="109">
        <f>INDEX('اکسسوری حذف از لیست اصلی'!C:C,MATCH(K868,'اکسسوری حذف از لیست اصلی'!T:T,0))</f>
        <v>9901080037</v>
      </c>
      <c r="F868" s="109" t="str">
        <f>INDEX('اکسسوری حذف از لیست اصلی'!D:D,MATCH(K868,'اکسسوری حذف از لیست اصلی'!T:T,0))</f>
        <v>فرش گلیم  ذغالی KC-M037</v>
      </c>
      <c r="G868" s="110" t="str">
        <f>INDEX('اکسسوری حذف از لیست اصلی'!E:E,MATCH(K868,'اکسسوری حذف از لیست اصلی'!T:T,0))</f>
        <v>140*200</v>
      </c>
      <c r="H868" s="110">
        <f>INDEX('اکسسوری حذف از لیست اصلی'!F:F,MATCH(K868,'اکسسوری حذف از لیست اصلی'!T:T,0))</f>
        <v>0</v>
      </c>
      <c r="I868" s="110">
        <f>INDEX('اکسسوری حذف از لیست اصلی'!G:G,MATCH(K868,'اکسسوری حذف از لیست اصلی'!T:T,0))</f>
        <v>0</v>
      </c>
      <c r="J868" s="74">
        <f>INDEX('اکسسوری حذف از لیست اصلی'!J:J,MATCH(K868,'اکسسوری حذف از لیست اصلی'!T:T,0))</f>
        <v>625000000</v>
      </c>
      <c r="K868" s="64">
        <v>495</v>
      </c>
    </row>
    <row r="869" spans="1:11" ht="30.75" customHeight="1">
      <c r="A869" s="60"/>
      <c r="B869" s="61"/>
      <c r="D869" s="79">
        <v>36</v>
      </c>
      <c r="E869" s="109">
        <f>INDEX('اکسسوری حذف از لیست اصلی'!C:C,MATCH(K869,'اکسسوری حذف از لیست اصلی'!T:T,0))</f>
        <v>9901080038</v>
      </c>
      <c r="F869" s="109" t="str">
        <f>INDEX('اکسسوری حذف از لیست اصلی'!D:D,MATCH(K869,'اکسسوری حذف از لیست اصلی'!T:T,0))</f>
        <v>فرش گلیم BC-R038</v>
      </c>
      <c r="G869" s="110" t="str">
        <f>INDEX('اکسسوری حذف از لیست اصلی'!E:E,MATCH(K869,'اکسسوری حذف از لیست اصلی'!T:T,0))</f>
        <v>230*160</v>
      </c>
      <c r="H869" s="110">
        <f>INDEX('اکسسوری حذف از لیست اصلی'!F:F,MATCH(K869,'اکسسوری حذف از لیست اصلی'!T:T,0))</f>
        <v>0</v>
      </c>
      <c r="I869" s="110">
        <f>INDEX('اکسسوری حذف از لیست اصلی'!G:G,MATCH(K869,'اکسسوری حذف از لیست اصلی'!T:T,0))</f>
        <v>0</v>
      </c>
      <c r="J869" s="74">
        <f>INDEX('اکسسوری حذف از لیست اصلی'!J:J,MATCH(K869,'اکسسوری حذف از لیست اصلی'!T:T,0))</f>
        <v>1014000000</v>
      </c>
      <c r="K869" s="64">
        <v>496</v>
      </c>
    </row>
    <row r="870" spans="1:11" ht="30.75" customHeight="1">
      <c r="A870" s="60"/>
      <c r="B870" s="61"/>
      <c r="D870" s="73">
        <v>37</v>
      </c>
      <c r="E870" s="109">
        <f>INDEX('اکسسوری حذف از لیست اصلی'!C:C,MATCH(K870,'اکسسوری حذف از لیست اصلی'!T:T,0))</f>
        <v>9901080039</v>
      </c>
      <c r="F870" s="109" t="str">
        <f>INDEX('اکسسوری حذف از لیست اصلی'!D:D,MATCH(K870,'اکسسوری حذف از لیست اصلی'!T:T,0))</f>
        <v>فرش ماشینی BC-M039</v>
      </c>
      <c r="G870" s="110" t="str">
        <f>INDEX('اکسسوری حذف از لیست اصلی'!E:E,MATCH(K870,'اکسسوری حذف از لیست اصلی'!T:T,0))</f>
        <v>230*160</v>
      </c>
      <c r="H870" s="110">
        <f>INDEX('اکسسوری حذف از لیست اصلی'!F:F,MATCH(K870,'اکسسوری حذف از لیست اصلی'!T:T,0))</f>
        <v>0</v>
      </c>
      <c r="I870" s="110">
        <f>INDEX('اکسسوری حذف از لیست اصلی'!G:G,MATCH(K870,'اکسسوری حذف از لیست اصلی'!T:T,0))</f>
        <v>0</v>
      </c>
      <c r="J870" s="74">
        <f>INDEX('اکسسوری حذف از لیست اصلی'!J:J,MATCH(K870,'اکسسوری حذف از لیست اصلی'!T:T,0))</f>
        <v>1014000000</v>
      </c>
      <c r="K870" s="64">
        <v>497</v>
      </c>
    </row>
    <row r="871" spans="1:11" ht="30.75" customHeight="1">
      <c r="A871" s="60"/>
      <c r="B871" s="61"/>
      <c r="D871" s="79">
        <v>38</v>
      </c>
      <c r="E871" s="109">
        <f>INDEX('اکسسوری حذف از لیست اصلی'!C:C,MATCH(K871,'اکسسوری حذف از لیست اصلی'!T:T,0))</f>
        <v>9901080040</v>
      </c>
      <c r="F871" s="109" t="str">
        <f>INDEX('اکسسوری حذف از لیست اصلی'!D:D,MATCH(K871,'اکسسوری حذف از لیست اصلی'!T:T,0))</f>
        <v>فرش ماشینی طلایی خاکستری IRC-M040</v>
      </c>
      <c r="G871" s="110" t="str">
        <f>INDEX('اکسسوری حذف از لیست اصلی'!E:E,MATCH(K871,'اکسسوری حذف از لیست اصلی'!T:T,0))</f>
        <v>225*150</v>
      </c>
      <c r="H871" s="110">
        <f>INDEX('اکسسوری حذف از لیست اصلی'!F:F,MATCH(K871,'اکسسوری حذف از لیست اصلی'!T:T,0))</f>
        <v>0</v>
      </c>
      <c r="I871" s="110">
        <f>INDEX('اکسسوری حذف از لیست اصلی'!G:G,MATCH(K871,'اکسسوری حذف از لیست اصلی'!T:T,0))</f>
        <v>0</v>
      </c>
      <c r="J871" s="74">
        <f>INDEX('اکسسوری حذف از لیست اصلی'!J:J,MATCH(K871,'اکسسوری حذف از لیست اصلی'!T:T,0))</f>
        <v>625000000</v>
      </c>
      <c r="K871" s="64">
        <v>498</v>
      </c>
    </row>
    <row r="872" spans="1:11" ht="30.75" customHeight="1">
      <c r="A872" s="60"/>
      <c r="B872" s="61"/>
      <c r="D872" s="73">
        <v>39</v>
      </c>
      <c r="E872" s="109">
        <f>INDEX('اکسسوری حذف از لیست اصلی'!C:C,MATCH(K872,'اکسسوری حذف از لیست اصلی'!T:T,0))</f>
        <v>9901080041</v>
      </c>
      <c r="F872" s="109" t="str">
        <f>INDEX('اکسسوری حذف از لیست اصلی'!D:D,MATCH(K872,'اکسسوری حذف از لیست اصلی'!T:T,0))</f>
        <v>فرش گلیم BC-R041</v>
      </c>
      <c r="G872" s="110" t="str">
        <f>INDEX('اکسسوری حذف از لیست اصلی'!E:E,MATCH(K872,'اکسسوری حذف از لیست اصلی'!T:T,0))</f>
        <v>230*160</v>
      </c>
      <c r="H872" s="110">
        <f>INDEX('اکسسوری حذف از لیست اصلی'!F:F,MATCH(K872,'اکسسوری حذف از لیست اصلی'!T:T,0))</f>
        <v>0</v>
      </c>
      <c r="I872" s="110">
        <f>INDEX('اکسسوری حذف از لیست اصلی'!G:G,MATCH(K872,'اکسسوری حذف از لیست اصلی'!T:T,0))</f>
        <v>0</v>
      </c>
      <c r="J872" s="74">
        <f>INDEX('اکسسوری حذف از لیست اصلی'!J:J,MATCH(K872,'اکسسوری حذف از لیست اصلی'!T:T,0))</f>
        <v>1014000000</v>
      </c>
      <c r="K872" s="64">
        <v>499</v>
      </c>
    </row>
    <row r="873" spans="1:11" ht="30.75" customHeight="1">
      <c r="A873" s="60"/>
      <c r="B873" s="61"/>
      <c r="D873" s="79">
        <v>40</v>
      </c>
      <c r="E873" s="109">
        <f>INDEX('اکسسوری حذف از لیست اصلی'!C:C,MATCH(K873,'اکسسوری حذف از لیست اصلی'!T:T,0))</f>
        <v>9901080042</v>
      </c>
      <c r="F873" s="109" t="str">
        <f>INDEX('اکسسوری حذف از لیست اصلی'!D:D,MATCH(K873,'اکسسوری حذف از لیست اصلی'!T:T,0))</f>
        <v>فرش ماشینی BC-M042</v>
      </c>
      <c r="G873" s="110" t="str">
        <f>INDEX('اکسسوری حذف از لیست اصلی'!E:E,MATCH(K873,'اکسسوری حذف از لیست اصلی'!T:T,0))</f>
        <v>180*120</v>
      </c>
      <c r="H873" s="110">
        <f>INDEX('اکسسوری حذف از لیست اصلی'!F:F,MATCH(K873,'اکسسوری حذف از لیست اصلی'!T:T,0))</f>
        <v>0</v>
      </c>
      <c r="I873" s="110">
        <f>INDEX('اکسسوری حذف از لیست اصلی'!G:G,MATCH(K873,'اکسسوری حذف از لیست اصلی'!T:T,0))</f>
        <v>0</v>
      </c>
      <c r="J873" s="74">
        <f>INDEX('اکسسوری حذف از لیست اصلی'!J:J,MATCH(K873,'اکسسوری حذف از لیست اصلی'!T:T,0))</f>
        <v>625000000</v>
      </c>
      <c r="K873" s="64">
        <v>500</v>
      </c>
    </row>
    <row r="874" spans="1:11" ht="18" customHeight="1">
      <c r="A874" s="60"/>
      <c r="B874" s="61"/>
      <c r="D874"/>
      <c r="E874"/>
      <c r="F874"/>
      <c r="G874"/>
      <c r="H874"/>
      <c r="I874"/>
      <c r="J874" s="74">
        <v>32</v>
      </c>
    </row>
    <row r="875" spans="1:11" ht="18" customHeight="1">
      <c r="A875" s="60"/>
      <c r="B875" s="61"/>
      <c r="C875" s="183"/>
      <c r="D875" s="184"/>
      <c r="E875" s="184"/>
      <c r="F875" s="184"/>
      <c r="G875" s="184"/>
      <c r="H875" s="184"/>
      <c r="I875" s="184"/>
      <c r="J875" s="184"/>
    </row>
    <row r="876" spans="1:11" ht="18" customHeight="1">
      <c r="A876" s="60"/>
      <c r="B876" s="61"/>
      <c r="C876" s="183"/>
      <c r="D876" s="184"/>
      <c r="E876" s="184"/>
      <c r="F876" s="184"/>
      <c r="G876" s="184"/>
      <c r="H876" s="184"/>
      <c r="I876" s="184"/>
      <c r="J876" s="184"/>
    </row>
    <row r="877" spans="1:11" ht="18" customHeight="1">
      <c r="A877" s="60"/>
      <c r="B877" s="61"/>
      <c r="C877" s="72"/>
      <c r="D877" s="67" t="s">
        <v>1192</v>
      </c>
      <c r="J877" s="68" t="str">
        <f>$N$1</f>
        <v>1405/02/23</v>
      </c>
    </row>
    <row r="878" spans="1:11" ht="18" customHeight="1">
      <c r="A878" s="60"/>
      <c r="B878" s="61"/>
      <c r="C878" s="77"/>
      <c r="D878" s="75" t="s">
        <v>0</v>
      </c>
      <c r="E878" s="69" t="s">
        <v>1</v>
      </c>
      <c r="F878" s="107" t="s">
        <v>448</v>
      </c>
      <c r="G878" s="108" t="s">
        <v>1141</v>
      </c>
      <c r="H878" s="108" t="s">
        <v>1142</v>
      </c>
      <c r="I878" s="108" t="s">
        <v>1143</v>
      </c>
      <c r="J878" s="68" t="s">
        <v>251</v>
      </c>
    </row>
    <row r="879" spans="1:11" ht="30.75" customHeight="1">
      <c r="A879" s="60"/>
      <c r="B879" s="61"/>
      <c r="D879" s="73">
        <v>41</v>
      </c>
      <c r="E879" s="109">
        <f>INDEX('اکسسوری حذف از لیست اصلی'!C:C,MATCH(K879,'اکسسوری حذف از لیست اصلی'!T:T,0))</f>
        <v>9901080043</v>
      </c>
      <c r="F879" s="109" t="str">
        <f>INDEX('اکسسوری حذف از لیست اصلی'!D:D,MATCH(K879,'اکسسوری حذف از لیست اصلی'!T:T,0))</f>
        <v>فرش ماشینی BC-M043</v>
      </c>
      <c r="G879" s="110" t="str">
        <f>INDEX('اکسسوری حذف از لیست اصلی'!E:E,MATCH(K879,'اکسسوری حذف از لیست اصلی'!T:T,0))</f>
        <v>170*120</v>
      </c>
      <c r="H879" s="110">
        <f>INDEX('اکسسوری حذف از لیست اصلی'!F:F,MATCH(K879,'اکسسوری حذف از لیست اصلی'!T:T,0))</f>
        <v>0</v>
      </c>
      <c r="I879" s="110">
        <f>INDEX('اکسسوری حذف از لیست اصلی'!G:G,MATCH(K879,'اکسسوری حذف از لیست اصلی'!T:T,0))</f>
        <v>0</v>
      </c>
      <c r="J879" s="74">
        <f>INDEX('اکسسوری حذف از لیست اصلی'!J:J,MATCH(K879,'اکسسوری حذف از لیست اصلی'!T:T,0))</f>
        <v>625000000</v>
      </c>
      <c r="K879" s="64">
        <v>501</v>
      </c>
    </row>
    <row r="880" spans="1:11" ht="30.75" customHeight="1">
      <c r="A880" s="60"/>
      <c r="B880" s="61"/>
      <c r="C880" s="78"/>
      <c r="D880" s="79">
        <v>42</v>
      </c>
      <c r="E880" s="109">
        <f>INDEX('اکسسوری حذف از لیست اصلی'!C:C,MATCH(K880,'اکسسوری حذف از لیست اصلی'!T:T,0))</f>
        <v>9901080044</v>
      </c>
      <c r="F880" s="109" t="str">
        <f>INDEX('اکسسوری حذف از لیست اصلی'!D:D,MATCH(K880,'اکسسوری حذف از لیست اصلی'!T:T,0))</f>
        <v>فرش ماشینی BC-M044</v>
      </c>
      <c r="G880" s="110" t="str">
        <f>INDEX('اکسسوری حذف از لیست اصلی'!E:E,MATCH(K880,'اکسسوری حذف از لیست اصلی'!T:T,0))</f>
        <v>170*120</v>
      </c>
      <c r="H880" s="110">
        <f>INDEX('اکسسوری حذف از لیست اصلی'!F:F,MATCH(K880,'اکسسوری حذف از لیست اصلی'!T:T,0))</f>
        <v>0</v>
      </c>
      <c r="I880" s="110">
        <f>INDEX('اکسسوری حذف از لیست اصلی'!G:G,MATCH(K880,'اکسسوری حذف از لیست اصلی'!T:T,0))</f>
        <v>0</v>
      </c>
      <c r="J880" s="74">
        <f>INDEX('اکسسوری حذف از لیست اصلی'!J:J,MATCH(K880,'اکسسوری حذف از لیست اصلی'!T:T,0))</f>
        <v>625000000</v>
      </c>
      <c r="K880" s="64">
        <v>502</v>
      </c>
    </row>
    <row r="881" spans="1:11" ht="30.75" customHeight="1">
      <c r="A881" s="60"/>
      <c r="B881" s="61"/>
      <c r="D881" s="73">
        <v>43</v>
      </c>
      <c r="E881" s="109">
        <f>INDEX('اکسسوری حذف از لیست اصلی'!C:C,MATCH(K881,'اکسسوری حذف از لیست اصلی'!T:T,0))</f>
        <v>9901080045</v>
      </c>
      <c r="F881" s="109" t="str">
        <f>INDEX('اکسسوری حذف از لیست اصلی'!D:D,MATCH(K881,'اکسسوری حذف از لیست اصلی'!T:T,0))</f>
        <v>فرش ماشینی BC-M045</v>
      </c>
      <c r="G881" s="110" t="str">
        <f>INDEX('اکسسوری حذف از لیست اصلی'!E:E,MATCH(K881,'اکسسوری حذف از لیست اصلی'!T:T,0))</f>
        <v>170*120</v>
      </c>
      <c r="H881" s="110">
        <f>INDEX('اکسسوری حذف از لیست اصلی'!F:F,MATCH(K881,'اکسسوری حذف از لیست اصلی'!T:T,0))</f>
        <v>0</v>
      </c>
      <c r="I881" s="110">
        <f>INDEX('اکسسوری حذف از لیست اصلی'!G:G,MATCH(K881,'اکسسوری حذف از لیست اصلی'!T:T,0))</f>
        <v>0</v>
      </c>
      <c r="J881" s="74">
        <f>INDEX('اکسسوری حذف از لیست اصلی'!J:J,MATCH(K881,'اکسسوری حذف از لیست اصلی'!T:T,0))</f>
        <v>625000000</v>
      </c>
      <c r="K881" s="64">
        <v>503</v>
      </c>
    </row>
    <row r="882" spans="1:11" ht="30.75" customHeight="1">
      <c r="A882" s="60"/>
      <c r="B882" s="61"/>
      <c r="D882" s="79">
        <v>44</v>
      </c>
      <c r="E882" s="109">
        <f>INDEX('اکسسوری حذف از لیست اصلی'!C:C,MATCH(K882,'اکسسوری حذف از لیست اصلی'!T:T,0))</f>
        <v>9901080046</v>
      </c>
      <c r="F882" s="109" t="str">
        <f>INDEX('اکسسوری حذف از لیست اصلی'!D:D,MATCH(K882,'اکسسوری حذف از لیست اصلی'!T:T,0))</f>
        <v>گلیم دست بافت  خاکستری CC-R046</v>
      </c>
      <c r="G882" s="110" t="str">
        <f>INDEX('اکسسوری حذف از لیست اصلی'!E:E,MATCH(K882,'اکسسوری حذف از لیست اصلی'!T:T,0))</f>
        <v>180*120</v>
      </c>
      <c r="H882" s="110">
        <f>INDEX('اکسسوری حذف از لیست اصلی'!F:F,MATCH(K882,'اکسسوری حذف از لیست اصلی'!T:T,0))</f>
        <v>0</v>
      </c>
      <c r="I882" s="110">
        <f>INDEX('اکسسوری حذف از لیست اصلی'!G:G,MATCH(K882,'اکسسوری حذف از لیست اصلی'!T:T,0))</f>
        <v>0</v>
      </c>
      <c r="J882" s="74">
        <f>INDEX('اکسسوری حذف از لیست اصلی'!J:J,MATCH(K882,'اکسسوری حذف از لیست اصلی'!T:T,0))</f>
        <v>885000000</v>
      </c>
      <c r="K882" s="64">
        <v>504</v>
      </c>
    </row>
    <row r="883" spans="1:11" ht="30.75" customHeight="1">
      <c r="A883" s="60"/>
      <c r="B883" s="61"/>
      <c r="D883" s="73">
        <v>45</v>
      </c>
      <c r="E883" s="109">
        <f>INDEX('اکسسوری حذف از لیست اصلی'!C:C,MATCH(K883,'اکسسوری حذف از لیست اصلی'!T:T,0))</f>
        <v>9901080047</v>
      </c>
      <c r="F883" s="109" t="str">
        <f>INDEX('اکسسوری حذف از لیست اصلی'!D:D,MATCH(K883,'اکسسوری حذف از لیست اصلی'!T:T,0))</f>
        <v>گلیم دست بافت  مشکی CC-R047</v>
      </c>
      <c r="G883" s="110" t="str">
        <f>INDEX('اکسسوری حذف از لیست اصلی'!E:E,MATCH(K883,'اکسسوری حذف از لیست اصلی'!T:T,0))</f>
        <v>180*120</v>
      </c>
      <c r="H883" s="110">
        <f>INDEX('اکسسوری حذف از لیست اصلی'!F:F,MATCH(K883,'اکسسوری حذف از لیست اصلی'!T:T,0))</f>
        <v>0</v>
      </c>
      <c r="I883" s="110">
        <f>INDEX('اکسسوری حذف از لیست اصلی'!G:G,MATCH(K883,'اکسسوری حذف از لیست اصلی'!T:T,0))</f>
        <v>0</v>
      </c>
      <c r="J883" s="74">
        <f>INDEX('اکسسوری حذف از لیست اصلی'!J:J,MATCH(K883,'اکسسوری حذف از لیست اصلی'!T:T,0))</f>
        <v>885000000</v>
      </c>
      <c r="K883" s="64">
        <v>505</v>
      </c>
    </row>
    <row r="884" spans="1:11" ht="30.75" customHeight="1">
      <c r="A884" s="60"/>
      <c r="B884" s="61"/>
      <c r="D884" s="79">
        <v>46</v>
      </c>
      <c r="E884" s="109">
        <f>INDEX('اکسسوری حذف از لیست اصلی'!C:C,MATCH(K884,'اکسسوری حذف از لیست اصلی'!T:T,0))</f>
        <v>9901080048</v>
      </c>
      <c r="F884" s="109" t="str">
        <f>INDEX('اکسسوری حذف از لیست اصلی'!D:D,MATCH(K884,'اکسسوری حذف از لیست اصلی'!T:T,0))</f>
        <v>فرش دست بافت AC-R048</v>
      </c>
      <c r="G884" s="110" t="str">
        <f>INDEX('اکسسوری حذف از لیست اصلی'!E:E,MATCH(K884,'اکسسوری حذف از لیست اصلی'!T:T,0))</f>
        <v>180*120</v>
      </c>
      <c r="H884" s="110">
        <f>INDEX('اکسسوری حذف از لیست اصلی'!F:F,MATCH(K884,'اکسسوری حذف از لیست اصلی'!T:T,0))</f>
        <v>0</v>
      </c>
      <c r="I884" s="110">
        <f>INDEX('اکسسوری حذف از لیست اصلی'!G:G,MATCH(K884,'اکسسوری حذف از لیست اصلی'!T:T,0))</f>
        <v>0</v>
      </c>
      <c r="J884" s="74">
        <f>INDEX('اکسسوری حذف از لیست اصلی'!J:J,MATCH(K884,'اکسسوری حذف از لیست اصلی'!T:T,0))</f>
        <v>1344000000</v>
      </c>
      <c r="K884" s="64">
        <v>506</v>
      </c>
    </row>
    <row r="885" spans="1:11" ht="30.75" customHeight="1">
      <c r="A885" s="60"/>
      <c r="B885" s="61"/>
      <c r="D885" s="73">
        <v>47</v>
      </c>
      <c r="E885" s="109">
        <f>INDEX('اکسسوری حذف از لیست اصلی'!C:C,MATCH(K885,'اکسسوری حذف از لیست اصلی'!T:T,0))</f>
        <v>9901080050</v>
      </c>
      <c r="F885" s="109" t="str">
        <f>INDEX('اکسسوری حذف از لیست اصلی'!D:D,MATCH(K885,'اکسسوری حذف از لیست اصلی'!T:T,0))</f>
        <v>فرش ماشینی BC-M050</v>
      </c>
      <c r="G885" s="110" t="str">
        <f>INDEX('اکسسوری حذف از لیست اصلی'!E:E,MATCH(K885,'اکسسوری حذف از لیست اصلی'!T:T,0))</f>
        <v>230*160</v>
      </c>
      <c r="H885" s="110">
        <f>INDEX('اکسسوری حذف از لیست اصلی'!F:F,MATCH(K885,'اکسسوری حذف از لیست اصلی'!T:T,0))</f>
        <v>0</v>
      </c>
      <c r="I885" s="110">
        <f>INDEX('اکسسوری حذف از لیست اصلی'!G:G,MATCH(K885,'اکسسوری حذف از لیست اصلی'!T:T,0))</f>
        <v>0</v>
      </c>
      <c r="J885" s="74">
        <f>INDEX('اکسسوری حذف از لیست اصلی'!J:J,MATCH(K885,'اکسسوری حذف از لیست اصلی'!T:T,0))</f>
        <v>1014000000</v>
      </c>
      <c r="K885" s="64">
        <v>507</v>
      </c>
    </row>
    <row r="886" spans="1:11" ht="30.75" customHeight="1">
      <c r="A886" s="60"/>
      <c r="B886" s="61"/>
      <c r="D886" s="79">
        <v>48</v>
      </c>
      <c r="E886" s="109">
        <f>INDEX('اکسسوری حذف از لیست اصلی'!C:C,MATCH(K886,'اکسسوری حذف از لیست اصلی'!T:T,0))</f>
        <v>9901080051</v>
      </c>
      <c r="F886" s="109" t="str">
        <f>INDEX('اکسسوری حذف از لیست اصلی'!D:D,MATCH(K886,'اکسسوری حذف از لیست اصلی'!T:T,0))</f>
        <v>فرش ماشینی BC-M051</v>
      </c>
      <c r="G886" s="110" t="str">
        <f>INDEX('اکسسوری حذف از لیست اصلی'!E:E,MATCH(K886,'اکسسوری حذف از لیست اصلی'!T:T,0))</f>
        <v>230*160</v>
      </c>
      <c r="H886" s="110">
        <f>INDEX('اکسسوری حذف از لیست اصلی'!F:F,MATCH(K886,'اکسسوری حذف از لیست اصلی'!T:T,0))</f>
        <v>0</v>
      </c>
      <c r="I886" s="110">
        <f>INDEX('اکسسوری حذف از لیست اصلی'!G:G,MATCH(K886,'اکسسوری حذف از لیست اصلی'!T:T,0))</f>
        <v>0</v>
      </c>
      <c r="J886" s="74">
        <f>INDEX('اکسسوری حذف از لیست اصلی'!J:J,MATCH(K886,'اکسسوری حذف از لیست اصلی'!T:T,0))</f>
        <v>1014000000</v>
      </c>
      <c r="K886" s="64">
        <v>508</v>
      </c>
    </row>
    <row r="887" spans="1:11" ht="30.75" customHeight="1">
      <c r="A887" s="60"/>
      <c r="B887" s="61"/>
      <c r="D887" s="73">
        <v>49</v>
      </c>
      <c r="E887" s="109">
        <f>INDEX('اکسسوری حذف از لیست اصلی'!C:C,MATCH(K887,'اکسسوری حذف از لیست اصلی'!T:T,0))</f>
        <v>9901080052</v>
      </c>
      <c r="F887" s="109" t="str">
        <f>INDEX('اکسسوری حذف از لیست اصلی'!D:D,MATCH(K887,'اکسسوری حذف از لیست اصلی'!T:T,0))</f>
        <v>فرش گلیم BC-M052</v>
      </c>
      <c r="G887" s="110" t="str">
        <f>INDEX('اکسسوری حذف از لیست اصلی'!E:E,MATCH(K887,'اکسسوری حذف از لیست اصلی'!T:T,0))</f>
        <v>230*160</v>
      </c>
      <c r="H887" s="110">
        <f>INDEX('اکسسوری حذف از لیست اصلی'!F:F,MATCH(K887,'اکسسوری حذف از لیست اصلی'!T:T,0))</f>
        <v>0</v>
      </c>
      <c r="I887" s="110">
        <f>INDEX('اکسسوری حذف از لیست اصلی'!G:G,MATCH(K887,'اکسسوری حذف از لیست اصلی'!T:T,0))</f>
        <v>0</v>
      </c>
      <c r="J887" s="74">
        <f>INDEX('اکسسوری حذف از لیست اصلی'!J:J,MATCH(K887,'اکسسوری حذف از لیست اصلی'!T:T,0))</f>
        <v>1014000000</v>
      </c>
      <c r="K887" s="64">
        <v>509</v>
      </c>
    </row>
    <row r="888" spans="1:11" ht="30.75" customHeight="1">
      <c r="A888" s="60"/>
      <c r="B888" s="61"/>
      <c r="D888" s="79">
        <v>50</v>
      </c>
      <c r="E888" s="109">
        <f>INDEX('اکسسوری حذف از لیست اصلی'!C:C,MATCH(K888,'اکسسوری حذف از لیست اصلی'!T:T,0))</f>
        <v>9901080053</v>
      </c>
      <c r="F888" s="109" t="str">
        <f>INDEX('اکسسوری حذف از لیست اصلی'!D:D,MATCH(K888,'اکسسوری حذف از لیست اصلی'!T:T,0))</f>
        <v>فرش ماشینی  مشکی TC-M053</v>
      </c>
      <c r="G888" s="110" t="str">
        <f>INDEX('اکسسوری حذف از لیست اصلی'!E:E,MATCH(K888,'اکسسوری حذف از لیست اصلی'!T:T,0))</f>
        <v>230*160</v>
      </c>
      <c r="H888" s="110">
        <f>INDEX('اکسسوری حذف از لیست اصلی'!F:F,MATCH(K888,'اکسسوری حذف از لیست اصلی'!T:T,0))</f>
        <v>0</v>
      </c>
      <c r="I888" s="110">
        <f>INDEX('اکسسوری حذف از لیست اصلی'!G:G,MATCH(K888,'اکسسوری حذف از لیست اصلی'!T:T,0))</f>
        <v>0</v>
      </c>
      <c r="J888" s="74">
        <f>INDEX('اکسسوری حذف از لیست اصلی'!J:J,MATCH(K888,'اکسسوری حذف از لیست اصلی'!T:T,0))</f>
        <v>1472000000</v>
      </c>
      <c r="K888" s="64">
        <v>510</v>
      </c>
    </row>
    <row r="889" spans="1:11" ht="30.75" customHeight="1">
      <c r="A889" s="60"/>
      <c r="B889" s="61"/>
      <c r="D889" s="73">
        <v>51</v>
      </c>
      <c r="E889" s="109">
        <f>INDEX('اکسسوری حذف از لیست اصلی'!C:C,MATCH(K889,'اکسسوری حذف از لیست اصلی'!T:T,0))</f>
        <v>9901080054</v>
      </c>
      <c r="F889" s="109" t="str">
        <f>INDEX('اکسسوری حذف از لیست اصلی'!D:D,MATCH(K889,'اکسسوری حذف از لیست اصلی'!T:T,0))</f>
        <v>گلیم دست بافت خاکستری CC-R054</v>
      </c>
      <c r="G889" s="110" t="str">
        <f>INDEX('اکسسوری حذف از لیست اصلی'!E:E,MATCH(K889,'اکسسوری حذف از لیست اصلی'!T:T,0))</f>
        <v>230*160</v>
      </c>
      <c r="H889" s="110">
        <f>INDEX('اکسسوری حذف از لیست اصلی'!F:F,MATCH(K889,'اکسسوری حذف از لیست اصلی'!T:T,0))</f>
        <v>0</v>
      </c>
      <c r="I889" s="110">
        <f>INDEX('اکسسوری حذف از لیست اصلی'!G:G,MATCH(K889,'اکسسوری حذف از لیست اصلی'!T:T,0))</f>
        <v>0</v>
      </c>
      <c r="J889" s="74">
        <f>INDEX('اکسسوری حذف از لیست اصلی'!J:J,MATCH(K889,'اکسسوری حذف از لیست اصلی'!T:T,0))</f>
        <v>1344000000</v>
      </c>
      <c r="K889" s="64">
        <v>511</v>
      </c>
    </row>
    <row r="890" spans="1:11" ht="30.75" customHeight="1">
      <c r="A890" s="60"/>
      <c r="B890" s="61"/>
      <c r="D890" s="79">
        <v>52</v>
      </c>
      <c r="E890" s="109">
        <f>INDEX('اکسسوری حذف از لیست اصلی'!C:C,MATCH(K890,'اکسسوری حذف از لیست اصلی'!T:T,0))</f>
        <v>9901080055</v>
      </c>
      <c r="F890" s="109" t="str">
        <f>INDEX('اکسسوری حذف از لیست اصلی'!D:D,MATCH(K890,'اکسسوری حذف از لیست اصلی'!T:T,0))</f>
        <v>گلیم دست بافت  مشکی CC-R055</v>
      </c>
      <c r="G890" s="110" t="str">
        <f>INDEX('اکسسوری حذف از لیست اصلی'!E:E,MATCH(K890,'اکسسوری حذف از لیست اصلی'!T:T,0))</f>
        <v>230*160</v>
      </c>
      <c r="H890" s="110">
        <f>INDEX('اکسسوری حذف از لیست اصلی'!F:F,MATCH(K890,'اکسسوری حذف از لیست اصلی'!T:T,0))</f>
        <v>0</v>
      </c>
      <c r="I890" s="110">
        <f>INDEX('اکسسوری حذف از لیست اصلی'!G:G,MATCH(K890,'اکسسوری حذف از لیست اصلی'!T:T,0))</f>
        <v>0</v>
      </c>
      <c r="J890" s="74">
        <f>INDEX('اکسسوری حذف از لیست اصلی'!J:J,MATCH(K890,'اکسسوری حذف از لیست اصلی'!T:T,0))</f>
        <v>1344000000</v>
      </c>
      <c r="K890" s="64">
        <v>512</v>
      </c>
    </row>
    <row r="891" spans="1:11" ht="30.75" customHeight="1">
      <c r="A891" s="60"/>
      <c r="B891" s="61"/>
      <c r="D891" s="73">
        <v>53</v>
      </c>
      <c r="E891" s="109">
        <f>INDEX('اکسسوری حذف از لیست اصلی'!C:C,MATCH(K891,'اکسسوری حذف از لیست اصلی'!T:T,0))</f>
        <v>9901080056</v>
      </c>
      <c r="F891" s="109" t="str">
        <f>INDEX('اکسسوری حذف از لیست اصلی'!D:D,MATCH(K891,'اکسسوری حذف از لیست اصلی'!T:T,0))</f>
        <v>گلیم دست بافت AC-R056</v>
      </c>
      <c r="G891" s="110" t="str">
        <f>INDEX('اکسسوری حذف از لیست اصلی'!E:E,MATCH(K891,'اکسسوری حذف از لیست اصلی'!T:T,0))</f>
        <v>230*160</v>
      </c>
      <c r="H891" s="110">
        <f>INDEX('اکسسوری حذف از لیست اصلی'!F:F,MATCH(K891,'اکسسوری حذف از لیست اصلی'!T:T,0))</f>
        <v>0</v>
      </c>
      <c r="I891" s="110">
        <f>INDEX('اکسسوری حذف از لیست اصلی'!G:G,MATCH(K891,'اکسسوری حذف از لیست اصلی'!T:T,0))</f>
        <v>0</v>
      </c>
      <c r="J891" s="74">
        <f>INDEX('اکسسوری حذف از لیست اصلی'!J:J,MATCH(K891,'اکسسوری حذف از لیست اصلی'!T:T,0))</f>
        <v>1809000000</v>
      </c>
      <c r="K891" s="64">
        <v>513</v>
      </c>
    </row>
    <row r="892" spans="1:11" ht="30.75" customHeight="1">
      <c r="A892" s="60"/>
      <c r="B892" s="61"/>
      <c r="D892" s="79">
        <v>54</v>
      </c>
      <c r="E892" s="109">
        <f>INDEX('اکسسوری حذف از لیست اصلی'!C:C,MATCH(K892,'اکسسوری حذف از لیست اصلی'!T:T,0))</f>
        <v>9901080057</v>
      </c>
      <c r="F892" s="109" t="str">
        <f>INDEX('اکسسوری حذف از لیست اصلی'!D:D,MATCH(K892,'اکسسوری حذف از لیست اصلی'!T:T,0))</f>
        <v>فرش ماشینی  BC-M057</v>
      </c>
      <c r="G892" s="110" t="str">
        <f>INDEX('اکسسوری حذف از لیست اصلی'!E:E,MATCH(K892,'اکسسوری حذف از لیست اصلی'!T:T,0))</f>
        <v>300*200</v>
      </c>
      <c r="H892" s="110">
        <f>INDEX('اکسسوری حذف از لیست اصلی'!F:F,MATCH(K892,'اکسسوری حذف از لیست اصلی'!T:T,0))</f>
        <v>0</v>
      </c>
      <c r="I892" s="110">
        <f>INDEX('اکسسوری حذف از لیست اصلی'!G:G,MATCH(K892,'اکسسوری حذف از لیست اصلی'!T:T,0))</f>
        <v>0</v>
      </c>
      <c r="J892" s="74">
        <f>INDEX('اکسسوری حذف از لیست اصلی'!J:J,MATCH(K892,'اکسسوری حذف از لیست اصلی'!T:T,0))</f>
        <v>1604000000</v>
      </c>
      <c r="K892" s="64">
        <v>514</v>
      </c>
    </row>
    <row r="893" spans="1:11" ht="30.75" customHeight="1">
      <c r="A893" s="60"/>
      <c r="B893" s="61"/>
      <c r="D893" s="73">
        <v>55</v>
      </c>
      <c r="E893" s="109">
        <f>INDEX('اکسسوری حذف از لیست اصلی'!C:C,MATCH(K893,'اکسسوری حذف از لیست اصلی'!T:T,0))</f>
        <v>9901080058</v>
      </c>
      <c r="F893" s="109" t="str">
        <f>INDEX('اکسسوری حذف از لیست اصلی'!D:D,MATCH(K893,'اکسسوری حذف از لیست اصلی'!T:T,0))</f>
        <v>فرش ماشینی BC-M058</v>
      </c>
      <c r="G893" s="110" t="str">
        <f>INDEX('اکسسوری حذف از لیست اصلی'!E:E,MATCH(K893,'اکسسوری حذف از لیست اصلی'!T:T,0))</f>
        <v>300*200</v>
      </c>
      <c r="H893" s="110">
        <f>INDEX('اکسسوری حذف از لیست اصلی'!F:F,MATCH(K893,'اکسسوری حذف از لیست اصلی'!T:T,0))</f>
        <v>0</v>
      </c>
      <c r="I893" s="110">
        <f>INDEX('اکسسوری حذف از لیست اصلی'!G:G,MATCH(K893,'اکسسوری حذف از لیست اصلی'!T:T,0))</f>
        <v>0</v>
      </c>
      <c r="J893" s="74">
        <f>INDEX('اکسسوری حذف از لیست اصلی'!J:J,MATCH(K893,'اکسسوری حذف از لیست اصلی'!T:T,0))</f>
        <v>1472000000</v>
      </c>
      <c r="K893" s="64">
        <v>515</v>
      </c>
    </row>
    <row r="894" spans="1:11" ht="30.75" customHeight="1">
      <c r="A894" s="60"/>
      <c r="B894" s="61"/>
      <c r="D894" s="79">
        <v>56</v>
      </c>
      <c r="E894" s="109">
        <f>INDEX('اکسسوری حذف از لیست اصلی'!C:C,MATCH(K894,'اکسسوری حذف از لیست اصلی'!T:T,0))</f>
        <v>9901080059</v>
      </c>
      <c r="F894" s="109" t="str">
        <f>INDEX('اکسسوری حذف از لیست اصلی'!D:D,MATCH(K894,'اکسسوری حذف از لیست اصلی'!T:T,0))</f>
        <v>فرش ماشینی BC-M002(200*300)</v>
      </c>
      <c r="G894" s="110">
        <f>INDEX('اکسسوری حذف از لیست اصلی'!E:E,MATCH(K894,'اکسسوری حذف از لیست اصلی'!T:T,0))</f>
        <v>0</v>
      </c>
      <c r="H894" s="110">
        <f>INDEX('اکسسوری حذف از لیست اصلی'!F:F,MATCH(K894,'اکسسوری حذف از لیست اصلی'!T:T,0))</f>
        <v>0</v>
      </c>
      <c r="I894" s="110">
        <f>INDEX('اکسسوری حذف از لیست اصلی'!G:G,MATCH(K894,'اکسسوری حذف از لیست اصلی'!T:T,0))</f>
        <v>0</v>
      </c>
      <c r="J894" s="74">
        <f>INDEX('اکسسوری حذف از لیست اصلی'!J:J,MATCH(K894,'اکسسوری حذف از لیست اصلی'!T:T,0))</f>
        <v>1472000000</v>
      </c>
      <c r="K894" s="64">
        <v>516</v>
      </c>
    </row>
    <row r="895" spans="1:11" ht="30.75" customHeight="1">
      <c r="A895" s="60"/>
      <c r="B895" s="61"/>
      <c r="D895" s="73">
        <v>57</v>
      </c>
      <c r="E895" s="109">
        <f>INDEX('اکسسوری حذف از لیست اصلی'!C:C,MATCH(K895,'اکسسوری حذف از لیست اصلی'!T:T,0))</f>
        <v>9901080060</v>
      </c>
      <c r="F895" s="109" t="str">
        <f>INDEX('اکسسوری حذف از لیست اصلی'!D:D,MATCH(K895,'اکسسوری حذف از لیست اصلی'!T:T,0))</f>
        <v>فرش گلیم BC-R060</v>
      </c>
      <c r="G895" s="110" t="str">
        <f>INDEX('اکسسوری حذف از لیست اصلی'!E:E,MATCH(K895,'اکسسوری حذف از لیست اصلی'!T:T,0))</f>
        <v>300*200</v>
      </c>
      <c r="H895" s="110">
        <f>INDEX('اکسسوری حذف از لیست اصلی'!F:F,MATCH(K895,'اکسسوری حذف از لیست اصلی'!T:T,0))</f>
        <v>0</v>
      </c>
      <c r="I895" s="110">
        <f>INDEX('اکسسوری حذف از لیست اصلی'!G:G,MATCH(K895,'اکسسوری حذف از لیست اصلی'!T:T,0))</f>
        <v>0</v>
      </c>
      <c r="J895" s="74">
        <f>INDEX('اکسسوری حذف از لیست اصلی'!J:J,MATCH(K895,'اکسسوری حذف از لیست اصلی'!T:T,0))</f>
        <v>1863000000</v>
      </c>
      <c r="K895" s="64">
        <v>517</v>
      </c>
    </row>
    <row r="896" spans="1:11" ht="30.75" customHeight="1">
      <c r="A896" s="60"/>
      <c r="B896" s="61"/>
      <c r="D896" s="79">
        <v>58</v>
      </c>
      <c r="E896" s="109">
        <f>INDEX('اکسسوری حذف از لیست اصلی'!C:C,MATCH(K896,'اکسسوری حذف از لیست اصلی'!T:T,0))</f>
        <v>9901080061</v>
      </c>
      <c r="F896" s="109" t="str">
        <f>INDEX('اکسسوری حذف از لیست اصلی'!D:D,MATCH(K896,'اکسسوری حذف از لیست اصلی'!T:T,0))</f>
        <v>فرش گلیم BC-R061</v>
      </c>
      <c r="G896" s="110" t="str">
        <f>INDEX('اکسسوری حذف از لیست اصلی'!E:E,MATCH(K896,'اکسسوری حذف از لیست اصلی'!T:T,0))</f>
        <v>300*200</v>
      </c>
      <c r="H896" s="110">
        <f>INDEX('اکسسوری حذف از لیست اصلی'!F:F,MATCH(K896,'اکسسوری حذف از لیست اصلی'!T:T,0))</f>
        <v>0</v>
      </c>
      <c r="I896" s="110">
        <f>INDEX('اکسسوری حذف از لیست اصلی'!G:G,MATCH(K896,'اکسسوری حذف از لیست اصلی'!T:T,0))</f>
        <v>0</v>
      </c>
      <c r="J896" s="74">
        <f>INDEX('اکسسوری حذف از لیست اصلی'!J:J,MATCH(K896,'اکسسوری حذف از لیست اصلی'!T:T,0))</f>
        <v>1863000000</v>
      </c>
      <c r="K896" s="64">
        <v>518</v>
      </c>
    </row>
    <row r="897" spans="1:11" ht="30.75" customHeight="1">
      <c r="A897" s="60"/>
      <c r="B897" s="61"/>
      <c r="D897" s="73">
        <v>59</v>
      </c>
      <c r="E897" s="109">
        <f>INDEX('اکسسوری حذف از لیست اصلی'!C:C,MATCH(K897,'اکسسوری حذف از لیست اصلی'!T:T,0))</f>
        <v>9901080062</v>
      </c>
      <c r="F897" s="109" t="str">
        <f>INDEX('اکسسوری حذف از لیست اصلی'!D:D,MATCH(K897,'اکسسوری حذف از لیست اصلی'!T:T,0))</f>
        <v>فرش گلیم BC-R062</v>
      </c>
      <c r="G897" s="110" t="str">
        <f>INDEX('اکسسوری حذف از لیست اصلی'!E:E,MATCH(K897,'اکسسوری حذف از لیست اصلی'!T:T,0))</f>
        <v>300*200</v>
      </c>
      <c r="H897" s="110">
        <f>INDEX('اکسسوری حذف از لیست اصلی'!F:F,MATCH(K897,'اکسسوری حذف از لیست اصلی'!T:T,0))</f>
        <v>0</v>
      </c>
      <c r="I897" s="110">
        <f>INDEX('اکسسوری حذف از لیست اصلی'!G:G,MATCH(K897,'اکسسوری حذف از لیست اصلی'!T:T,0))</f>
        <v>0</v>
      </c>
      <c r="J897" s="74">
        <f>INDEX('اکسسوری حذف از لیست اصلی'!J:J,MATCH(K897,'اکسسوری حذف از لیست اصلی'!T:T,0))</f>
        <v>1863000000</v>
      </c>
      <c r="K897" s="64">
        <v>519</v>
      </c>
    </row>
    <row r="898" spans="1:11" ht="30.75" customHeight="1">
      <c r="A898" s="60"/>
      <c r="B898" s="61"/>
      <c r="D898" s="79">
        <v>60</v>
      </c>
      <c r="E898" s="109">
        <f>INDEX('اکسسوری حذف از لیست اصلی'!C:C,MATCH(K898,'اکسسوری حذف از لیست اصلی'!T:T,0))</f>
        <v>9901080064</v>
      </c>
      <c r="F898" s="109" t="str">
        <f>INDEX('اکسسوری حذف از لیست اصلی'!D:D,MATCH(K898,'اکسسوری حذف از لیست اصلی'!T:T,0))</f>
        <v>فرش گلیم BC-R064</v>
      </c>
      <c r="G898" s="110" t="str">
        <f>INDEX('اکسسوری حذف از لیست اصلی'!E:E,MATCH(K898,'اکسسوری حذف از لیست اصلی'!T:T,0))</f>
        <v>300*200</v>
      </c>
      <c r="H898" s="110">
        <f>INDEX('اکسسوری حذف از لیست اصلی'!F:F,MATCH(K898,'اکسسوری حذف از لیست اصلی'!T:T,0))</f>
        <v>0</v>
      </c>
      <c r="I898" s="110">
        <f>INDEX('اکسسوری حذف از لیست اصلی'!G:G,MATCH(K898,'اکسسوری حذف از لیست اصلی'!T:T,0))</f>
        <v>0</v>
      </c>
      <c r="J898" s="74">
        <f>INDEX('اکسسوری حذف از لیست اصلی'!J:J,MATCH(K898,'اکسسوری حذف از لیست اصلی'!T:T,0))</f>
        <v>1863000000</v>
      </c>
      <c r="K898" s="64">
        <v>520</v>
      </c>
    </row>
    <row r="899" spans="1:11" ht="18" customHeight="1">
      <c r="A899" s="60"/>
      <c r="B899" s="61"/>
      <c r="D899"/>
      <c r="E899"/>
      <c r="F899"/>
      <c r="G899"/>
      <c r="H899"/>
      <c r="I899"/>
      <c r="J899" s="74">
        <v>33</v>
      </c>
    </row>
    <row r="900" spans="1:11" ht="18" customHeight="1">
      <c r="A900" s="60"/>
      <c r="B900" s="61"/>
      <c r="C900" s="183"/>
      <c r="D900" s="184"/>
      <c r="E900" s="184"/>
      <c r="F900" s="184"/>
      <c r="G900" s="184"/>
      <c r="H900" s="184"/>
      <c r="I900" s="184"/>
      <c r="J900" s="184"/>
    </row>
    <row r="901" spans="1:11" ht="18" customHeight="1">
      <c r="A901" s="60"/>
      <c r="B901" s="61"/>
      <c r="C901" s="183"/>
      <c r="D901" s="184"/>
      <c r="E901" s="184"/>
      <c r="F901" s="184"/>
      <c r="G901" s="184"/>
      <c r="H901" s="184"/>
      <c r="I901" s="184"/>
      <c r="J901" s="184"/>
    </row>
    <row r="902" spans="1:11" ht="18" customHeight="1">
      <c r="A902" s="60"/>
      <c r="B902" s="61"/>
      <c r="C902" s="72"/>
      <c r="D902" s="67" t="s">
        <v>1192</v>
      </c>
      <c r="J902" s="68" t="str">
        <f>$N$1</f>
        <v>1405/02/23</v>
      </c>
    </row>
    <row r="903" spans="1:11" ht="18" customHeight="1">
      <c r="A903" s="60"/>
      <c r="B903" s="61"/>
      <c r="C903" s="77"/>
      <c r="D903" s="75" t="s">
        <v>0</v>
      </c>
      <c r="E903" s="69" t="s">
        <v>1</v>
      </c>
      <c r="F903" s="107" t="s">
        <v>448</v>
      </c>
      <c r="G903" s="108" t="s">
        <v>1141</v>
      </c>
      <c r="H903" s="108" t="s">
        <v>1142</v>
      </c>
      <c r="I903" s="108" t="s">
        <v>1143</v>
      </c>
      <c r="J903" s="68" t="s">
        <v>251</v>
      </c>
    </row>
    <row r="904" spans="1:11" ht="35.25" customHeight="1">
      <c r="A904" s="60"/>
      <c r="B904" s="61"/>
      <c r="D904" s="73">
        <v>61</v>
      </c>
      <c r="E904" s="109">
        <f>INDEX('اکسسوری حذف از لیست اصلی'!C:C,MATCH(K904,'اکسسوری حذف از لیست اصلی'!T:T,0))</f>
        <v>9901080065</v>
      </c>
      <c r="F904" s="109" t="str">
        <f>INDEX('اکسسوری حذف از لیست اصلی'!D:D,MATCH(K904,'اکسسوری حذف از لیست اصلی'!T:T,0))</f>
        <v>گلیم دست بافت خاکستری CC-R065</v>
      </c>
      <c r="G904" s="110" t="str">
        <f>INDEX('اکسسوری حذف از لیست اصلی'!E:E,MATCH(K904,'اکسسوری حذف از لیست اصلی'!T:T,0))</f>
        <v>300*200</v>
      </c>
      <c r="H904" s="110">
        <f>INDEX('اکسسوری حذف از لیست اصلی'!F:F,MATCH(K904,'اکسسوری حذف از لیست اصلی'!T:T,0))</f>
        <v>0</v>
      </c>
      <c r="I904" s="110">
        <f>INDEX('اکسسوری حذف از لیست اصلی'!G:G,MATCH(K904,'اکسسوری حذف از لیست اصلی'!T:T,0))</f>
        <v>0</v>
      </c>
      <c r="J904" s="74">
        <f>INDEX('اکسسوری حذف از لیست اصلی'!J:J,MATCH(K904,'اکسسوری حذف از لیست اصلی'!T:T,0))</f>
        <v>2028000000</v>
      </c>
      <c r="K904" s="64">
        <v>521</v>
      </c>
    </row>
    <row r="905" spans="1:11" ht="35.25" customHeight="1">
      <c r="A905" s="60"/>
      <c r="B905" s="61"/>
      <c r="C905" s="78"/>
      <c r="D905" s="79">
        <v>62</v>
      </c>
      <c r="E905" s="109">
        <f>INDEX('اکسسوری حذف از لیست اصلی'!C:C,MATCH(K905,'اکسسوری حذف از لیست اصلی'!T:T,0))</f>
        <v>9901080066</v>
      </c>
      <c r="F905" s="109" t="str">
        <f>INDEX('اکسسوری حذف از لیست اصلی'!D:D,MATCH(K905,'اکسسوری حذف از لیست اصلی'!T:T,0))</f>
        <v>گلیم دست بافت  مشکی CC-R066</v>
      </c>
      <c r="G905" s="110" t="str">
        <f>INDEX('اکسسوری حذف از لیست اصلی'!E:E,MATCH(K905,'اکسسوری حذف از لیست اصلی'!T:T,0))</f>
        <v>300*200</v>
      </c>
      <c r="H905" s="110">
        <f>INDEX('اکسسوری حذف از لیست اصلی'!F:F,MATCH(K905,'اکسسوری حذف از لیست اصلی'!T:T,0))</f>
        <v>0</v>
      </c>
      <c r="I905" s="110">
        <f>INDEX('اکسسوری حذف از لیست اصلی'!G:G,MATCH(K905,'اکسسوری حذف از لیست اصلی'!T:T,0))</f>
        <v>0</v>
      </c>
      <c r="J905" s="74">
        <f>INDEX('اکسسوری حذف از لیست اصلی'!J:J,MATCH(K905,'اکسسوری حذف از لیست اصلی'!T:T,0))</f>
        <v>2028000000</v>
      </c>
      <c r="K905" s="64">
        <v>522</v>
      </c>
    </row>
    <row r="906" spans="1:11" ht="35.25" customHeight="1">
      <c r="A906" s="60"/>
      <c r="B906" s="61"/>
      <c r="D906" s="73">
        <v>63</v>
      </c>
      <c r="E906" s="109">
        <f>INDEX('اکسسوری حذف از لیست اصلی'!C:C,MATCH(K906,'اکسسوری حذف از لیست اصلی'!T:T,0))</f>
        <v>9901080067</v>
      </c>
      <c r="F906" s="109" t="str">
        <f>INDEX('اکسسوری حذف از لیست اصلی'!D:D,MATCH(K906,'اکسسوری حذف از لیست اصلی'!T:T,0))</f>
        <v xml:space="preserve">گلیم دست بافت هندی AC-R067 </v>
      </c>
      <c r="G906" s="110" t="str">
        <f>INDEX('اکسسوری حذف از لیست اصلی'!E:E,MATCH(K906,'اکسسوری حذف از لیست اصلی'!T:T,0))</f>
        <v>300*200</v>
      </c>
      <c r="H906" s="110">
        <f>INDEX('اکسسوری حذف از لیست اصلی'!F:F,MATCH(K906,'اکسسوری حذف از لیست اصلی'!T:T,0))</f>
        <v>0</v>
      </c>
      <c r="I906" s="110">
        <f>INDEX('اکسسوری حذف از لیست اصلی'!G:G,MATCH(K906,'اکسسوری حذف از لیست اصلی'!T:T,0))</f>
        <v>0</v>
      </c>
      <c r="J906" s="74">
        <f>INDEX('اکسسوری حذف از لیست اصلی'!J:J,MATCH(K906,'اکسسوری حذف از لیست اصلی'!T:T,0))</f>
        <v>2217000000</v>
      </c>
      <c r="K906" s="64">
        <v>523</v>
      </c>
    </row>
    <row r="907" spans="1:11" ht="35.25" customHeight="1">
      <c r="A907" s="60"/>
      <c r="B907" s="61"/>
      <c r="D907" s="79">
        <v>64</v>
      </c>
      <c r="E907" s="109">
        <f>INDEX('اکسسوری حذف از لیست اصلی'!C:C,MATCH(K907,'اکسسوری حذف از لیست اصلی'!T:T,0))</f>
        <v>9901080068</v>
      </c>
      <c r="F907" s="109" t="str">
        <f>INDEX('اکسسوری حذف از لیست اصلی'!D:D,MATCH(K907,'اکسسوری حذف از لیست اصلی'!T:T,0))</f>
        <v>فرش ماشینی  BC-M068</v>
      </c>
      <c r="G907" s="110" t="str">
        <f>INDEX('اکسسوری حذف از لیست اصلی'!E:E,MATCH(K907,'اکسسوری حذف از لیست اصلی'!T:T,0))</f>
        <v>340*240</v>
      </c>
      <c r="H907" s="110">
        <f>INDEX('اکسسوری حذف از لیست اصلی'!F:F,MATCH(K907,'اکسسوری حذف از لیست اصلی'!T:T,0))</f>
        <v>0</v>
      </c>
      <c r="I907" s="110">
        <f>INDEX('اکسسوری حذف از لیست اصلی'!G:G,MATCH(K907,'اکسسوری حذف از لیست اصلی'!T:T,0))</f>
        <v>0</v>
      </c>
      <c r="J907" s="74">
        <f>INDEX('اکسسوری حذف از لیست اصلی'!J:J,MATCH(K907,'اکسسوری حذف از لیست اصلی'!T:T,0))</f>
        <v>2595000000</v>
      </c>
      <c r="K907" s="64">
        <v>524</v>
      </c>
    </row>
    <row r="908" spans="1:11" ht="35.25" customHeight="1">
      <c r="A908" s="60"/>
      <c r="B908" s="61"/>
      <c r="D908" s="73">
        <v>65</v>
      </c>
      <c r="E908" s="109">
        <f>INDEX('اکسسوری حذف از لیست اصلی'!C:C,MATCH(K908,'اکسسوری حذف از لیست اصلی'!T:T,0))</f>
        <v>9901080069</v>
      </c>
      <c r="F908" s="109" t="str">
        <f>INDEX('اکسسوری حذف از لیست اصلی'!D:D,MATCH(K908,'اکسسوری حذف از لیست اصلی'!T:T,0))</f>
        <v>فرش گلیم BC-R069</v>
      </c>
      <c r="G908" s="110" t="str">
        <f>INDEX('اکسسوری حذف از لیست اصلی'!E:E,MATCH(K908,'اکسسوری حذف از لیست اصلی'!T:T,0))</f>
        <v>340*240</v>
      </c>
      <c r="H908" s="110">
        <f>INDEX('اکسسوری حذف از لیست اصلی'!F:F,MATCH(K908,'اکسسوری حذف از لیست اصلی'!T:T,0))</f>
        <v>0</v>
      </c>
      <c r="I908" s="110">
        <f>INDEX('اکسسوری حذف از لیست اصلی'!G:G,MATCH(K908,'اکسسوری حذف از لیست اصلی'!T:T,0))</f>
        <v>0</v>
      </c>
      <c r="J908" s="74">
        <f>INDEX('اکسسوری حذف از لیست اصلی'!J:J,MATCH(K908,'اکسسوری حذف از لیست اصلی'!T:T,0))</f>
        <v>2878000000</v>
      </c>
      <c r="K908" s="64">
        <v>525</v>
      </c>
    </row>
    <row r="909" spans="1:11" ht="35.25" customHeight="1">
      <c r="A909" s="60"/>
      <c r="B909" s="61"/>
      <c r="D909" s="79">
        <v>66</v>
      </c>
      <c r="E909" s="109">
        <f>INDEX('اکسسوری حذف از لیست اصلی'!C:C,MATCH(K909,'اکسسوری حذف از لیست اصلی'!T:T,0))</f>
        <v>9901080070</v>
      </c>
      <c r="F909" s="109" t="str">
        <f>INDEX('اکسسوری حذف از لیست اصلی'!D:D,MATCH(K909,'اکسسوری حذف از لیست اصلی'!T:T,0))</f>
        <v>فرش گلیم BC-R070</v>
      </c>
      <c r="G909" s="110" t="str">
        <f>INDEX('اکسسوری حذف از لیست اصلی'!E:E,MATCH(K909,'اکسسوری حذف از لیست اصلی'!T:T,0))</f>
        <v>340*240</v>
      </c>
      <c r="H909" s="110">
        <f>INDEX('اکسسوری حذف از لیست اصلی'!F:F,MATCH(K909,'اکسسوری حذف از لیست اصلی'!T:T,0))</f>
        <v>0</v>
      </c>
      <c r="I909" s="110">
        <f>INDEX('اکسسوری حذف از لیست اصلی'!G:G,MATCH(K909,'اکسسوری حذف از لیست اصلی'!T:T,0))</f>
        <v>0</v>
      </c>
      <c r="J909" s="74">
        <f>INDEX('اکسسوری حذف از لیست اصلی'!J:J,MATCH(K909,'اکسسوری حذف از لیست اصلی'!T:T,0))</f>
        <v>2878000000</v>
      </c>
      <c r="K909" s="64">
        <v>526</v>
      </c>
    </row>
    <row r="910" spans="1:11" ht="35.25" customHeight="1">
      <c r="A910" s="60"/>
      <c r="B910" s="61"/>
      <c r="D910" s="73">
        <v>67</v>
      </c>
      <c r="E910" s="109">
        <f>INDEX('اکسسوری حذف از لیست اصلی'!C:C,MATCH(K910,'اکسسوری حذف از لیست اصلی'!T:T,0))</f>
        <v>9901080071</v>
      </c>
      <c r="F910" s="109" t="str">
        <f>INDEX('اکسسوری حذف از لیست اصلی'!D:D,MATCH(K910,'اکسسوری حذف از لیست اصلی'!T:T,0))</f>
        <v>فرش گلیم BC-R071</v>
      </c>
      <c r="G910" s="110" t="str">
        <f>INDEX('اکسسوری حذف از لیست اصلی'!E:E,MATCH(K910,'اکسسوری حذف از لیست اصلی'!T:T,0))</f>
        <v>340*240</v>
      </c>
      <c r="H910" s="110">
        <f>INDEX('اکسسوری حذف از لیست اصلی'!F:F,MATCH(K910,'اکسسوری حذف از لیست اصلی'!T:T,0))</f>
        <v>0</v>
      </c>
      <c r="I910" s="110">
        <f>INDEX('اکسسوری حذف از لیست اصلی'!G:G,MATCH(K910,'اکسسوری حذف از لیست اصلی'!T:T,0))</f>
        <v>0</v>
      </c>
      <c r="J910" s="74">
        <f>INDEX('اکسسوری حذف از لیست اصلی'!J:J,MATCH(K910,'اکسسوری حذف از لیست اصلی'!T:T,0))</f>
        <v>2878000000</v>
      </c>
      <c r="K910" s="64">
        <v>527</v>
      </c>
    </row>
    <row r="911" spans="1:11" ht="35.25" customHeight="1">
      <c r="A911" s="60"/>
      <c r="B911" s="61"/>
      <c r="D911" s="79">
        <v>68</v>
      </c>
      <c r="E911" s="109">
        <f>INDEX('اکسسوری حذف از لیست اصلی'!C:C,MATCH(K911,'اکسسوری حذف از لیست اصلی'!T:T,0))</f>
        <v>9901080072</v>
      </c>
      <c r="F911" s="109" t="str">
        <f>INDEX('اکسسوری حذف از لیست اصلی'!D:D,MATCH(K911,'اکسسوری حذف از لیست اصلی'!T:T,0))</f>
        <v>فرش ماشینی مشکی TC-M072</v>
      </c>
      <c r="G911" s="110" t="str">
        <f>INDEX('اکسسوری حذف از لیست اصلی'!E:E,MATCH(K911,'اکسسوری حذف از لیست اصلی'!T:T,0))</f>
        <v>340*240</v>
      </c>
      <c r="H911" s="110">
        <f>INDEX('اکسسوری حذف از لیست اصلی'!F:F,MATCH(K911,'اکسسوری حذف از لیست اصلی'!T:T,0))</f>
        <v>0</v>
      </c>
      <c r="I911" s="110">
        <f>INDEX('اکسسوری حذف از لیست اصلی'!G:G,MATCH(K911,'اکسسوری حذف از لیست اصلی'!T:T,0))</f>
        <v>0</v>
      </c>
      <c r="J911" s="74">
        <f>INDEX('اکسسوری حذف از لیست اصلی'!J:J,MATCH(K911,'اکسسوری حذف از لیست اصلی'!T:T,0))</f>
        <v>3066000000</v>
      </c>
      <c r="K911" s="64">
        <v>528</v>
      </c>
    </row>
    <row r="912" spans="1:11" ht="35.25" customHeight="1">
      <c r="A912" s="60"/>
      <c r="B912" s="61"/>
      <c r="D912" s="73">
        <v>69</v>
      </c>
      <c r="E912" s="109">
        <f>INDEX('اکسسوری حذف از لیست اصلی'!C:C,MATCH(K912,'اکسسوری حذف از لیست اصلی'!T:T,0))</f>
        <v>9901080073</v>
      </c>
      <c r="F912" s="109" t="str">
        <f>INDEX('اکسسوری حذف از لیست اصلی'!D:D,MATCH(K912,'اکسسوری حذف از لیست اصلی'!T:T,0))</f>
        <v>فرش گلیم کرم KC-R073</v>
      </c>
      <c r="G912" s="110" t="str">
        <f>INDEX('اکسسوری حذف از لیست اصلی'!E:E,MATCH(K912,'اکسسوری حذف از لیست اصلی'!T:T,0))</f>
        <v>180*120</v>
      </c>
      <c r="H912" s="110">
        <f>INDEX('اکسسوری حذف از لیست اصلی'!F:F,MATCH(K912,'اکسسوری حذف از لیست اصلی'!T:T,0))</f>
        <v>0</v>
      </c>
      <c r="I912" s="110">
        <f>INDEX('اکسسوری حذف از لیست اصلی'!G:G,MATCH(K912,'اکسسوری حذف از لیست اصلی'!T:T,0))</f>
        <v>0</v>
      </c>
      <c r="J912" s="74">
        <f>INDEX('اکسسوری حذف از لیست اصلی'!J:J,MATCH(K912,'اکسسوری حذف از لیست اصلی'!T:T,0))</f>
        <v>625000000</v>
      </c>
      <c r="K912" s="64">
        <v>529</v>
      </c>
    </row>
    <row r="913" spans="1:11" ht="35.25" customHeight="1">
      <c r="A913" s="60"/>
      <c r="B913" s="61"/>
      <c r="D913" s="79">
        <v>70</v>
      </c>
      <c r="E913" s="109">
        <f>INDEX('اکسسوری حذف از لیست اصلی'!C:C,MATCH(K913,'اکسسوری حذف از لیست اصلی'!T:T,0))</f>
        <v>9901080074</v>
      </c>
      <c r="F913" s="109" t="str">
        <f>INDEX('اکسسوری حذف از لیست اصلی'!D:D,MATCH(K913,'اکسسوری حذف از لیست اصلی'!T:T,0))</f>
        <v xml:space="preserve">فرش گلیم  کرم KC-R074 </v>
      </c>
      <c r="G913" s="110" t="str">
        <f>INDEX('اکسسوری حذف از لیست اصلی'!E:E,MATCH(K913,'اکسسوری حذف از لیست اصلی'!T:T,0))</f>
        <v>180*120</v>
      </c>
      <c r="H913" s="110">
        <f>INDEX('اکسسوری حذف از لیست اصلی'!F:F,MATCH(K913,'اکسسوری حذف از لیست اصلی'!T:T,0))</f>
        <v>0</v>
      </c>
      <c r="I913" s="110">
        <f>INDEX('اکسسوری حذف از لیست اصلی'!G:G,MATCH(K913,'اکسسوری حذف از لیست اصلی'!T:T,0))</f>
        <v>0</v>
      </c>
      <c r="J913" s="74">
        <f>INDEX('اکسسوری حذف از لیست اصلی'!J:J,MATCH(K913,'اکسسوری حذف از لیست اصلی'!T:T,0))</f>
        <v>625000000</v>
      </c>
      <c r="K913" s="64">
        <v>530</v>
      </c>
    </row>
    <row r="914" spans="1:11" ht="35.25" customHeight="1">
      <c r="A914" s="60"/>
      <c r="B914" s="61"/>
      <c r="D914" s="73">
        <v>71</v>
      </c>
      <c r="E914" s="109">
        <f>INDEX('اکسسوری حذف از لیست اصلی'!C:C,MATCH(K914,'اکسسوری حذف از لیست اصلی'!T:T,0))</f>
        <v>9901080075</v>
      </c>
      <c r="F914" s="109" t="str">
        <f>INDEX('اکسسوری حذف از لیست اصلی'!D:D,MATCH(K914,'اکسسوری حذف از لیست اصلی'!T:T,0))</f>
        <v>فرش ماشينی BC-M075</v>
      </c>
      <c r="G914" s="110" t="str">
        <f>INDEX('اکسسوری حذف از لیست اصلی'!E:E,MATCH(K914,'اکسسوری حذف از لیست اصلی'!T:T,0))</f>
        <v>120*170</v>
      </c>
      <c r="H914" s="110">
        <f>INDEX('اکسسوری حذف از لیست اصلی'!F:F,MATCH(K914,'اکسسوری حذف از لیست اصلی'!T:T,0))</f>
        <v>0</v>
      </c>
      <c r="I914" s="110">
        <f>INDEX('اکسسوری حذف از لیست اصلی'!G:G,MATCH(K914,'اکسسوری حذف از لیست اصلی'!T:T,0))</f>
        <v>0</v>
      </c>
      <c r="J914" s="74">
        <f>INDEX('اکسسوری حذف از لیست اصلی'!J:J,MATCH(K914,'اکسسوری حذف از لیست اصلی'!T:T,0))</f>
        <v>625000000</v>
      </c>
      <c r="K914" s="64">
        <v>531</v>
      </c>
    </row>
    <row r="915" spans="1:11" ht="35.25" customHeight="1">
      <c r="A915" s="60"/>
      <c r="B915" s="61"/>
      <c r="D915" s="79">
        <v>72</v>
      </c>
      <c r="E915" s="109">
        <f>INDEX('اکسسوری حذف از لیست اصلی'!C:C,MATCH(K915,'اکسسوری حذف از لیست اصلی'!T:T,0))</f>
        <v>9901080076</v>
      </c>
      <c r="F915" s="109" t="str">
        <f>INDEX('اکسسوری حذف از لیست اصلی'!D:D,MATCH(K915,'اکسسوری حذف از لیست اصلی'!T:T,0))</f>
        <v>فرش ماشینی BC-M076</v>
      </c>
      <c r="G915" s="110" t="str">
        <f>INDEX('اکسسوری حذف از لیست اصلی'!E:E,MATCH(K915,'اکسسوری حذف از لیست اصلی'!T:T,0))</f>
        <v>120*170</v>
      </c>
      <c r="H915" s="110">
        <f>INDEX('اکسسوری حذف از لیست اصلی'!F:F,MATCH(K915,'اکسسوری حذف از لیست اصلی'!T:T,0))</f>
        <v>0</v>
      </c>
      <c r="I915" s="110">
        <f>INDEX('اکسسوری حذف از لیست اصلی'!G:G,MATCH(K915,'اکسسوری حذف از لیست اصلی'!T:T,0))</f>
        <v>0</v>
      </c>
      <c r="J915" s="74">
        <f>INDEX('اکسسوری حذف از لیست اصلی'!J:J,MATCH(K915,'اکسسوری حذف از لیست اصلی'!T:T,0))</f>
        <v>625000000</v>
      </c>
      <c r="K915" s="64">
        <v>532</v>
      </c>
    </row>
    <row r="916" spans="1:11" ht="35.25" customHeight="1">
      <c r="A916" s="60"/>
      <c r="B916" s="61"/>
      <c r="D916" s="73">
        <v>73</v>
      </c>
      <c r="E916" s="109">
        <f>INDEX('اکسسوری حذف از لیست اصلی'!C:C,MATCH(K916,'اکسسوری حذف از لیست اصلی'!T:T,0))</f>
        <v>9901080077</v>
      </c>
      <c r="F916" s="109" t="str">
        <f>INDEX('اکسسوری حذف از لیست اصلی'!D:D,MATCH(K916,'اکسسوری حذف از لیست اصلی'!T:T,0))</f>
        <v>فرش ماشینی BC-M077</v>
      </c>
      <c r="G916" s="110" t="str">
        <f>INDEX('اکسسوری حذف از لیست اصلی'!E:E,MATCH(K916,'اکسسوری حذف از لیست اصلی'!T:T,0))</f>
        <v>160*230</v>
      </c>
      <c r="H916" s="110">
        <f>INDEX('اکسسوری حذف از لیست اصلی'!F:F,MATCH(K916,'اکسسوری حذف از لیست اصلی'!T:T,0))</f>
        <v>0</v>
      </c>
      <c r="I916" s="110">
        <f>INDEX('اکسسوری حذف از لیست اصلی'!G:G,MATCH(K916,'اکسسوری حذف از لیست اصلی'!T:T,0))</f>
        <v>0</v>
      </c>
      <c r="J916" s="74">
        <f>INDEX('اکسسوری حذف از لیست اصلی'!J:J,MATCH(K916,'اکسسوری حذف از لیست اصلی'!T:T,0))</f>
        <v>1014000000</v>
      </c>
      <c r="K916" s="64">
        <v>533</v>
      </c>
    </row>
    <row r="917" spans="1:11" ht="35.25" customHeight="1">
      <c r="A917" s="60"/>
      <c r="B917" s="61"/>
      <c r="D917" s="79">
        <v>74</v>
      </c>
      <c r="E917" s="109">
        <f>INDEX('اکسسوری حذف از لیست اصلی'!C:C,MATCH(K917,'اکسسوری حذف از لیست اصلی'!T:T,0))</f>
        <v>9901080117</v>
      </c>
      <c r="F917" s="109" t="str">
        <f>INDEX('اکسسوری حذف از لیست اصلی'!D:D,MATCH(K917,'اکسسوری حذف از لیست اصلی'!T:T,0))</f>
        <v>گلیم دستبافت طرح برجسته هندی نسکافه ای(60*90)AC-R117</v>
      </c>
      <c r="G917" s="110">
        <f>INDEX('اکسسوری حذف از لیست اصلی'!E:E,MATCH(K917,'اکسسوری حذف از لیست اصلی'!T:T,0))</f>
        <v>0</v>
      </c>
      <c r="H917" s="110">
        <f>INDEX('اکسسوری حذف از لیست اصلی'!F:F,MATCH(K917,'اکسسوری حذف از لیست اصلی'!T:T,0))</f>
        <v>0</v>
      </c>
      <c r="I917" s="110">
        <f>INDEX('اکسسوری حذف از لیست اصلی'!G:G,MATCH(K917,'اکسسوری حذف از لیست اصلی'!T:T,0))</f>
        <v>0</v>
      </c>
      <c r="J917" s="74">
        <f>INDEX('اکسسوری حذف از لیست اصلی'!J:J,MATCH(K917,'اکسسوری حذف از لیست اصلی'!T:T,0))</f>
        <v>146000000</v>
      </c>
      <c r="K917" s="64">
        <v>534</v>
      </c>
    </row>
    <row r="918" spans="1:11" ht="35.25" customHeight="1">
      <c r="A918" s="60"/>
      <c r="B918" s="61"/>
      <c r="D918" s="73">
        <v>75</v>
      </c>
      <c r="E918" s="109">
        <f>INDEX('اکسسوری حذف از لیست اصلی'!C:C,MATCH(K918,'اکسسوری حذف از لیست اصلی'!T:T,0))</f>
        <v>9901080124</v>
      </c>
      <c r="F918" s="109" t="str">
        <f>INDEX('اکسسوری حذف از لیست اصلی'!D:D,MATCH(K918,'اکسسوری حذف از لیست اصلی'!T:T,0))</f>
        <v>گلیم دستبافت هندی کرم(200*300)AC-R124</v>
      </c>
      <c r="G918" s="110">
        <f>INDEX('اکسسوری حذف از لیست اصلی'!E:E,MATCH(K918,'اکسسوری حذف از لیست اصلی'!T:T,0))</f>
        <v>0</v>
      </c>
      <c r="H918" s="110">
        <f>INDEX('اکسسوری حذف از لیست اصلی'!F:F,MATCH(K918,'اکسسوری حذف از لیست اصلی'!T:T,0))</f>
        <v>0</v>
      </c>
      <c r="I918" s="110">
        <f>INDEX('اکسسوری حذف از لیست اصلی'!G:G,MATCH(K918,'اکسسوری حذف از لیست اصلی'!T:T,0))</f>
        <v>0</v>
      </c>
      <c r="J918" s="74">
        <f>INDEX('اکسسوری حذف از لیست اصلی'!J:J,MATCH(K918,'اکسسوری حذف از لیست اصلی'!T:T,0))</f>
        <v>1617000000</v>
      </c>
      <c r="K918" s="64">
        <v>535</v>
      </c>
    </row>
    <row r="919" spans="1:11" ht="35.25" customHeight="1">
      <c r="A919" s="60"/>
      <c r="B919" s="61"/>
      <c r="D919" s="79">
        <v>76</v>
      </c>
      <c r="E919" s="109">
        <f>INDEX('اکسسوری حذف از لیست اصلی'!C:C,MATCH(K919,'اکسسوری حذف از لیست اصلی'!T:T,0))</f>
        <v>9901080125</v>
      </c>
      <c r="F919" s="109" t="str">
        <f>INDEX('اکسسوری حذف از لیست اصلی'!D:D,MATCH(K919,'اکسسوری حذف از لیست اصلی'!T:T,0))</f>
        <v>گلیم دستبافت هندی کرم ذغالی(200*300)AC-R124</v>
      </c>
      <c r="G919" s="110">
        <f>INDEX('اکسسوری حذف از لیست اصلی'!E:E,MATCH(K919,'اکسسوری حذف از لیست اصلی'!T:T,0))</f>
        <v>0</v>
      </c>
      <c r="H919" s="110">
        <f>INDEX('اکسسوری حذف از لیست اصلی'!F:F,MATCH(K919,'اکسسوری حذف از لیست اصلی'!T:T,0))</f>
        <v>0</v>
      </c>
      <c r="I919" s="110">
        <f>INDEX('اکسسوری حذف از لیست اصلی'!G:G,MATCH(K919,'اکسسوری حذف از لیست اصلی'!T:T,0))</f>
        <v>0</v>
      </c>
      <c r="J919" s="74">
        <f>INDEX('اکسسوری حذف از لیست اصلی'!J:J,MATCH(K919,'اکسسوری حذف از لیست اصلی'!T:T,0))</f>
        <v>1617000000</v>
      </c>
      <c r="K919" s="64">
        <v>536</v>
      </c>
    </row>
    <row r="920" spans="1:11" ht="18.75" customHeight="1">
      <c r="A920" s="60"/>
      <c r="B920" s="61"/>
      <c r="D920"/>
      <c r="E920"/>
      <c r="F920"/>
      <c r="G920"/>
      <c r="H920"/>
      <c r="I920"/>
      <c r="J920"/>
    </row>
    <row r="921" spans="1:11" ht="18.75" customHeight="1">
      <c r="A921" s="60"/>
      <c r="B921" s="61"/>
      <c r="D921"/>
      <c r="E921"/>
      <c r="F921"/>
      <c r="G921"/>
      <c r="H921"/>
      <c r="I921"/>
      <c r="J921"/>
    </row>
    <row r="922" spans="1:11" ht="18.75" customHeight="1">
      <c r="A922" s="60"/>
      <c r="B922" s="61"/>
      <c r="D922"/>
      <c r="E922"/>
      <c r="F922"/>
      <c r="G922"/>
      <c r="H922"/>
      <c r="I922"/>
      <c r="J922"/>
    </row>
    <row r="923" spans="1:11" ht="18" customHeight="1">
      <c r="A923" s="60"/>
      <c r="B923" s="61"/>
      <c r="D923"/>
      <c r="E923"/>
      <c r="F923"/>
      <c r="G923"/>
      <c r="H923"/>
      <c r="I923"/>
      <c r="J923" s="74">
        <v>34</v>
      </c>
    </row>
    <row r="924" spans="1:11">
      <c r="A924" s="70"/>
      <c r="B924" s="71"/>
      <c r="C924" s="183"/>
      <c r="D924" s="184"/>
      <c r="E924" s="184"/>
      <c r="F924" s="184"/>
      <c r="G924" s="184"/>
      <c r="H924" s="184"/>
      <c r="I924" s="184"/>
      <c r="J924" s="184"/>
    </row>
    <row r="925" spans="1:11">
      <c r="A925" s="70"/>
      <c r="B925" s="71"/>
      <c r="C925" s="183"/>
      <c r="D925" s="184"/>
      <c r="E925" s="184"/>
      <c r="F925" s="184"/>
      <c r="G925" s="184"/>
      <c r="H925" s="184"/>
      <c r="I925" s="184"/>
      <c r="J925" s="184"/>
    </row>
    <row r="926" spans="1:11" ht="27.75">
      <c r="A926" s="70"/>
      <c r="B926" s="71"/>
      <c r="C926" s="72"/>
      <c r="D926" s="67" t="s">
        <v>1059</v>
      </c>
      <c r="J926" s="68" t="str">
        <f>$N$1</f>
        <v>1405/02/23</v>
      </c>
    </row>
    <row r="927" spans="1:11" ht="36">
      <c r="A927" s="70"/>
      <c r="B927" s="71"/>
      <c r="C927" s="77"/>
      <c r="D927" s="75" t="s">
        <v>0</v>
      </c>
      <c r="E927" s="69" t="s">
        <v>1</v>
      </c>
      <c r="F927" s="107" t="s">
        <v>448</v>
      </c>
      <c r="G927" s="108" t="s">
        <v>1141</v>
      </c>
      <c r="H927" s="108" t="s">
        <v>1142</v>
      </c>
      <c r="I927" s="108" t="s">
        <v>1143</v>
      </c>
      <c r="J927" s="68" t="s">
        <v>251</v>
      </c>
    </row>
    <row r="928" spans="1:11" ht="34.5" customHeight="1">
      <c r="A928" s="60"/>
      <c r="B928" s="61"/>
      <c r="D928" s="73">
        <v>1</v>
      </c>
      <c r="E928" s="109">
        <f>INDEX('اکسسوری حذف از لیست اصلی'!C:C,MATCH(K928,'اکسسوری حذف از لیست اصلی'!T:T,0))</f>
        <v>9901030196</v>
      </c>
      <c r="F928" s="109" t="str">
        <f>INDEX('اکسسوری حذف از لیست اصلی'!D:D,MATCH(K928,'اکسسوری حذف از لیست اصلی'!T:T,0))</f>
        <v>ست هلدر کتاب استیل طلایی DS-ST196</v>
      </c>
      <c r="G928" s="110" t="str">
        <f>INDEX('اکسسوری حذف از لیست اصلی'!E:E,MATCH(K928,'اکسسوری حذف از لیست اصلی'!T:T,0))</f>
        <v>-</v>
      </c>
      <c r="H928" s="110">
        <f>INDEX('اکسسوری حذف از لیست اصلی'!F:F,MATCH(K928,'اکسسوری حذف از لیست اصلی'!T:T,0))</f>
        <v>0</v>
      </c>
      <c r="I928" s="110">
        <f>INDEX('اکسسوری حذف از لیست اصلی'!G:G,MATCH(K928,'اکسسوری حذف از لیست اصلی'!T:T,0))</f>
        <v>0</v>
      </c>
      <c r="J928" s="74">
        <f>INDEX('اکسسوری حذف از لیست اصلی'!J:J,MATCH(K928,'اکسسوری حذف از لیست اصلی'!T:T,0))</f>
        <v>149000000</v>
      </c>
      <c r="K928" s="64">
        <v>537</v>
      </c>
    </row>
    <row r="929" spans="1:11" ht="34.5" customHeight="1">
      <c r="A929" s="60"/>
      <c r="B929" s="61"/>
      <c r="C929" s="78"/>
      <c r="D929" s="73">
        <v>2</v>
      </c>
      <c r="E929" s="109">
        <f>INDEX('اکسسوری حذف از لیست اصلی'!C:C,MATCH(K929,'اکسسوری حذف از لیست اصلی'!T:T,0))</f>
        <v>9901030324</v>
      </c>
      <c r="F929" s="109" t="str">
        <f>INDEX('اکسسوری حذف از لیست اصلی'!D:D,MATCH(K929,'اکسسوری حذف از لیست اصلی'!T:T,0))</f>
        <v>ست هلدر کتاب چوبی DS-W324</v>
      </c>
      <c r="G929" s="110" t="str">
        <f>INDEX('اکسسوری حذف از لیست اصلی'!E:E,MATCH(K929,'اکسسوری حذف از لیست اصلی'!T:T,0))</f>
        <v>-</v>
      </c>
      <c r="H929" s="110">
        <f>INDEX('اکسسوری حذف از لیست اصلی'!F:F,MATCH(K929,'اکسسوری حذف از لیست اصلی'!T:T,0))</f>
        <v>0</v>
      </c>
      <c r="I929" s="110">
        <f>INDEX('اکسسوری حذف از لیست اصلی'!G:G,MATCH(K929,'اکسسوری حذف از لیست اصلی'!T:T,0))</f>
        <v>0</v>
      </c>
      <c r="J929" s="74">
        <f>INDEX('اکسسوری حذف از لیست اصلی'!J:J,MATCH(K929,'اکسسوری حذف از لیست اصلی'!T:T,0))</f>
        <v>117000000</v>
      </c>
      <c r="K929" s="64">
        <v>538</v>
      </c>
    </row>
    <row r="930" spans="1:11" ht="34.5" customHeight="1">
      <c r="A930" s="60"/>
      <c r="B930" s="61"/>
      <c r="D930" s="73">
        <v>3</v>
      </c>
      <c r="E930" s="109">
        <f>INDEX('اکسسوری حذف از لیست اصلی'!C:C,MATCH(K930,'اکسسوری حذف از لیست اصلی'!T:T,0))</f>
        <v>9901030406</v>
      </c>
      <c r="F930" s="109" t="str">
        <f>INDEX('اکسسوری حذف از لیست اصلی'!D:D,MATCH(K930,'اکسسوری حذف از لیست اصلی'!T:T,0))</f>
        <v>ست هلدر کتاب پتینه وایت واش DS-W406</v>
      </c>
      <c r="G930" s="110" t="str">
        <f>INDEX('اکسسوری حذف از لیست اصلی'!E:E,MATCH(K930,'اکسسوری حذف از لیست اصلی'!T:T,0))</f>
        <v>29*20*60</v>
      </c>
      <c r="H930" s="110">
        <f>INDEX('اکسسوری حذف از لیست اصلی'!F:F,MATCH(K930,'اکسسوری حذف از لیست اصلی'!T:T,0))</f>
        <v>0</v>
      </c>
      <c r="I930" s="110">
        <f>INDEX('اکسسوری حذف از لیست اصلی'!G:G,MATCH(K930,'اکسسوری حذف از لیست اصلی'!T:T,0))</f>
        <v>0</v>
      </c>
      <c r="J930" s="74">
        <f>INDEX('اکسسوری حذف از لیست اصلی'!J:J,MATCH(K930,'اکسسوری حذف از لیست اصلی'!T:T,0))</f>
        <v>65000000</v>
      </c>
      <c r="K930" s="64">
        <v>539</v>
      </c>
    </row>
    <row r="931" spans="1:11" ht="34.5" customHeight="1">
      <c r="A931" s="60"/>
      <c r="B931" s="61"/>
      <c r="D931" s="73">
        <v>4</v>
      </c>
      <c r="E931" s="109">
        <f>INDEX('اکسسوری حذف از لیست اصلی'!C:C,MATCH(K931,'اکسسوری حذف از لیست اصلی'!T:T,0))</f>
        <v>9901030407</v>
      </c>
      <c r="F931" s="109" t="str">
        <f>INDEX('اکسسوری حذف از لیست اصلی'!D:D,MATCH(K931,'اکسسوری حذف از لیست اصلی'!T:T,0))</f>
        <v>ست هلدر کتاب بادامی DS-W407</v>
      </c>
      <c r="G931" s="110" t="str">
        <f>INDEX('اکسسوری حذف از لیست اصلی'!E:E,MATCH(K931,'اکسسوری حذف از لیست اصلی'!T:T,0))</f>
        <v>29*20*60</v>
      </c>
      <c r="H931" s="110">
        <f>INDEX('اکسسوری حذف از لیست اصلی'!F:F,MATCH(K931,'اکسسوری حذف از لیست اصلی'!T:T,0))</f>
        <v>0</v>
      </c>
      <c r="I931" s="110">
        <f>INDEX('اکسسوری حذف از لیست اصلی'!G:G,MATCH(K931,'اکسسوری حذف از لیست اصلی'!T:T,0))</f>
        <v>0</v>
      </c>
      <c r="J931" s="74">
        <f>INDEX('اکسسوری حذف از لیست اصلی'!J:J,MATCH(K931,'اکسسوری حذف از لیست اصلی'!T:T,0))</f>
        <v>65000000</v>
      </c>
      <c r="K931" s="64">
        <v>540</v>
      </c>
    </row>
    <row r="932" spans="1:11" ht="34.5" customHeight="1">
      <c r="A932" s="60"/>
      <c r="B932" s="61"/>
      <c r="D932" s="73">
        <v>5</v>
      </c>
      <c r="E932" s="109">
        <f>INDEX('اکسسوری حذف از لیست اصلی'!C:C,MATCH(K932,'اکسسوری حذف از لیست اصلی'!T:T,0))</f>
        <v>9901030408</v>
      </c>
      <c r="F932" s="109" t="str">
        <f>INDEX('اکسسوری حذف از لیست اصلی'!D:D,MATCH(K932,'اکسسوری حذف از لیست اصلی'!T:T,0))</f>
        <v>ست هلدر کتاب دودی DS-W408</v>
      </c>
      <c r="G932" s="110" t="str">
        <f>INDEX('اکسسوری حذف از لیست اصلی'!E:E,MATCH(K932,'اکسسوری حذف از لیست اصلی'!T:T,0))</f>
        <v>29*20*60</v>
      </c>
      <c r="H932" s="110">
        <f>INDEX('اکسسوری حذف از لیست اصلی'!F:F,MATCH(K932,'اکسسوری حذف از لیست اصلی'!T:T,0))</f>
        <v>0</v>
      </c>
      <c r="I932" s="110">
        <f>INDEX('اکسسوری حذف از لیست اصلی'!G:G,MATCH(K932,'اکسسوری حذف از لیست اصلی'!T:T,0))</f>
        <v>0</v>
      </c>
      <c r="J932" s="74">
        <f>INDEX('اکسسوری حذف از لیست اصلی'!J:J,MATCH(K932,'اکسسوری حذف از لیست اصلی'!T:T,0))</f>
        <v>85000000</v>
      </c>
      <c r="K932" s="64">
        <v>541</v>
      </c>
    </row>
    <row r="933" spans="1:11" ht="30.75" customHeight="1">
      <c r="A933" s="60"/>
      <c r="B933" s="61"/>
      <c r="D933" s="65"/>
      <c r="E933" s="65"/>
      <c r="G933" s="28"/>
      <c r="H933" s="28"/>
      <c r="I933" s="28"/>
      <c r="J933" s="74"/>
    </row>
    <row r="934" spans="1:11" ht="30.75" customHeight="1">
      <c r="A934" s="60"/>
      <c r="B934" s="61"/>
      <c r="D934" s="65"/>
      <c r="E934" s="65"/>
      <c r="G934" s="28"/>
      <c r="H934" s="28"/>
      <c r="I934" s="28"/>
      <c r="J934" s="74"/>
    </row>
    <row r="935" spans="1:11">
      <c r="A935" s="60"/>
      <c r="B935" s="61"/>
      <c r="D935"/>
      <c r="E935"/>
      <c r="F935"/>
      <c r="G935"/>
      <c r="H935"/>
      <c r="I935"/>
      <c r="J935"/>
    </row>
    <row r="936" spans="1:11">
      <c r="A936" s="60"/>
      <c r="B936" s="61"/>
      <c r="D936"/>
      <c r="E936"/>
      <c r="F936"/>
      <c r="G936"/>
      <c r="H936"/>
      <c r="I936"/>
      <c r="J936"/>
    </row>
    <row r="937" spans="1:11" ht="27.75">
      <c r="A937" s="70"/>
      <c r="B937" s="71"/>
      <c r="C937" s="72"/>
      <c r="D937" s="67" t="s">
        <v>1065</v>
      </c>
      <c r="J937" s="64"/>
    </row>
    <row r="938" spans="1:11" ht="36">
      <c r="A938" s="70"/>
      <c r="B938" s="71"/>
      <c r="C938" s="77"/>
      <c r="D938" s="75" t="s">
        <v>0</v>
      </c>
      <c r="E938" s="69" t="s">
        <v>1</v>
      </c>
      <c r="F938" s="107" t="s">
        <v>448</v>
      </c>
      <c r="G938" s="108" t="s">
        <v>1141</v>
      </c>
      <c r="H938" s="108" t="s">
        <v>1142</v>
      </c>
      <c r="I938" s="108" t="s">
        <v>1143</v>
      </c>
      <c r="J938" s="68" t="s">
        <v>251</v>
      </c>
    </row>
    <row r="939" spans="1:11" ht="35.25" customHeight="1">
      <c r="A939" s="60"/>
      <c r="B939" s="61"/>
      <c r="D939" s="73">
        <v>1</v>
      </c>
      <c r="E939" s="109">
        <f>INDEX('اکسسوری حذف از لیست اصلی'!C:C,MATCH(K939,'اکسسوری حذف از لیست اصلی'!T:T,0))</f>
        <v>9901030478</v>
      </c>
      <c r="F939" s="109" t="str">
        <f>INDEX('اکسسوری حذف از لیست اصلی'!D:D,MATCH(K939,'اکسسوری حذف از لیست اصلی'!T:T,0))</f>
        <v>آشیانه حیوانات خانگی بادامیDP-W478</v>
      </c>
      <c r="G939" s="110">
        <f>INDEX('اکسسوری حذف از لیست اصلی'!E:E,MATCH(K939,'اکسسوری حذف از لیست اصلی'!T:T,0))</f>
        <v>0</v>
      </c>
      <c r="H939" s="110">
        <f>INDEX('اکسسوری حذف از لیست اصلی'!F:F,MATCH(K939,'اکسسوری حذف از لیست اصلی'!T:T,0))</f>
        <v>0</v>
      </c>
      <c r="I939" s="110">
        <f>INDEX('اکسسوری حذف از لیست اصلی'!G:G,MATCH(K939,'اکسسوری حذف از لیست اصلی'!T:T,0))</f>
        <v>0</v>
      </c>
      <c r="J939" s="74">
        <f>INDEX('اکسسوری حذف از لیست اصلی'!J:J,MATCH(K939,'اکسسوری حذف از لیست اصلی'!T:T,0))</f>
        <v>422000000</v>
      </c>
      <c r="K939" s="64">
        <v>542</v>
      </c>
    </row>
    <row r="940" spans="1:11" ht="35.25" customHeight="1">
      <c r="A940" s="60"/>
      <c r="B940" s="61"/>
      <c r="C940" s="78"/>
      <c r="D940" s="73">
        <v>2</v>
      </c>
      <c r="E940" s="109">
        <f>INDEX('اکسسوری حذف از لیست اصلی'!C:C,MATCH(K940,'اکسسوری حذف از لیست اصلی'!T:T,0))</f>
        <v>9901030479</v>
      </c>
      <c r="F940" s="109" t="str">
        <f>INDEX('اکسسوری حذف از لیست اصلی'!D:D,MATCH(K940,'اکسسوری حذف از لیست اصلی'!T:T,0))</f>
        <v>آشیانه حیوانات خانگی گردویی دودیDP-W479</v>
      </c>
      <c r="G940" s="110">
        <f>INDEX('اکسسوری حذف از لیست اصلی'!E:E,MATCH(K940,'اکسسوری حذف از لیست اصلی'!T:T,0))</f>
        <v>0</v>
      </c>
      <c r="H940" s="110">
        <f>INDEX('اکسسوری حذف از لیست اصلی'!F:F,MATCH(K940,'اکسسوری حذف از لیست اصلی'!T:T,0))</f>
        <v>0</v>
      </c>
      <c r="I940" s="110">
        <f>INDEX('اکسسوری حذف از لیست اصلی'!G:G,MATCH(K940,'اکسسوری حذف از لیست اصلی'!T:T,0))</f>
        <v>0</v>
      </c>
      <c r="J940" s="74">
        <f>INDEX('اکسسوری حذف از لیست اصلی'!J:J,MATCH(K940,'اکسسوری حذف از لیست اصلی'!T:T,0))</f>
        <v>422000000</v>
      </c>
      <c r="K940" s="64">
        <v>543</v>
      </c>
    </row>
    <row r="941" spans="1:11" ht="35.25" customHeight="1">
      <c r="A941" s="60"/>
      <c r="B941" s="61"/>
      <c r="D941" s="73">
        <v>3</v>
      </c>
      <c r="E941" s="109">
        <f>INDEX('اکسسوری حذف از لیست اصلی'!C:C,MATCH(K941,'اکسسوری حذف از لیست اصلی'!T:T,0))</f>
        <v>9901030480</v>
      </c>
      <c r="F941" s="109" t="str">
        <f>INDEX('اکسسوری حذف از لیست اصلی'!D:D,MATCH(K941,'اکسسوری حذف از لیست اصلی'!T:T,0))</f>
        <v>آشیانه حیوانات خانگی مشکیDP-W480</v>
      </c>
      <c r="G941" s="110">
        <f>INDEX('اکسسوری حذف از لیست اصلی'!E:E,MATCH(K941,'اکسسوری حذف از لیست اصلی'!T:T,0))</f>
        <v>0</v>
      </c>
      <c r="H941" s="110">
        <f>INDEX('اکسسوری حذف از لیست اصلی'!F:F,MATCH(K941,'اکسسوری حذف از لیست اصلی'!T:T,0))</f>
        <v>0</v>
      </c>
      <c r="I941" s="110">
        <f>INDEX('اکسسوری حذف از لیست اصلی'!G:G,MATCH(K941,'اکسسوری حذف از لیست اصلی'!T:T,0))</f>
        <v>0</v>
      </c>
      <c r="J941" s="74">
        <f>INDEX('اکسسوری حذف از لیست اصلی'!J:J,MATCH(K941,'اکسسوری حذف از لیست اصلی'!T:T,0))</f>
        <v>422000000</v>
      </c>
      <c r="K941" s="64">
        <v>544</v>
      </c>
    </row>
    <row r="942" spans="1:11" ht="35.25" customHeight="1">
      <c r="A942" s="70"/>
      <c r="B942" s="71"/>
      <c r="C942"/>
      <c r="D942" s="73">
        <v>4</v>
      </c>
      <c r="E942" s="109">
        <f>INDEX('اکسسوری حذف از لیست اصلی'!C:C,MATCH(K942,'اکسسوری حذف از لیست اصلی'!T:T,0))</f>
        <v>9901030489</v>
      </c>
      <c r="F942" s="109" t="str">
        <f>INDEX('اکسسوری حذف از لیست اصلی'!D:D,MATCH(K942,'اکسسوری حذف از لیست اصلی'!T:T,0))</f>
        <v>آشیانه حیوانات پلای وود مشکیDP-W489</v>
      </c>
      <c r="G942" s="110">
        <f>INDEX('اکسسوری حذف از لیست اصلی'!E:E,MATCH(K942,'اکسسوری حذف از لیست اصلی'!T:T,0))</f>
        <v>0</v>
      </c>
      <c r="H942" s="110">
        <f>INDEX('اکسسوری حذف از لیست اصلی'!F:F,MATCH(K942,'اکسسوری حذف از لیست اصلی'!T:T,0))</f>
        <v>0</v>
      </c>
      <c r="I942" s="110">
        <f>INDEX('اکسسوری حذف از لیست اصلی'!G:G,MATCH(K942,'اکسسوری حذف از لیست اصلی'!T:T,0))</f>
        <v>0</v>
      </c>
      <c r="J942" s="74">
        <f>INDEX('اکسسوری حذف از لیست اصلی'!J:J,MATCH(K942,'اکسسوری حذف از لیست اصلی'!T:T,0))</f>
        <v>696000000</v>
      </c>
      <c r="K942" s="64">
        <v>545</v>
      </c>
    </row>
    <row r="943" spans="1:11">
      <c r="A943" s="70"/>
      <c r="B943" s="71"/>
      <c r="C943"/>
      <c r="D943"/>
      <c r="E943"/>
      <c r="F943"/>
      <c r="G943"/>
      <c r="H943"/>
      <c r="I943"/>
      <c r="J943"/>
    </row>
    <row r="944" spans="1:11">
      <c r="A944" s="70"/>
      <c r="B944" s="71"/>
      <c r="C944"/>
      <c r="D944"/>
      <c r="E944"/>
      <c r="F944"/>
      <c r="G944"/>
      <c r="H944"/>
      <c r="I944"/>
      <c r="J944"/>
    </row>
    <row r="945" spans="1:11">
      <c r="A945" s="70"/>
      <c r="B945" s="71"/>
      <c r="C945"/>
      <c r="D945"/>
      <c r="E945"/>
      <c r="F945"/>
      <c r="G945"/>
      <c r="H945"/>
      <c r="I945"/>
      <c r="J945"/>
    </row>
    <row r="946" spans="1:11">
      <c r="A946" s="70"/>
      <c r="B946" s="71"/>
      <c r="C946"/>
      <c r="D946"/>
      <c r="E946"/>
      <c r="F946"/>
      <c r="G946"/>
      <c r="H946"/>
      <c r="I946"/>
      <c r="J946"/>
    </row>
    <row r="947" spans="1:11">
      <c r="A947" s="70"/>
      <c r="B947" s="71"/>
      <c r="C947"/>
      <c r="D947"/>
      <c r="E947"/>
      <c r="F947"/>
      <c r="G947"/>
      <c r="H947"/>
      <c r="I947"/>
      <c r="J947"/>
    </row>
    <row r="948" spans="1:11">
      <c r="A948" s="60"/>
      <c r="B948" s="61"/>
      <c r="D948"/>
      <c r="E948"/>
      <c r="F948"/>
      <c r="G948"/>
      <c r="H948"/>
      <c r="I948"/>
      <c r="J948"/>
    </row>
    <row r="949" spans="1:11">
      <c r="A949" s="60"/>
      <c r="B949" s="61"/>
      <c r="D949"/>
      <c r="E949"/>
      <c r="F949"/>
      <c r="G949"/>
      <c r="H949"/>
      <c r="I949"/>
      <c r="J949" s="28">
        <v>35</v>
      </c>
    </row>
    <row r="950" spans="1:11">
      <c r="A950" s="60"/>
      <c r="B950" s="61"/>
      <c r="C950" s="183"/>
      <c r="D950" s="184"/>
      <c r="E950" s="184"/>
      <c r="F950" s="184"/>
      <c r="G950" s="184"/>
      <c r="H950" s="184"/>
      <c r="I950" s="184"/>
      <c r="J950" s="184"/>
    </row>
    <row r="951" spans="1:11">
      <c r="A951" s="60"/>
      <c r="B951" s="61"/>
      <c r="C951" s="183"/>
      <c r="D951" s="184"/>
      <c r="E951" s="184"/>
      <c r="F951" s="184"/>
      <c r="G951" s="184"/>
      <c r="H951" s="184"/>
      <c r="I951" s="184"/>
      <c r="J951" s="184"/>
    </row>
    <row r="952" spans="1:11" ht="27.75">
      <c r="A952" s="60"/>
      <c r="B952" s="61"/>
      <c r="D952" s="67" t="s">
        <v>1528</v>
      </c>
      <c r="J952" s="68" t="str">
        <f>$N$1</f>
        <v>1405/02/23</v>
      </c>
    </row>
    <row r="953" spans="1:11" ht="36">
      <c r="A953" s="60"/>
      <c r="B953" s="61"/>
      <c r="D953" s="75" t="s">
        <v>0</v>
      </c>
      <c r="E953" s="69" t="s">
        <v>1</v>
      </c>
      <c r="F953" s="107" t="s">
        <v>448</v>
      </c>
      <c r="G953" s="108" t="s">
        <v>1141</v>
      </c>
      <c r="H953" s="108" t="s">
        <v>1142</v>
      </c>
      <c r="I953" s="108" t="s">
        <v>1143</v>
      </c>
      <c r="J953" s="68" t="s">
        <v>251</v>
      </c>
    </row>
    <row r="954" spans="1:11" ht="30.75" customHeight="1">
      <c r="A954" s="60"/>
      <c r="B954" s="61"/>
      <c r="D954" s="73">
        <v>1</v>
      </c>
      <c r="E954" s="109">
        <f>INDEX('اکسسوری حذف از لیست اصلی'!C:C,MATCH(K954,'اکسسوری حذف از لیست اصلی'!T:T,0))</f>
        <v>9901030496</v>
      </c>
      <c r="F954" s="109" t="str">
        <f>INDEX('اکسسوری حذف از لیست اصلی'!D:D,MATCH(K954,'اکسسوری حذف از لیست اصلی'!T:T,0))</f>
        <v>انبر سالاد چوبیDS-W496</v>
      </c>
      <c r="G954" s="110">
        <f>INDEX('اکسسوری حذف از لیست اصلی'!E:E,MATCH(K954,'اکسسوری حذف از لیست اصلی'!T:T,0))</f>
        <v>0</v>
      </c>
      <c r="H954" s="110">
        <f>INDEX('اکسسوری حذف از لیست اصلی'!F:F,MATCH(K954,'اکسسوری حذف از لیست اصلی'!T:T,0))</f>
        <v>0</v>
      </c>
      <c r="I954" s="110">
        <f>INDEX('اکسسوری حذف از لیست اصلی'!G:G,MATCH(K954,'اکسسوری حذف از لیست اصلی'!T:T,0))</f>
        <v>0</v>
      </c>
      <c r="J954" s="74">
        <f>INDEX('اکسسوری حذف از لیست اصلی'!J:J,MATCH(K954,'اکسسوری حذف از لیست اصلی'!T:T,0))</f>
        <v>8000000</v>
      </c>
      <c r="K954" s="64">
        <v>546</v>
      </c>
    </row>
    <row r="955" spans="1:11" ht="30.75" customHeight="1">
      <c r="A955" s="60"/>
      <c r="B955" s="61"/>
      <c r="D955" s="73">
        <v>2</v>
      </c>
      <c r="E955" s="109">
        <f>INDEX('اکسسوری حذف از لیست اصلی'!C:C,MATCH(K955,'اکسسوری حذف از لیست اصلی'!T:T,0))</f>
        <v>9901030497</v>
      </c>
      <c r="F955" s="109" t="str">
        <f>INDEX('اکسسوری حذف از لیست اصلی'!D:D,MATCH(K955,'اکسسوری حذف از لیست اصلی'!T:T,0))</f>
        <v>قاشق و چنگال  سالادچوبیDS-W497</v>
      </c>
      <c r="G955" s="110">
        <f>INDEX('اکسسوری حذف از لیست اصلی'!E:E,MATCH(K955,'اکسسوری حذف از لیست اصلی'!T:T,0))</f>
        <v>0</v>
      </c>
      <c r="H955" s="110">
        <f>INDEX('اکسسوری حذف از لیست اصلی'!F:F,MATCH(K955,'اکسسوری حذف از لیست اصلی'!T:T,0))</f>
        <v>0</v>
      </c>
      <c r="I955" s="110">
        <f>INDEX('اکسسوری حذف از لیست اصلی'!G:G,MATCH(K955,'اکسسوری حذف از لیست اصلی'!T:T,0))</f>
        <v>0</v>
      </c>
      <c r="J955" s="74">
        <f>INDEX('اکسسوری حذف از لیست اصلی'!J:J,MATCH(K955,'اکسسوری حذف از لیست اصلی'!T:T,0))</f>
        <v>20000000</v>
      </c>
      <c r="K955" s="64">
        <v>547</v>
      </c>
    </row>
    <row r="956" spans="1:11" ht="30.75" customHeight="1">
      <c r="A956" s="60"/>
      <c r="B956" s="61"/>
      <c r="D956" s="73">
        <v>3</v>
      </c>
      <c r="E956" s="109">
        <f>INDEX('اکسسوری حذف از لیست اصلی'!C:C,MATCH(K956,'اکسسوری حذف از لیست اصلی'!T:T,0))</f>
        <v>9901030498</v>
      </c>
      <c r="F956" s="109" t="str">
        <f>INDEX('اکسسوری حذف از لیست اصلی'!D:D,MATCH(K956,'اکسسوری حذف از لیست اصلی'!T:T,0))</f>
        <v>ست سرو سالادچوبیDS-W498</v>
      </c>
      <c r="G956" s="110">
        <f>INDEX('اکسسوری حذف از لیست اصلی'!E:E,MATCH(K956,'اکسسوری حذف از لیست اصلی'!T:T,0))</f>
        <v>0</v>
      </c>
      <c r="H956" s="110">
        <f>INDEX('اکسسوری حذف از لیست اصلی'!F:F,MATCH(K956,'اکسسوری حذف از لیست اصلی'!T:T,0))</f>
        <v>0</v>
      </c>
      <c r="I956" s="110">
        <f>INDEX('اکسسوری حذف از لیست اصلی'!G:G,MATCH(K956,'اکسسوری حذف از لیست اصلی'!T:T,0))</f>
        <v>0</v>
      </c>
      <c r="J956" s="74">
        <f>INDEX('اکسسوری حذف از لیست اصلی'!J:J,MATCH(K956,'اکسسوری حذف از لیست اصلی'!T:T,0))</f>
        <v>10000000</v>
      </c>
      <c r="K956" s="64">
        <v>548</v>
      </c>
    </row>
    <row r="957" spans="1:11" ht="30.75" customHeight="1">
      <c r="A957" s="60"/>
      <c r="B957" s="61"/>
      <c r="D957" s="73">
        <v>4</v>
      </c>
      <c r="E957" s="109">
        <f>INDEX('اکسسوری حذف از لیست اصلی'!C:C,MATCH(K957,'اکسسوری حذف از لیست اصلی'!T:T,0))</f>
        <v>9901030499</v>
      </c>
      <c r="F957" s="109" t="str">
        <f>INDEX('اکسسوری حذف از لیست اصلی'!D:D,MATCH(K957,'اکسسوری حذف از لیست اصلی'!T:T,0))</f>
        <v>کفگیر کیک چوبیDG-W499</v>
      </c>
      <c r="G957" s="110">
        <f>INDEX('اکسسوری حذف از لیست اصلی'!E:E,MATCH(K957,'اکسسوری حذف از لیست اصلی'!T:T,0))</f>
        <v>0</v>
      </c>
      <c r="H957" s="110">
        <f>INDEX('اکسسوری حذف از لیست اصلی'!F:F,MATCH(K957,'اکسسوری حذف از لیست اصلی'!T:T,0))</f>
        <v>0</v>
      </c>
      <c r="I957" s="110">
        <f>INDEX('اکسسوری حذف از لیست اصلی'!G:G,MATCH(K957,'اکسسوری حذف از لیست اصلی'!T:T,0))</f>
        <v>0</v>
      </c>
      <c r="J957" s="74">
        <f>INDEX('اکسسوری حذف از لیست اصلی'!J:J,MATCH(K957,'اکسسوری حذف از لیست اصلی'!T:T,0))</f>
        <v>10000000</v>
      </c>
      <c r="K957" s="64">
        <v>549</v>
      </c>
    </row>
    <row r="958" spans="1:11" ht="30.75" customHeight="1">
      <c r="A958" s="60"/>
      <c r="B958" s="61"/>
      <c r="D958" s="73">
        <v>5</v>
      </c>
      <c r="E958" s="109">
        <f>INDEX('اکسسوری حذف از لیست اصلی'!C:C,MATCH(K958,'اکسسوری حذف از لیست اصلی'!T:T,0))</f>
        <v>9901030500</v>
      </c>
      <c r="F958" s="109" t="str">
        <f>INDEX('اکسسوری حذف از لیست اصلی'!D:D,MATCH(K958,'اکسسوری حذف از لیست اصلی'!T:T,0))</f>
        <v>کارد کیک چوبیDG-W500</v>
      </c>
      <c r="G958" s="110">
        <f>INDEX('اکسسوری حذف از لیست اصلی'!E:E,MATCH(K958,'اکسسوری حذف از لیست اصلی'!T:T,0))</f>
        <v>0</v>
      </c>
      <c r="H958" s="110">
        <f>INDEX('اکسسوری حذف از لیست اصلی'!F:F,MATCH(K958,'اکسسوری حذف از لیست اصلی'!T:T,0))</f>
        <v>0</v>
      </c>
      <c r="I958" s="110">
        <f>INDEX('اکسسوری حذف از لیست اصلی'!G:G,MATCH(K958,'اکسسوری حذف از لیست اصلی'!T:T,0))</f>
        <v>0</v>
      </c>
      <c r="J958" s="74">
        <f>INDEX('اکسسوری حذف از لیست اصلی'!J:J,MATCH(K958,'اکسسوری حذف از لیست اصلی'!T:T,0))</f>
        <v>8000000</v>
      </c>
      <c r="K958" s="64">
        <v>550</v>
      </c>
    </row>
    <row r="959" spans="1:11" ht="30.75" customHeight="1">
      <c r="A959" s="60"/>
      <c r="B959" s="61"/>
      <c r="D959" s="73">
        <v>6</v>
      </c>
      <c r="E959" s="109">
        <f>INDEX('اکسسوری حذف از لیست اصلی'!C:C,MATCH(K959,'اکسسوری حذف از لیست اصلی'!T:T,0))</f>
        <v>9901030501</v>
      </c>
      <c r="F959" s="109" t="str">
        <f>INDEX('اکسسوری حذف از لیست اصلی'!D:D,MATCH(K959,'اکسسوری حذف از لیست اصلی'!T:T,0))</f>
        <v>کارد چوبیDB-W501</v>
      </c>
      <c r="G959" s="110">
        <f>INDEX('اکسسوری حذف از لیست اصلی'!E:E,MATCH(K959,'اکسسوری حذف از لیست اصلی'!T:T,0))</f>
        <v>0</v>
      </c>
      <c r="H959" s="110">
        <f>INDEX('اکسسوری حذف از لیست اصلی'!F:F,MATCH(K959,'اکسسوری حذف از لیست اصلی'!T:T,0))</f>
        <v>0</v>
      </c>
      <c r="I959" s="110">
        <f>INDEX('اکسسوری حذف از لیست اصلی'!G:G,MATCH(K959,'اکسسوری حذف از لیست اصلی'!T:T,0))</f>
        <v>0</v>
      </c>
      <c r="J959" s="74">
        <f>INDEX('اکسسوری حذف از لیست اصلی'!J:J,MATCH(K959,'اکسسوری حذف از لیست اصلی'!T:T,0))</f>
        <v>8000000</v>
      </c>
      <c r="K959" s="64">
        <v>551</v>
      </c>
    </row>
    <row r="960" spans="1:11" ht="30.75" customHeight="1">
      <c r="A960" s="60"/>
      <c r="B960" s="61"/>
      <c r="D960" s="73">
        <v>7</v>
      </c>
      <c r="E960" s="109">
        <f>INDEX('اکسسوری حذف از لیست اصلی'!C:C,MATCH(K960,'اکسسوری حذف از لیست اصلی'!T:T,0))</f>
        <v>9901030502</v>
      </c>
      <c r="F960" s="109" t="str">
        <f>INDEX('اکسسوری حذف از لیست اصلی'!D:D,MATCH(K960,'اکسسوری حذف از لیست اصلی'!T:T,0))</f>
        <v>چنگال چوبیDC-W502</v>
      </c>
      <c r="G960" s="110">
        <f>INDEX('اکسسوری حذف از لیست اصلی'!E:E,MATCH(K960,'اکسسوری حذف از لیست اصلی'!T:T,0))</f>
        <v>0</v>
      </c>
      <c r="H960" s="110">
        <f>INDEX('اکسسوری حذف از لیست اصلی'!F:F,MATCH(K960,'اکسسوری حذف از لیست اصلی'!T:T,0))</f>
        <v>0</v>
      </c>
      <c r="I960" s="110">
        <f>INDEX('اکسسوری حذف از لیست اصلی'!G:G,MATCH(K960,'اکسسوری حذف از لیست اصلی'!T:T,0))</f>
        <v>0</v>
      </c>
      <c r="J960" s="74">
        <f>INDEX('اکسسوری حذف از لیست اصلی'!J:J,MATCH(K960,'اکسسوری حذف از لیست اصلی'!T:T,0))</f>
        <v>8000000</v>
      </c>
      <c r="K960" s="64">
        <v>552</v>
      </c>
    </row>
    <row r="961" spans="1:11" ht="30.75" customHeight="1">
      <c r="A961" s="60"/>
      <c r="B961" s="61"/>
      <c r="D961" s="73">
        <v>8</v>
      </c>
      <c r="E961" s="109">
        <f>INDEX('اکسسوری حذف از لیست اصلی'!C:C,MATCH(K961,'اکسسوری حذف از لیست اصلی'!T:T,0))</f>
        <v>9901030503</v>
      </c>
      <c r="F961" s="109" t="str">
        <f>INDEX('اکسسوری حذف از لیست اصلی'!D:D,MATCH(K961,'اکسسوری حذف از لیست اصلی'!T:T,0))</f>
        <v>کارد دیپ چوبیDB-W503</v>
      </c>
      <c r="G961" s="110">
        <f>INDEX('اکسسوری حذف از لیست اصلی'!E:E,MATCH(K961,'اکسسوری حذف از لیست اصلی'!T:T,0))</f>
        <v>0</v>
      </c>
      <c r="H961" s="110">
        <f>INDEX('اکسسوری حذف از لیست اصلی'!F:F,MATCH(K961,'اکسسوری حذف از لیست اصلی'!T:T,0))</f>
        <v>0</v>
      </c>
      <c r="I961" s="110">
        <f>INDEX('اکسسوری حذف از لیست اصلی'!G:G,MATCH(K961,'اکسسوری حذف از لیست اصلی'!T:T,0))</f>
        <v>0</v>
      </c>
      <c r="J961" s="74">
        <f>INDEX('اکسسوری حذف از لیست اصلی'!J:J,MATCH(K961,'اکسسوری حذف از لیست اصلی'!T:T,0))</f>
        <v>8000000</v>
      </c>
      <c r="K961" s="64">
        <v>553</v>
      </c>
    </row>
    <row r="962" spans="1:11">
      <c r="A962" s="60"/>
      <c r="B962" s="61"/>
    </row>
    <row r="963" spans="1:11">
      <c r="A963" s="60"/>
      <c r="B963" s="61"/>
    </row>
    <row r="964" spans="1:11">
      <c r="A964" s="60"/>
      <c r="B964" s="61"/>
    </row>
    <row r="965" spans="1:11">
      <c r="A965" s="60"/>
      <c r="B965" s="61"/>
    </row>
    <row r="966" spans="1:11">
      <c r="A966" s="60"/>
      <c r="B966" s="61"/>
    </row>
    <row r="967" spans="1:11">
      <c r="A967" s="60"/>
      <c r="B967" s="61"/>
    </row>
    <row r="968" spans="1:11">
      <c r="A968" s="60"/>
      <c r="B968" s="61"/>
    </row>
    <row r="969" spans="1:11">
      <c r="A969" s="60"/>
      <c r="B969" s="61"/>
    </row>
    <row r="970" spans="1:11">
      <c r="A970" s="60"/>
      <c r="B970" s="61"/>
    </row>
    <row r="971" spans="1:11">
      <c r="A971" s="60"/>
      <c r="B971" s="61"/>
    </row>
    <row r="972" spans="1:11">
      <c r="A972" s="60"/>
      <c r="B972" s="61"/>
    </row>
    <row r="973" spans="1:11">
      <c r="A973" s="60"/>
      <c r="B973" s="61"/>
    </row>
    <row r="974" spans="1:11">
      <c r="A974" s="60"/>
      <c r="B974" s="61"/>
    </row>
    <row r="975" spans="1:11">
      <c r="A975" s="60"/>
      <c r="B975" s="61"/>
    </row>
    <row r="976" spans="1:11">
      <c r="A976" s="60"/>
      <c r="B976" s="61"/>
    </row>
    <row r="977" spans="1:10">
      <c r="A977" s="60"/>
      <c r="B977" s="61"/>
    </row>
    <row r="978" spans="1:10">
      <c r="A978" s="60"/>
      <c r="B978" s="61"/>
    </row>
    <row r="979" spans="1:10">
      <c r="A979" s="60"/>
      <c r="B979" s="61"/>
    </row>
    <row r="980" spans="1:10">
      <c r="A980" s="60"/>
      <c r="B980" s="61"/>
    </row>
    <row r="981" spans="1:10">
      <c r="A981" s="60"/>
      <c r="B981" s="61"/>
      <c r="J981" s="28">
        <v>36</v>
      </c>
    </row>
  </sheetData>
  <mergeCells count="101">
    <mergeCell ref="C950:J951"/>
    <mergeCell ref="D76:I77"/>
    <mergeCell ref="J76:J77"/>
    <mergeCell ref="C19:J21"/>
    <mergeCell ref="H22:J23"/>
    <mergeCell ref="C924:J925"/>
    <mergeCell ref="C680:J681"/>
    <mergeCell ref="C732:J733"/>
    <mergeCell ref="C584:J585"/>
    <mergeCell ref="C634:J635"/>
    <mergeCell ref="C557:J558"/>
    <mergeCell ref="C428:J429"/>
    <mergeCell ref="C453:J454"/>
    <mergeCell ref="C479:J480"/>
    <mergeCell ref="C504:J505"/>
    <mergeCell ref="C347:J348"/>
    <mergeCell ref="C313:J314"/>
    <mergeCell ref="C272:J273"/>
    <mergeCell ref="C371:J372"/>
    <mergeCell ref="C174:J175"/>
    <mergeCell ref="C223:J224"/>
    <mergeCell ref="C246:J247"/>
    <mergeCell ref="C292:J293"/>
    <mergeCell ref="C200:J201"/>
    <mergeCell ref="T86:T87"/>
    <mergeCell ref="D101:I102"/>
    <mergeCell ref="J101:J102"/>
    <mergeCell ref="C124:J125"/>
    <mergeCell ref="C149:J150"/>
    <mergeCell ref="D95:I96"/>
    <mergeCell ref="J95:J96"/>
    <mergeCell ref="D99:I100"/>
    <mergeCell ref="J99:J100"/>
    <mergeCell ref="D103:I104"/>
    <mergeCell ref="J103:J104"/>
    <mergeCell ref="J85:J86"/>
    <mergeCell ref="D87:I88"/>
    <mergeCell ref="J87:J88"/>
    <mergeCell ref="D93:I94"/>
    <mergeCell ref="J93:J94"/>
    <mergeCell ref="D97:I98"/>
    <mergeCell ref="J97:J98"/>
    <mergeCell ref="D89:I90"/>
    <mergeCell ref="J89:J90"/>
    <mergeCell ref="D82:F82"/>
    <mergeCell ref="D83:I84"/>
    <mergeCell ref="D68:I69"/>
    <mergeCell ref="J68:J69"/>
    <mergeCell ref="D62:I63"/>
    <mergeCell ref="J62:J63"/>
    <mergeCell ref="D64:I65"/>
    <mergeCell ref="J64:J65"/>
    <mergeCell ref="D66:I67"/>
    <mergeCell ref="J66:J67"/>
    <mergeCell ref="D70:I71"/>
    <mergeCell ref="J70:J71"/>
    <mergeCell ref="D72:I73"/>
    <mergeCell ref="J72:J73"/>
    <mergeCell ref="D74:I75"/>
    <mergeCell ref="J74:J75"/>
    <mergeCell ref="D78:I79"/>
    <mergeCell ref="J78:J79"/>
    <mergeCell ref="D80:I81"/>
    <mergeCell ref="J80:J81"/>
    <mergeCell ref="D56:I57"/>
    <mergeCell ref="J56:J57"/>
    <mergeCell ref="D58:I59"/>
    <mergeCell ref="J58:J59"/>
    <mergeCell ref="D60:I61"/>
    <mergeCell ref="J60:J61"/>
    <mergeCell ref="D52:I53"/>
    <mergeCell ref="J52:J53"/>
    <mergeCell ref="D54:I55"/>
    <mergeCell ref="J54:J55"/>
    <mergeCell ref="D46:I47"/>
    <mergeCell ref="J46:J47"/>
    <mergeCell ref="D48:I49"/>
    <mergeCell ref="J48:J49"/>
    <mergeCell ref="D50:I51"/>
    <mergeCell ref="J50:J51"/>
    <mergeCell ref="D41:F41"/>
    <mergeCell ref="D42:I43"/>
    <mergeCell ref="J42:J43"/>
    <mergeCell ref="D44:I45"/>
    <mergeCell ref="J44:J45"/>
    <mergeCell ref="C900:J901"/>
    <mergeCell ref="J83:J84"/>
    <mergeCell ref="C760:J761"/>
    <mergeCell ref="C783:J784"/>
    <mergeCell ref="C803:J804"/>
    <mergeCell ref="C657:J658"/>
    <mergeCell ref="C705:J706"/>
    <mergeCell ref="C825:J826"/>
    <mergeCell ref="C850:J851"/>
    <mergeCell ref="C875:J876"/>
    <mergeCell ref="C397:J398"/>
    <mergeCell ref="C530:J531"/>
    <mergeCell ref="C609:J610"/>
    <mergeCell ref="D91:I92"/>
    <mergeCell ref="J91:J92"/>
    <mergeCell ref="D85:I86"/>
  </mergeCells>
  <pageMargins left="0.45" right="0.45" top="0.75" bottom="0.75" header="0.3" footer="0.3"/>
  <pageSetup scale="9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کاتالوگ مبلمان</vt:lpstr>
      <vt:lpstr>کاتالوگ کالای خواب</vt:lpstr>
      <vt:lpstr>حذف از تولید و لیست اصلی</vt:lpstr>
      <vt:lpstr>اکسسوری حذف از لیست اصلی</vt:lpstr>
      <vt:lpstr> کالای خواب حذف از لیست اصلی</vt:lpstr>
      <vt:lpstr>تشک حذف از تولید</vt:lpstr>
      <vt:lpstr>کاتالوگ تشک</vt:lpstr>
      <vt:lpstr>کاتالوگ اکسسوری</vt:lpstr>
      <vt:lpstr>'حذف از تولید و لیست اصلی'!Print_Area</vt:lpstr>
      <vt:lpstr>'کاتالوگ اکسسوری'!Print_Area</vt:lpstr>
      <vt:lpstr>'کاتالوگ تشک'!Print_Area</vt:lpstr>
      <vt:lpstr>'کاتالوگ کالای خواب'!Print_Area</vt:lpstr>
      <vt:lpstr>'کاتالوگ مبلمان'!Print_Area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ayda ghasemi</dc:creator>
  <cp:lastModifiedBy>mohadese bakhshi</cp:lastModifiedBy>
  <cp:lastPrinted>2026-09-03T11:06:05Z</cp:lastPrinted>
  <dcterms:created xsi:type="dcterms:W3CDTF">2015-06-05T18:17:20Z</dcterms:created>
  <dcterms:modified xsi:type="dcterms:W3CDTF">2026-09-03T11:07:56Z</dcterms:modified>
</cp:coreProperties>
</file>